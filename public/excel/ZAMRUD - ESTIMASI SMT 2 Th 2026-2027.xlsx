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SMT 2 th 26-27\"/>
    </mc:Choice>
  </mc:AlternateContent>
  <xr:revisionPtr revIDLastSave="0" documentId="13_ncr:1_{3E5D298C-CA37-47B8-93BC-1E1F4A4D3F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KAP" sheetId="1" r:id="rId1"/>
    <sheet name="AKM &amp; P5" sheetId="15" r:id="rId2"/>
    <sheet name="sd" sheetId="2" r:id="rId3"/>
    <sheet name="SMP" sheetId="4" r:id="rId4"/>
    <sheet name="SMA" sheetId="5" r:id="rId5"/>
    <sheet name="SMK" sheetId="10" r:id="rId6"/>
    <sheet name="PROD" sheetId="12" r:id="rId7"/>
    <sheet name="MADRASAH" sheetId="6" r:id="rId8"/>
    <sheet name="TKA" sheetId="21" r:id="rId9"/>
    <sheet name="ASAJ UM" sheetId="22" r:id="rId10"/>
    <sheet name="jurnal &amp; tk" sheetId="18" r:id="rId11"/>
    <sheet name="Base" sheetId="16" r:id="rId12"/>
  </sheets>
  <definedNames>
    <definedName name="_xlnm._FilterDatabase" localSheetId="11" hidden="1">Base!$B$3:$J$67</definedName>
    <definedName name="_xlnm.Print_Area" localSheetId="1">'AKM &amp; P5'!$A$1:$L$34</definedName>
    <definedName name="_xlnm.Print_Area" localSheetId="10">'jurnal &amp; tk'!$A$1:$F$31</definedName>
    <definedName name="_xlnm.Print_Area" localSheetId="7">MADRASAH!$A$1:$L$70</definedName>
    <definedName name="_xlnm.Print_Area" localSheetId="6">PROD!$A$1:$I$99</definedName>
    <definedName name="_xlnm.Print_Area" localSheetId="0">REKAP!$A$1:$K$32</definedName>
    <definedName name="_xlnm.Print_Area" localSheetId="2">sd!$A$1:$U$98</definedName>
    <definedName name="_xlnm.Print_Area" localSheetId="4">SMA!$A$1:$W$100</definedName>
    <definedName name="_xlnm.Print_Area" localSheetId="5">SMK!$A$1:$I$29</definedName>
    <definedName name="_xlnm.Print_Area" localSheetId="8">TKA!$A$1:$I$25</definedName>
    <definedName name="_xlnm.Print_Titles" localSheetId="6">PROD!$1:$4</definedName>
    <definedName name="_xlnm.Print_Titles" localSheetId="4">SMA!$1:$5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4" l="1"/>
  <c r="NT31" i="16"/>
  <c r="NS31" i="16"/>
  <c r="NR31" i="16"/>
  <c r="NQ31" i="16"/>
  <c r="NP31" i="16"/>
  <c r="NO31" i="16"/>
  <c r="NN31" i="16"/>
  <c r="NM31" i="16"/>
  <c r="NL31" i="16"/>
  <c r="NK31" i="16"/>
  <c r="NJ31" i="16"/>
  <c r="NI31" i="16"/>
  <c r="NH31" i="16"/>
  <c r="NH29" i="16"/>
  <c r="LQ25" i="16"/>
  <c r="LP25" i="16"/>
  <c r="LO25" i="16"/>
  <c r="KY25" i="16"/>
  <c r="KX25" i="16"/>
  <c r="KA25" i="16"/>
  <c r="JZ25" i="16"/>
  <c r="SU48" i="16"/>
  <c r="ST48" i="16"/>
  <c r="SS48" i="16"/>
  <c r="SR48" i="16"/>
  <c r="SQ48" i="16"/>
  <c r="SP48" i="16"/>
  <c r="SO48" i="16"/>
  <c r="SN48" i="16"/>
  <c r="SM48" i="16"/>
  <c r="SL48" i="16"/>
  <c r="SK48" i="16"/>
  <c r="SJ48" i="16"/>
  <c r="SI48" i="16"/>
  <c r="SH48" i="16"/>
  <c r="SG48" i="16"/>
  <c r="SF48" i="16"/>
  <c r="SE48" i="16"/>
  <c r="SD48" i="16"/>
  <c r="SC48" i="16"/>
  <c r="SB48" i="16"/>
  <c r="SU46" i="16"/>
  <c r="SU67" i="16" s="1"/>
  <c r="SU47" i="16" s="1"/>
  <c r="ST46" i="16"/>
  <c r="ST67" i="16" s="1"/>
  <c r="ST47" i="16" s="1"/>
  <c r="SS46" i="16"/>
  <c r="SS67" i="16" s="1"/>
  <c r="SS47" i="16" s="1"/>
  <c r="SR46" i="16"/>
  <c r="SR67" i="16" s="1"/>
  <c r="SR47" i="16" s="1"/>
  <c r="SQ46" i="16"/>
  <c r="SQ67" i="16" s="1"/>
  <c r="SQ47" i="16" s="1"/>
  <c r="SP46" i="16"/>
  <c r="SP67" i="16" s="1"/>
  <c r="SP47" i="16" s="1"/>
  <c r="SO46" i="16"/>
  <c r="SO67" i="16" s="1"/>
  <c r="SO47" i="16" s="1"/>
  <c r="SN46" i="16"/>
  <c r="SN67" i="16" s="1"/>
  <c r="SN47" i="16" s="1"/>
  <c r="SM46" i="16"/>
  <c r="SM67" i="16" s="1"/>
  <c r="SM47" i="16" s="1"/>
  <c r="SL46" i="16"/>
  <c r="SL67" i="16" s="1"/>
  <c r="SL47" i="16" s="1"/>
  <c r="SK46" i="16"/>
  <c r="SK67" i="16" s="1"/>
  <c r="SK47" i="16" s="1"/>
  <c r="SJ46" i="16"/>
  <c r="SJ67" i="16" s="1"/>
  <c r="SJ47" i="16" s="1"/>
  <c r="SI46" i="16"/>
  <c r="SI67" i="16" s="1"/>
  <c r="SI47" i="16" s="1"/>
  <c r="SH46" i="16"/>
  <c r="SH67" i="16" s="1"/>
  <c r="SH47" i="16" s="1"/>
  <c r="SG46" i="16"/>
  <c r="SG67" i="16" s="1"/>
  <c r="SG47" i="16" s="1"/>
  <c r="SF46" i="16"/>
  <c r="SF67" i="16" s="1"/>
  <c r="SF47" i="16" s="1"/>
  <c r="SE46" i="16"/>
  <c r="SE67" i="16" s="1"/>
  <c r="SE47" i="16" s="1"/>
  <c r="SD46" i="16"/>
  <c r="SD67" i="16" s="1"/>
  <c r="SD47" i="16" s="1"/>
  <c r="SC46" i="16"/>
  <c r="SC67" i="16" s="1"/>
  <c r="SC47" i="16" s="1"/>
  <c r="SB46" i="16"/>
  <c r="SB67" i="16" s="1"/>
  <c r="SB47" i="16" s="1"/>
  <c r="C48" i="16"/>
  <c r="C47" i="16"/>
  <c r="C46" i="16"/>
  <c r="SA45" i="16"/>
  <c r="RZ45" i="16"/>
  <c r="RY45" i="16"/>
  <c r="RX45" i="16"/>
  <c r="RW45" i="16"/>
  <c r="RV45" i="16"/>
  <c r="RU45" i="16"/>
  <c r="RT45" i="16"/>
  <c r="RS45" i="16"/>
  <c r="RR45" i="16"/>
  <c r="RQ45" i="16"/>
  <c r="RP45" i="16"/>
  <c r="RO45" i="16"/>
  <c r="RN45" i="16"/>
  <c r="RM45" i="16"/>
  <c r="RL45" i="16"/>
  <c r="RK45" i="16"/>
  <c r="RJ45" i="16"/>
  <c r="RI45" i="16"/>
  <c r="RH45" i="16"/>
  <c r="RG44" i="16"/>
  <c r="J44" i="16" s="1"/>
  <c r="C45" i="16"/>
  <c r="C44" i="16"/>
  <c r="NG28" i="16"/>
  <c r="NF28" i="16"/>
  <c r="NE28" i="16"/>
  <c r="ND28" i="16"/>
  <c r="NC28" i="16"/>
  <c r="NB28" i="16"/>
  <c r="NA28" i="16"/>
  <c r="MZ28" i="16"/>
  <c r="MY28" i="16"/>
  <c r="MX28" i="16"/>
  <c r="MW28" i="16"/>
  <c r="MV28" i="16"/>
  <c r="MU28" i="16"/>
  <c r="MT28" i="16"/>
  <c r="MS28" i="16"/>
  <c r="MR28" i="16"/>
  <c r="MQ28" i="16"/>
  <c r="UC43" i="16"/>
  <c r="UB43" i="16"/>
  <c r="UA43" i="16"/>
  <c r="TZ43" i="16"/>
  <c r="TY43" i="16"/>
  <c r="TX43" i="16"/>
  <c r="TW43" i="16"/>
  <c r="TV43" i="16"/>
  <c r="TU43" i="16"/>
  <c r="TT43" i="16"/>
  <c r="TS43" i="16"/>
  <c r="C43" i="16"/>
  <c r="D43" i="16"/>
  <c r="E43" i="16"/>
  <c r="TR40" i="16"/>
  <c r="TQ40" i="16"/>
  <c r="TP40" i="16"/>
  <c r="TO40" i="16"/>
  <c r="TN40" i="16"/>
  <c r="TM40" i="16"/>
  <c r="TL40" i="16"/>
  <c r="TK40" i="16"/>
  <c r="TJ40" i="16"/>
  <c r="TI40" i="16"/>
  <c r="TH40" i="16"/>
  <c r="TG40" i="16"/>
  <c r="TF40" i="16"/>
  <c r="TE40" i="16"/>
  <c r="TD40" i="16"/>
  <c r="TC40" i="16"/>
  <c r="TB40" i="16"/>
  <c r="TA40" i="16"/>
  <c r="SZ40" i="16"/>
  <c r="SY40" i="16"/>
  <c r="SX40" i="16"/>
  <c r="SW40" i="16"/>
  <c r="SV40" i="16"/>
  <c r="C40" i="16"/>
  <c r="D40" i="16"/>
  <c r="E40" i="16"/>
  <c r="TR38" i="16"/>
  <c r="TQ38" i="16"/>
  <c r="TP38" i="16"/>
  <c r="TO38" i="16"/>
  <c r="TN38" i="16"/>
  <c r="TM38" i="16"/>
  <c r="TL38" i="16"/>
  <c r="TK38" i="16"/>
  <c r="TJ38" i="16"/>
  <c r="TI38" i="16"/>
  <c r="TH38" i="16"/>
  <c r="TG38" i="16"/>
  <c r="TF38" i="16"/>
  <c r="TE38" i="16"/>
  <c r="TD38" i="16"/>
  <c r="TC38" i="16"/>
  <c r="TB38" i="16"/>
  <c r="TA38" i="16"/>
  <c r="SZ38" i="16"/>
  <c r="SY38" i="16"/>
  <c r="SX38" i="16"/>
  <c r="SW38" i="16"/>
  <c r="SV38" i="16"/>
  <c r="QT37" i="16"/>
  <c r="QS37" i="16"/>
  <c r="QR37" i="16"/>
  <c r="QQ37" i="16"/>
  <c r="QP37" i="16"/>
  <c r="QO37" i="16"/>
  <c r="QU33" i="16"/>
  <c r="RF35" i="16"/>
  <c r="RE35" i="16"/>
  <c r="RD35" i="16"/>
  <c r="RC35" i="16"/>
  <c r="RB35" i="16"/>
  <c r="RA35" i="16"/>
  <c r="QZ35" i="16"/>
  <c r="QY35" i="16"/>
  <c r="QX35" i="16"/>
  <c r="QW35" i="16"/>
  <c r="QV35" i="16"/>
  <c r="QU35" i="16"/>
  <c r="C37" i="16"/>
  <c r="C36" i="16"/>
  <c r="WS34" i="16"/>
  <c r="WR34" i="16"/>
  <c r="WQ34" i="16"/>
  <c r="WP34" i="16"/>
  <c r="WO34" i="16"/>
  <c r="WN34" i="16"/>
  <c r="WM34" i="16"/>
  <c r="WL34" i="16"/>
  <c r="WK34" i="16"/>
  <c r="WJ34" i="16"/>
  <c r="WI34" i="16"/>
  <c r="WH34" i="16"/>
  <c r="WG34" i="16"/>
  <c r="WF34" i="16"/>
  <c r="WE34" i="16"/>
  <c r="WD34" i="16"/>
  <c r="WC34" i="16"/>
  <c r="WB34" i="16"/>
  <c r="WA34" i="16"/>
  <c r="VZ34" i="16"/>
  <c r="VY34" i="16"/>
  <c r="VX34" i="16"/>
  <c r="VW34" i="16"/>
  <c r="VV34" i="16"/>
  <c r="VU34" i="16"/>
  <c r="VT34" i="16"/>
  <c r="VS34" i="16"/>
  <c r="VR34" i="16"/>
  <c r="VQ34" i="16"/>
  <c r="VP34" i="16"/>
  <c r="VO34" i="16"/>
  <c r="VN34" i="16"/>
  <c r="VM34" i="16"/>
  <c r="VL34" i="16"/>
  <c r="VK34" i="16"/>
  <c r="VJ34" i="16"/>
  <c r="VI34" i="16"/>
  <c r="VH34" i="16"/>
  <c r="VG34" i="16"/>
  <c r="VF34" i="16"/>
  <c r="VE34" i="16"/>
  <c r="VD34" i="16"/>
  <c r="VC34" i="16"/>
  <c r="VB34" i="16"/>
  <c r="VA34" i="16"/>
  <c r="UZ34" i="16"/>
  <c r="UY34" i="16"/>
  <c r="UX34" i="16"/>
  <c r="UW34" i="16"/>
  <c r="UV34" i="16"/>
  <c r="UU34" i="16"/>
  <c r="UT34" i="16"/>
  <c r="US34" i="16"/>
  <c r="UR34" i="16"/>
  <c r="UQ34" i="16"/>
  <c r="UP34" i="16"/>
  <c r="UO34" i="16"/>
  <c r="UN34" i="16"/>
  <c r="UM34" i="16"/>
  <c r="UL34" i="16"/>
  <c r="UK34" i="16"/>
  <c r="UJ34" i="16"/>
  <c r="UI34" i="16"/>
  <c r="UH34" i="16"/>
  <c r="UG34" i="16"/>
  <c r="UF34" i="16"/>
  <c r="UE34" i="16"/>
  <c r="UD34" i="16"/>
  <c r="C34" i="16"/>
  <c r="D34" i="16"/>
  <c r="E34" i="16"/>
  <c r="C31" i="16"/>
  <c r="D31" i="16"/>
  <c r="E31" i="16"/>
  <c r="C28" i="16"/>
  <c r="D28" i="16"/>
  <c r="E28" i="16"/>
  <c r="MP25" i="16"/>
  <c r="MO25" i="16"/>
  <c r="MN25" i="16"/>
  <c r="KW25" i="16"/>
  <c r="KV25" i="16"/>
  <c r="KU25" i="16"/>
  <c r="KT25" i="16"/>
  <c r="KS25" i="16"/>
  <c r="KR25" i="16"/>
  <c r="KQ25" i="16"/>
  <c r="KP25" i="16"/>
  <c r="KO25" i="16"/>
  <c r="KN25" i="16"/>
  <c r="KM25" i="16"/>
  <c r="KL25" i="16"/>
  <c r="MM25" i="16"/>
  <c r="ML25" i="16"/>
  <c r="MK25" i="16"/>
  <c r="MJ25" i="16"/>
  <c r="MI25" i="16"/>
  <c r="MH25" i="16"/>
  <c r="MG25" i="16"/>
  <c r="MF25" i="16"/>
  <c r="ME25" i="16"/>
  <c r="MD25" i="16"/>
  <c r="MC25" i="16"/>
  <c r="MB25" i="16"/>
  <c r="MA25" i="16"/>
  <c r="LZ25" i="16"/>
  <c r="LY25" i="16"/>
  <c r="LX25" i="16"/>
  <c r="LW25" i="16"/>
  <c r="LV25" i="16"/>
  <c r="LU25" i="16"/>
  <c r="LT25" i="16"/>
  <c r="LS25" i="16"/>
  <c r="LR25" i="16"/>
  <c r="LN25" i="16"/>
  <c r="LM25" i="16"/>
  <c r="LL25" i="16"/>
  <c r="LK25" i="16"/>
  <c r="LJ25" i="16"/>
  <c r="LI25" i="16"/>
  <c r="LH25" i="16"/>
  <c r="LG25" i="16"/>
  <c r="LF25" i="16"/>
  <c r="LE25" i="16"/>
  <c r="LD25" i="16"/>
  <c r="LC25" i="16"/>
  <c r="LB25" i="16"/>
  <c r="LA25" i="16"/>
  <c r="KZ25" i="16"/>
  <c r="KK25" i="16"/>
  <c r="KJ25" i="16"/>
  <c r="KI25" i="16"/>
  <c r="KH25" i="16"/>
  <c r="KG25" i="16"/>
  <c r="KF25" i="16"/>
  <c r="KE25" i="16"/>
  <c r="KD25" i="16"/>
  <c r="KC25" i="16"/>
  <c r="KB25" i="16"/>
  <c r="C25" i="16"/>
  <c r="D25" i="16"/>
  <c r="E25" i="16"/>
  <c r="JY22" i="16"/>
  <c r="JX22" i="16"/>
  <c r="JW22" i="16"/>
  <c r="JV22" i="16"/>
  <c r="JU22" i="16"/>
  <c r="JT22" i="16"/>
  <c r="JS22" i="16"/>
  <c r="JR22" i="16"/>
  <c r="JQ22" i="16"/>
  <c r="JP22" i="16"/>
  <c r="JO22" i="16"/>
  <c r="JN22" i="16"/>
  <c r="C22" i="16"/>
  <c r="D22" i="16"/>
  <c r="E22" i="16"/>
  <c r="JM19" i="16"/>
  <c r="JL19" i="16"/>
  <c r="JK19" i="16"/>
  <c r="JJ19" i="16"/>
  <c r="JI19" i="16"/>
  <c r="JH19" i="16"/>
  <c r="JG19" i="16"/>
  <c r="JF19" i="16"/>
  <c r="JE19" i="16"/>
  <c r="JD19" i="16"/>
  <c r="JC19" i="16"/>
  <c r="JB19" i="16"/>
  <c r="JA19" i="16"/>
  <c r="IZ19" i="16"/>
  <c r="IY19" i="16"/>
  <c r="IX19" i="16"/>
  <c r="IW19" i="16"/>
  <c r="IV19" i="16"/>
  <c r="IU19" i="16"/>
  <c r="IT19" i="16"/>
  <c r="IS19" i="16"/>
  <c r="IR19" i="16"/>
  <c r="IQ19" i="16"/>
  <c r="IP19" i="16"/>
  <c r="IO19" i="16"/>
  <c r="IN19" i="16"/>
  <c r="IM19" i="16"/>
  <c r="IL19" i="16"/>
  <c r="IK19" i="16"/>
  <c r="IJ19" i="16"/>
  <c r="II19" i="16"/>
  <c r="IH19" i="16"/>
  <c r="IG19" i="16"/>
  <c r="IF19" i="16"/>
  <c r="IE19" i="16"/>
  <c r="ID19" i="16"/>
  <c r="IC19" i="16"/>
  <c r="IB19" i="16"/>
  <c r="IA19" i="16"/>
  <c r="HZ19" i="16"/>
  <c r="HY19" i="16"/>
  <c r="HX19" i="16"/>
  <c r="HW19" i="16"/>
  <c r="HV19" i="16"/>
  <c r="HU19" i="16"/>
  <c r="HT19" i="16"/>
  <c r="HS19" i="16"/>
  <c r="HR19" i="16"/>
  <c r="HQ19" i="16"/>
  <c r="HP19" i="16"/>
  <c r="HO19" i="16"/>
  <c r="HN19" i="16"/>
  <c r="HM19" i="16"/>
  <c r="HL19" i="16"/>
  <c r="HK19" i="16"/>
  <c r="HJ19" i="16"/>
  <c r="HI19" i="16"/>
  <c r="HH19" i="16"/>
  <c r="HG19" i="16"/>
  <c r="HF19" i="16"/>
  <c r="HE19" i="16"/>
  <c r="HD19" i="16"/>
  <c r="HC19" i="16"/>
  <c r="HB19" i="16"/>
  <c r="C19" i="16"/>
  <c r="D19" i="16"/>
  <c r="E19" i="16"/>
  <c r="HA16" i="16"/>
  <c r="GZ16" i="16"/>
  <c r="GY16" i="16"/>
  <c r="GX16" i="16"/>
  <c r="GW16" i="16"/>
  <c r="C16" i="16"/>
  <c r="D16" i="16"/>
  <c r="E16" i="16"/>
  <c r="GV13" i="16"/>
  <c r="GU13" i="16"/>
  <c r="GT13" i="16"/>
  <c r="GS13" i="16"/>
  <c r="GR13" i="16"/>
  <c r="GQ13" i="16"/>
  <c r="GP13" i="16"/>
  <c r="GO13" i="16"/>
  <c r="GN13" i="16"/>
  <c r="GM13" i="16"/>
  <c r="GL13" i="16"/>
  <c r="GK13" i="16"/>
  <c r="GJ13" i="16"/>
  <c r="GI13" i="16"/>
  <c r="GH13" i="16"/>
  <c r="GG13" i="16"/>
  <c r="GF13" i="16"/>
  <c r="GE13" i="16"/>
  <c r="GD13" i="16"/>
  <c r="GC13" i="16"/>
  <c r="GB13" i="16"/>
  <c r="GA13" i="16"/>
  <c r="FZ13" i="16"/>
  <c r="FY13" i="16"/>
  <c r="FX13" i="16"/>
  <c r="FW13" i="16"/>
  <c r="FV13" i="16"/>
  <c r="FU13" i="16"/>
  <c r="FT13" i="16"/>
  <c r="FS13" i="16"/>
  <c r="FR13" i="16"/>
  <c r="FQ13" i="16"/>
  <c r="FP13" i="16"/>
  <c r="FO13" i="16"/>
  <c r="FN13" i="16"/>
  <c r="FM13" i="16"/>
  <c r="FL13" i="16"/>
  <c r="FK13" i="16"/>
  <c r="FJ13" i="16"/>
  <c r="FI13" i="16"/>
  <c r="FH13" i="16"/>
  <c r="FG13" i="16"/>
  <c r="FF13" i="16"/>
  <c r="FE13" i="16"/>
  <c r="FD13" i="16"/>
  <c r="FC13" i="16"/>
  <c r="FB13" i="16"/>
  <c r="FA13" i="16"/>
  <c r="EZ13" i="16"/>
  <c r="EY13" i="16"/>
  <c r="EX13" i="16"/>
  <c r="EW13" i="16"/>
  <c r="EV13" i="16"/>
  <c r="EU13" i="16"/>
  <c r="ET13" i="16"/>
  <c r="ES13" i="16"/>
  <c r="ER13" i="16"/>
  <c r="EQ13" i="16"/>
  <c r="EP13" i="16"/>
  <c r="EO13" i="16"/>
  <c r="EN13" i="16"/>
  <c r="EM13" i="16"/>
  <c r="EL13" i="16"/>
  <c r="EK13" i="16"/>
  <c r="EJ13" i="16"/>
  <c r="EI13" i="16"/>
  <c r="EH13" i="16"/>
  <c r="EG13" i="16"/>
  <c r="EF13" i="16"/>
  <c r="C13" i="16"/>
  <c r="D13" i="16"/>
  <c r="E13" i="16"/>
  <c r="EE10" i="16"/>
  <c r="ED10" i="16"/>
  <c r="EC10" i="16"/>
  <c r="EB10" i="16"/>
  <c r="EA10" i="16"/>
  <c r="DZ10" i="16"/>
  <c r="DY10" i="16"/>
  <c r="DX10" i="16"/>
  <c r="DW10" i="16"/>
  <c r="DV10" i="16"/>
  <c r="DU10" i="16"/>
  <c r="DT10" i="16"/>
  <c r="DS10" i="16"/>
  <c r="DR10" i="16"/>
  <c r="DQ10" i="16"/>
  <c r="DP10" i="16"/>
  <c r="DO10" i="16"/>
  <c r="DN10" i="16"/>
  <c r="DM10" i="16"/>
  <c r="DL10" i="16"/>
  <c r="DK10" i="16"/>
  <c r="DJ10" i="16"/>
  <c r="DI10" i="16"/>
  <c r="DH10" i="16"/>
  <c r="DG10" i="16"/>
  <c r="DF10" i="16"/>
  <c r="DE10" i="16"/>
  <c r="DD10" i="16"/>
  <c r="DC10" i="16"/>
  <c r="DB10" i="16"/>
  <c r="DA10" i="16"/>
  <c r="CZ10" i="16"/>
  <c r="CY10" i="16"/>
  <c r="CX10" i="16"/>
  <c r="CW10" i="16"/>
  <c r="CV10" i="16"/>
  <c r="CU10" i="16"/>
  <c r="CT10" i="16"/>
  <c r="CS10" i="16"/>
  <c r="CR10" i="16"/>
  <c r="CQ10" i="16"/>
  <c r="CP10" i="16"/>
  <c r="CO10" i="16"/>
  <c r="CN10" i="16"/>
  <c r="CM10" i="16"/>
  <c r="CL10" i="16"/>
  <c r="CK10" i="16"/>
  <c r="CJ10" i="16"/>
  <c r="C10" i="16"/>
  <c r="D10" i="16"/>
  <c r="E10" i="16"/>
  <c r="CI7" i="16"/>
  <c r="CH7" i="16"/>
  <c r="CG7" i="16"/>
  <c r="CF7" i="16"/>
  <c r="CE7" i="16"/>
  <c r="CD7" i="16"/>
  <c r="CC7" i="16"/>
  <c r="CB7" i="16"/>
  <c r="CA7" i="16"/>
  <c r="BZ7" i="16"/>
  <c r="BY7" i="16"/>
  <c r="BX7" i="16"/>
  <c r="BW7" i="16"/>
  <c r="BV7" i="16"/>
  <c r="BU7" i="16"/>
  <c r="BT7" i="16"/>
  <c r="BS7" i="16"/>
  <c r="BR7" i="16"/>
  <c r="BQ7" i="16"/>
  <c r="BP7" i="16"/>
  <c r="BO7" i="16"/>
  <c r="BN7" i="16"/>
  <c r="BM7" i="16"/>
  <c r="BL7" i="16"/>
  <c r="BK7" i="16"/>
  <c r="BJ7" i="16"/>
  <c r="BI7" i="16"/>
  <c r="BH7" i="16"/>
  <c r="BG7" i="16"/>
  <c r="BF7" i="16"/>
  <c r="BE7" i="16"/>
  <c r="BD7" i="16"/>
  <c r="BC7" i="16"/>
  <c r="BB7" i="16"/>
  <c r="BA7" i="16"/>
  <c r="AZ7" i="16"/>
  <c r="AY7" i="16"/>
  <c r="AX7" i="16"/>
  <c r="AW7" i="16"/>
  <c r="AV7" i="16"/>
  <c r="AU7" i="16"/>
  <c r="AT7" i="16"/>
  <c r="AS7" i="16"/>
  <c r="AR7" i="16"/>
  <c r="AQ7" i="16"/>
  <c r="AP7" i="16"/>
  <c r="AO7" i="16"/>
  <c r="AN7" i="16"/>
  <c r="AM7" i="16"/>
  <c r="AL7" i="16"/>
  <c r="AK7" i="16"/>
  <c r="AJ7" i="16"/>
  <c r="AI7" i="16"/>
  <c r="AH7" i="16"/>
  <c r="AG7" i="16"/>
  <c r="AF7" i="16"/>
  <c r="AE7" i="16"/>
  <c r="AD7" i="16"/>
  <c r="AC7" i="16"/>
  <c r="AB7" i="16"/>
  <c r="AA7" i="16"/>
  <c r="Z7" i="16"/>
  <c r="Y7" i="16"/>
  <c r="X7" i="16"/>
  <c r="W7" i="16"/>
  <c r="V7" i="16"/>
  <c r="U7" i="16"/>
  <c r="T7" i="16"/>
  <c r="C7" i="16"/>
  <c r="D7" i="16"/>
  <c r="E7" i="16"/>
  <c r="UC41" i="16"/>
  <c r="UB41" i="16"/>
  <c r="UA41" i="16"/>
  <c r="TZ41" i="16"/>
  <c r="TY41" i="16"/>
  <c r="TX41" i="16"/>
  <c r="TW41" i="16"/>
  <c r="TV41" i="16"/>
  <c r="TU41" i="16"/>
  <c r="TT41" i="16"/>
  <c r="TS41" i="16"/>
  <c r="J13" i="10"/>
  <c r="J48" i="16" l="1"/>
  <c r="J45" i="16"/>
  <c r="J46" i="16"/>
  <c r="J47" i="16"/>
  <c r="J43" i="16"/>
  <c r="J40" i="16"/>
  <c r="J28" i="16"/>
  <c r="J34" i="16"/>
  <c r="J37" i="16"/>
  <c r="J31" i="16"/>
  <c r="J22" i="16"/>
  <c r="J25" i="16"/>
  <c r="J19" i="16"/>
  <c r="J10" i="16"/>
  <c r="J13" i="16"/>
  <c r="J16" i="16"/>
  <c r="J7" i="16"/>
  <c r="J41" i="16"/>
  <c r="J53" i="16" l="1"/>
  <c r="K11" i="10" l="1"/>
  <c r="J12" i="10"/>
  <c r="J38" i="22"/>
  <c r="I38" i="22"/>
  <c r="J37" i="22"/>
  <c r="I37" i="22"/>
  <c r="J36" i="22"/>
  <c r="I36" i="22"/>
  <c r="J35" i="22"/>
  <c r="I35" i="22"/>
  <c r="J34" i="22"/>
  <c r="I34" i="22"/>
  <c r="J33" i="22"/>
  <c r="I33" i="22"/>
  <c r="J32" i="22"/>
  <c r="I32" i="22"/>
  <c r="J31" i="22"/>
  <c r="I31" i="22"/>
  <c r="J30" i="22"/>
  <c r="I30" i="22"/>
  <c r="J29" i="22"/>
  <c r="I29" i="22"/>
  <c r="J28" i="22"/>
  <c r="I28" i="22"/>
  <c r="J27" i="22"/>
  <c r="I27" i="22"/>
  <c r="J26" i="22"/>
  <c r="I26" i="22"/>
  <c r="J25" i="22"/>
  <c r="I25" i="22"/>
  <c r="J24" i="22"/>
  <c r="I24" i="22"/>
  <c r="J23" i="22"/>
  <c r="I23" i="22"/>
  <c r="J22" i="22"/>
  <c r="I22" i="22"/>
  <c r="J21" i="22"/>
  <c r="I21" i="22"/>
  <c r="J20" i="22"/>
  <c r="I20" i="22"/>
  <c r="J19" i="22"/>
  <c r="I19" i="22"/>
  <c r="J18" i="22"/>
  <c r="I18" i="22"/>
  <c r="J17" i="22"/>
  <c r="I17" i="22"/>
  <c r="J16" i="22"/>
  <c r="I16" i="22"/>
  <c r="J15" i="22"/>
  <c r="I15" i="22"/>
  <c r="J14" i="22"/>
  <c r="I14" i="22"/>
  <c r="J13" i="22"/>
  <c r="I13" i="22"/>
  <c r="J12" i="22"/>
  <c r="I12" i="22"/>
  <c r="J11" i="22"/>
  <c r="I11" i="22"/>
  <c r="J10" i="22"/>
  <c r="I10" i="22"/>
  <c r="J9" i="22"/>
  <c r="I9" i="22"/>
  <c r="J8" i="22"/>
  <c r="I8" i="22"/>
  <c r="J7" i="22"/>
  <c r="I7" i="22"/>
  <c r="J6" i="22"/>
  <c r="I6" i="22"/>
  <c r="J5" i="22"/>
  <c r="I5" i="22"/>
  <c r="H39" i="22"/>
  <c r="D13" i="1" s="1"/>
  <c r="F39" i="22"/>
  <c r="C13" i="1" s="1"/>
  <c r="E42" i="16"/>
  <c r="D42" i="16"/>
  <c r="C42" i="16"/>
  <c r="E41" i="16"/>
  <c r="D41" i="16"/>
  <c r="C41" i="16"/>
  <c r="E39" i="16"/>
  <c r="D39" i="16"/>
  <c r="C39" i="16"/>
  <c r="E38" i="16"/>
  <c r="D38" i="16"/>
  <c r="C38" i="16"/>
  <c r="E35" i="16"/>
  <c r="D35" i="16"/>
  <c r="C35" i="16"/>
  <c r="E33" i="16"/>
  <c r="D33" i="16"/>
  <c r="C33" i="16"/>
  <c r="E32" i="16"/>
  <c r="D32" i="16"/>
  <c r="C32" i="16"/>
  <c r="E30" i="16"/>
  <c r="D30" i="16"/>
  <c r="C30" i="16"/>
  <c r="E29" i="16"/>
  <c r="D29" i="16"/>
  <c r="C29" i="16"/>
  <c r="E27" i="16"/>
  <c r="D27" i="16"/>
  <c r="C27" i="16"/>
  <c r="E26" i="16"/>
  <c r="D26" i="16"/>
  <c r="C26" i="16"/>
  <c r="E24" i="16"/>
  <c r="D24" i="16"/>
  <c r="C24" i="16"/>
  <c r="E23" i="16"/>
  <c r="D23" i="16"/>
  <c r="C23" i="16"/>
  <c r="E21" i="16"/>
  <c r="D21" i="16"/>
  <c r="C21" i="16"/>
  <c r="E20" i="16"/>
  <c r="D20" i="16"/>
  <c r="C20" i="16"/>
  <c r="E18" i="16"/>
  <c r="D18" i="16"/>
  <c r="C18" i="16"/>
  <c r="E17" i="16"/>
  <c r="D17" i="16"/>
  <c r="C17" i="16"/>
  <c r="E15" i="16"/>
  <c r="D15" i="16"/>
  <c r="C15" i="16"/>
  <c r="E14" i="16"/>
  <c r="D14" i="16"/>
  <c r="C14" i="16"/>
  <c r="E12" i="16"/>
  <c r="D12" i="16"/>
  <c r="C12" i="16"/>
  <c r="E11" i="16"/>
  <c r="D11" i="16"/>
  <c r="C11" i="16"/>
  <c r="E9" i="16"/>
  <c r="D9" i="16"/>
  <c r="C9" i="16"/>
  <c r="E8" i="16"/>
  <c r="D8" i="16"/>
  <c r="C8" i="16"/>
  <c r="E6" i="16"/>
  <c r="D6" i="16"/>
  <c r="C6" i="16"/>
  <c r="TS59" i="16"/>
  <c r="SW59" i="16"/>
  <c r="SV59" i="16"/>
  <c r="SD59" i="16"/>
  <c r="SC59" i="16"/>
  <c r="SB59" i="16"/>
  <c r="QZ59" i="16"/>
  <c r="QY59" i="16"/>
  <c r="QX59" i="16"/>
  <c r="QX21" i="16" s="1"/>
  <c r="QW59" i="16"/>
  <c r="QW21" i="16" s="1"/>
  <c r="QV59" i="16"/>
  <c r="QU59" i="16"/>
  <c r="QR59" i="16"/>
  <c r="KY59" i="16"/>
  <c r="KX59" i="16"/>
  <c r="KW59" i="16"/>
  <c r="KV59" i="16"/>
  <c r="KU59" i="16"/>
  <c r="KT59" i="16"/>
  <c r="KS59" i="16"/>
  <c r="KR59" i="16"/>
  <c r="KR21" i="16" s="1"/>
  <c r="KQ59" i="16"/>
  <c r="KP59" i="16"/>
  <c r="KO59" i="16"/>
  <c r="KN59" i="16"/>
  <c r="KM59" i="16"/>
  <c r="KL59" i="16"/>
  <c r="KK59" i="16"/>
  <c r="KJ59" i="16"/>
  <c r="KI59" i="16"/>
  <c r="KH59" i="16"/>
  <c r="KG59" i="16"/>
  <c r="KF59" i="16"/>
  <c r="KE59" i="16"/>
  <c r="KD59" i="16"/>
  <c r="KC59" i="16"/>
  <c r="KB59" i="16"/>
  <c r="KB21" i="16" s="1"/>
  <c r="KA59" i="16"/>
  <c r="JZ59" i="16"/>
  <c r="II59" i="16"/>
  <c r="IH59" i="16"/>
  <c r="IG59" i="16"/>
  <c r="IF59" i="16"/>
  <c r="IE59" i="16"/>
  <c r="ID59" i="16"/>
  <c r="IC59" i="16"/>
  <c r="IB59" i="16"/>
  <c r="IA59" i="16"/>
  <c r="HZ59" i="16"/>
  <c r="HY59" i="16"/>
  <c r="HX59" i="16"/>
  <c r="HW59" i="16"/>
  <c r="HV59" i="16"/>
  <c r="HU59" i="16"/>
  <c r="HT59" i="16"/>
  <c r="HS59" i="16"/>
  <c r="HR59" i="16"/>
  <c r="HQ59" i="16"/>
  <c r="HP59" i="16"/>
  <c r="HP21" i="16" s="1"/>
  <c r="HO59" i="16"/>
  <c r="HN59" i="16"/>
  <c r="HM59" i="16"/>
  <c r="HL59" i="16"/>
  <c r="HK59" i="16"/>
  <c r="HJ59" i="16"/>
  <c r="HI59" i="16"/>
  <c r="HH59" i="16"/>
  <c r="HG59" i="16"/>
  <c r="HF59" i="16"/>
  <c r="HE59" i="16"/>
  <c r="HD59" i="16"/>
  <c r="HC59" i="16"/>
  <c r="HB59" i="16"/>
  <c r="WS59" i="16"/>
  <c r="WR59" i="16"/>
  <c r="WQ59" i="16"/>
  <c r="WP59" i="16"/>
  <c r="WO59" i="16"/>
  <c r="WN59" i="16"/>
  <c r="WM59" i="16"/>
  <c r="WL59" i="16"/>
  <c r="WK59" i="16"/>
  <c r="WJ59" i="16"/>
  <c r="WI59" i="16"/>
  <c r="WH59" i="16"/>
  <c r="WG59" i="16"/>
  <c r="WF59" i="16"/>
  <c r="WE59" i="16"/>
  <c r="WD59" i="16"/>
  <c r="WC59" i="16"/>
  <c r="WB59" i="16"/>
  <c r="WA59" i="16"/>
  <c r="VZ59" i="16"/>
  <c r="VY59" i="16"/>
  <c r="VX59" i="16"/>
  <c r="VW59" i="16"/>
  <c r="VV59" i="16"/>
  <c r="VU59" i="16"/>
  <c r="VT59" i="16"/>
  <c r="VS59" i="16"/>
  <c r="VR59" i="16"/>
  <c r="VQ59" i="16"/>
  <c r="VP59" i="16"/>
  <c r="VO59" i="16"/>
  <c r="VN59" i="16"/>
  <c r="VM59" i="16"/>
  <c r="VL59" i="16"/>
  <c r="VK59" i="16"/>
  <c r="VJ59" i="16"/>
  <c r="VI59" i="16"/>
  <c r="VH59" i="16"/>
  <c r="VG59" i="16"/>
  <c r="VF59" i="16"/>
  <c r="VE59" i="16"/>
  <c r="VD59" i="16"/>
  <c r="VC59" i="16"/>
  <c r="VB59" i="16"/>
  <c r="VA59" i="16"/>
  <c r="UZ59" i="16"/>
  <c r="UY59" i="16"/>
  <c r="UX59" i="16"/>
  <c r="UW59" i="16"/>
  <c r="UV59" i="16"/>
  <c r="UU59" i="16"/>
  <c r="UT59" i="16"/>
  <c r="US59" i="16"/>
  <c r="UR59" i="16"/>
  <c r="UQ59" i="16"/>
  <c r="UP59" i="16"/>
  <c r="UO59" i="16"/>
  <c r="UN59" i="16"/>
  <c r="UM59" i="16"/>
  <c r="UL59" i="16"/>
  <c r="UK59" i="16"/>
  <c r="UJ59" i="16"/>
  <c r="UI59" i="16"/>
  <c r="UH59" i="16"/>
  <c r="UG59" i="16"/>
  <c r="UF59" i="16"/>
  <c r="UE59" i="16"/>
  <c r="UD59" i="16"/>
  <c r="UC59" i="16"/>
  <c r="UB59" i="16"/>
  <c r="UA59" i="16"/>
  <c r="TZ59" i="16"/>
  <c r="TY59" i="16"/>
  <c r="TX59" i="16"/>
  <c r="TW59" i="16"/>
  <c r="TV59" i="16"/>
  <c r="TU59" i="16"/>
  <c r="TT59" i="16"/>
  <c r="TR59" i="16"/>
  <c r="TQ59" i="16"/>
  <c r="TP59" i="16"/>
  <c r="TO59" i="16"/>
  <c r="TN59" i="16"/>
  <c r="TM59" i="16"/>
  <c r="TL59" i="16"/>
  <c r="TK59" i="16"/>
  <c r="TJ59" i="16"/>
  <c r="TI59" i="16"/>
  <c r="TH59" i="16"/>
  <c r="TG59" i="16"/>
  <c r="TF59" i="16"/>
  <c r="TE59" i="16"/>
  <c r="TD59" i="16"/>
  <c r="TC59" i="16"/>
  <c r="TB59" i="16"/>
  <c r="TA59" i="16"/>
  <c r="SZ59" i="16"/>
  <c r="SY59" i="16"/>
  <c r="SX59" i="16"/>
  <c r="SU59" i="16"/>
  <c r="ST59" i="16"/>
  <c r="SS59" i="16"/>
  <c r="SR59" i="16"/>
  <c r="SQ59" i="16"/>
  <c r="SP59" i="16"/>
  <c r="SO59" i="16"/>
  <c r="SN59" i="16"/>
  <c r="SM59" i="16"/>
  <c r="SL59" i="16"/>
  <c r="SK59" i="16"/>
  <c r="SJ59" i="16"/>
  <c r="SI59" i="16"/>
  <c r="SH59" i="16"/>
  <c r="SG59" i="16"/>
  <c r="SF59" i="16"/>
  <c r="SE59" i="16"/>
  <c r="SA59" i="16"/>
  <c r="SA21" i="16" s="1"/>
  <c r="RZ59" i="16"/>
  <c r="RZ21" i="16" s="1"/>
  <c r="RY59" i="16"/>
  <c r="RX59" i="16"/>
  <c r="RX21" i="16" s="1"/>
  <c r="RW59" i="16"/>
  <c r="RV59" i="16"/>
  <c r="RV21" i="16" s="1"/>
  <c r="RU59" i="16"/>
  <c r="RT59" i="16"/>
  <c r="RS59" i="16"/>
  <c r="RS21" i="16" s="1"/>
  <c r="RR59" i="16"/>
  <c r="RR21" i="16" s="1"/>
  <c r="RQ59" i="16"/>
  <c r="RP59" i="16"/>
  <c r="RP21" i="16" s="1"/>
  <c r="RO59" i="16"/>
  <c r="RN59" i="16"/>
  <c r="RN21" i="16" s="1"/>
  <c r="RM59" i="16"/>
  <c r="RL59" i="16"/>
  <c r="RL21" i="16" s="1"/>
  <c r="RK59" i="16"/>
  <c r="RK21" i="16" s="1"/>
  <c r="RJ59" i="16"/>
  <c r="RJ21" i="16" s="1"/>
  <c r="RI59" i="16"/>
  <c r="RH59" i="16"/>
  <c r="RH21" i="16" s="1"/>
  <c r="RG59" i="16"/>
  <c r="RF59" i="16"/>
  <c r="RE59" i="16"/>
  <c r="RD59" i="16"/>
  <c r="RC59" i="16"/>
  <c r="RB59" i="16"/>
  <c r="RA59" i="16"/>
  <c r="QY21" i="16"/>
  <c r="QT59" i="16"/>
  <c r="QS59" i="16"/>
  <c r="QQ59" i="16"/>
  <c r="QP59" i="16"/>
  <c r="QO59" i="16"/>
  <c r="QN59" i="16"/>
  <c r="QM59" i="16"/>
  <c r="QL59" i="16"/>
  <c r="QK59" i="16"/>
  <c r="QJ59" i="16"/>
  <c r="QI59" i="16"/>
  <c r="QH59" i="16"/>
  <c r="QG59" i="16"/>
  <c r="QF59" i="16"/>
  <c r="QE59" i="16"/>
  <c r="QD59" i="16"/>
  <c r="QC59" i="16"/>
  <c r="QB59" i="16"/>
  <c r="QA59" i="16"/>
  <c r="PZ59" i="16"/>
  <c r="PY59" i="16"/>
  <c r="PX59" i="16"/>
  <c r="PW59" i="16"/>
  <c r="PV59" i="16"/>
  <c r="PU59" i="16"/>
  <c r="PT59" i="16"/>
  <c r="PS59" i="16"/>
  <c r="PR59" i="16"/>
  <c r="PQ59" i="16"/>
  <c r="PP59" i="16"/>
  <c r="PO59" i="16"/>
  <c r="PN59" i="16"/>
  <c r="PM59" i="16"/>
  <c r="PL59" i="16"/>
  <c r="PK59" i="16"/>
  <c r="PJ59" i="16"/>
  <c r="PI59" i="16"/>
  <c r="PH59" i="16"/>
  <c r="PG59" i="16"/>
  <c r="PF59" i="16"/>
  <c r="PE59" i="16"/>
  <c r="PD59" i="16"/>
  <c r="PC59" i="16"/>
  <c r="PB59" i="16"/>
  <c r="PA59" i="16"/>
  <c r="OZ59" i="16"/>
  <c r="OY59" i="16"/>
  <c r="OX59" i="16"/>
  <c r="OW59" i="16"/>
  <c r="OV59" i="16"/>
  <c r="OU59" i="16"/>
  <c r="OT59" i="16"/>
  <c r="OS59" i="16"/>
  <c r="OR59" i="16"/>
  <c r="OQ59" i="16"/>
  <c r="OP59" i="16"/>
  <c r="OO59" i="16"/>
  <c r="ON59" i="16"/>
  <c r="OM59" i="16"/>
  <c r="OL59" i="16"/>
  <c r="OK59" i="16"/>
  <c r="OJ59" i="16"/>
  <c r="OI59" i="16"/>
  <c r="OH59" i="16"/>
  <c r="OG59" i="16"/>
  <c r="OF59" i="16"/>
  <c r="OE59" i="16"/>
  <c r="OD59" i="16"/>
  <c r="OC59" i="16"/>
  <c r="OB59" i="16"/>
  <c r="OA59" i="16"/>
  <c r="NZ59" i="16"/>
  <c r="NY59" i="16"/>
  <c r="NX59" i="16"/>
  <c r="NW59" i="16"/>
  <c r="NV59" i="16"/>
  <c r="NU59" i="16"/>
  <c r="NT59" i="16"/>
  <c r="NS59" i="16"/>
  <c r="NR59" i="16"/>
  <c r="NQ59" i="16"/>
  <c r="NP59" i="16"/>
  <c r="NO59" i="16"/>
  <c r="NN59" i="16"/>
  <c r="NM59" i="16"/>
  <c r="NL59" i="16"/>
  <c r="NK59" i="16"/>
  <c r="NJ59" i="16"/>
  <c r="NI59" i="16"/>
  <c r="NH59" i="16"/>
  <c r="NG59" i="16"/>
  <c r="NF59" i="16"/>
  <c r="NE59" i="16"/>
  <c r="ND59" i="16"/>
  <c r="NC59" i="16"/>
  <c r="NB59" i="16"/>
  <c r="NA59" i="16"/>
  <c r="MZ59" i="16"/>
  <c r="MY59" i="16"/>
  <c r="MX59" i="16"/>
  <c r="MW59" i="16"/>
  <c r="MV59" i="16"/>
  <c r="MU59" i="16"/>
  <c r="MT59" i="16"/>
  <c r="MS59" i="16"/>
  <c r="MR59" i="16"/>
  <c r="MQ59" i="16"/>
  <c r="MP59" i="16"/>
  <c r="MO59" i="16"/>
  <c r="MN59" i="16"/>
  <c r="MM59" i="16"/>
  <c r="ML59" i="16"/>
  <c r="MK59" i="16"/>
  <c r="MJ59" i="16"/>
  <c r="MI59" i="16"/>
  <c r="MH59" i="16"/>
  <c r="MG59" i="16"/>
  <c r="MF59" i="16"/>
  <c r="ME59" i="16"/>
  <c r="MD59" i="16"/>
  <c r="MC59" i="16"/>
  <c r="MB59" i="16"/>
  <c r="MA59" i="16"/>
  <c r="LZ59" i="16"/>
  <c r="LY59" i="16"/>
  <c r="LX59" i="16"/>
  <c r="LW59" i="16"/>
  <c r="LV59" i="16"/>
  <c r="LU59" i="16"/>
  <c r="LT59" i="16"/>
  <c r="LS59" i="16"/>
  <c r="LR59" i="16"/>
  <c r="LQ59" i="16"/>
  <c r="LP59" i="16"/>
  <c r="LO59" i="16"/>
  <c r="LN59" i="16"/>
  <c r="LM59" i="16"/>
  <c r="LL59" i="16"/>
  <c r="LK59" i="16"/>
  <c r="LJ59" i="16"/>
  <c r="LI59" i="16"/>
  <c r="LH59" i="16"/>
  <c r="LG59" i="16"/>
  <c r="LF59" i="16"/>
  <c r="LE59" i="16"/>
  <c r="LD59" i="16"/>
  <c r="LC59" i="16"/>
  <c r="LB59" i="16"/>
  <c r="LA59" i="16"/>
  <c r="KZ59" i="16"/>
  <c r="JM59" i="16"/>
  <c r="JL59" i="16"/>
  <c r="JK59" i="16"/>
  <c r="JJ59" i="16"/>
  <c r="JI59" i="16"/>
  <c r="JH59" i="16"/>
  <c r="JG59" i="16"/>
  <c r="JF59" i="16"/>
  <c r="JE59" i="16"/>
  <c r="JD59" i="16"/>
  <c r="JC59" i="16"/>
  <c r="JB59" i="16"/>
  <c r="JA59" i="16"/>
  <c r="IZ59" i="16"/>
  <c r="IY59" i="16"/>
  <c r="IX59" i="16"/>
  <c r="IW59" i="16"/>
  <c r="IV59" i="16"/>
  <c r="IV21" i="16" s="1"/>
  <c r="IU59" i="16"/>
  <c r="IT59" i="16"/>
  <c r="IS59" i="16"/>
  <c r="IR59" i="16"/>
  <c r="IQ59" i="16"/>
  <c r="IP59" i="16"/>
  <c r="IO59" i="16"/>
  <c r="IN59" i="16"/>
  <c r="IM59" i="16"/>
  <c r="IL59" i="16"/>
  <c r="IK59" i="16"/>
  <c r="IJ59" i="16"/>
  <c r="HA59" i="16"/>
  <c r="GZ59" i="16"/>
  <c r="GY59" i="16"/>
  <c r="GX59" i="16"/>
  <c r="GW59" i="16"/>
  <c r="GV59" i="16"/>
  <c r="GU59" i="16"/>
  <c r="GT59" i="16"/>
  <c r="GS59" i="16"/>
  <c r="GR59" i="16"/>
  <c r="GQ59" i="16"/>
  <c r="GP59" i="16"/>
  <c r="GO59" i="16"/>
  <c r="GN59" i="16"/>
  <c r="GM59" i="16"/>
  <c r="GL59" i="16"/>
  <c r="GK59" i="16"/>
  <c r="GJ59" i="16"/>
  <c r="GI59" i="16"/>
  <c r="GH59" i="16"/>
  <c r="GG59" i="16"/>
  <c r="GF59" i="16"/>
  <c r="GE59" i="16"/>
  <c r="GD59" i="16"/>
  <c r="GC59" i="16"/>
  <c r="GB59" i="16"/>
  <c r="GA59" i="16"/>
  <c r="FZ59" i="16"/>
  <c r="FY59" i="16"/>
  <c r="FX59" i="16"/>
  <c r="FW59" i="16"/>
  <c r="FV59" i="16"/>
  <c r="FU59" i="16"/>
  <c r="FT59" i="16"/>
  <c r="FS59" i="16"/>
  <c r="FR59" i="16"/>
  <c r="FQ59" i="16"/>
  <c r="FP59" i="16"/>
  <c r="FO59" i="16"/>
  <c r="FN59" i="16"/>
  <c r="FM59" i="16"/>
  <c r="FL59" i="16"/>
  <c r="FK59" i="16"/>
  <c r="FJ59" i="16"/>
  <c r="FI59" i="16"/>
  <c r="FH59" i="16"/>
  <c r="FG59" i="16"/>
  <c r="FF59" i="16"/>
  <c r="FE59" i="16"/>
  <c r="FD59" i="16"/>
  <c r="FC59" i="16"/>
  <c r="FB59" i="16"/>
  <c r="FA59" i="16"/>
  <c r="EZ59" i="16"/>
  <c r="EY59" i="16"/>
  <c r="EX59" i="16"/>
  <c r="EW59" i="16"/>
  <c r="EV59" i="16"/>
  <c r="EU59" i="16"/>
  <c r="ET59" i="16"/>
  <c r="ES59" i="16"/>
  <c r="ER59" i="16"/>
  <c r="EQ59" i="16"/>
  <c r="EP59" i="16"/>
  <c r="EO59" i="16"/>
  <c r="EN59" i="16"/>
  <c r="EM59" i="16"/>
  <c r="EL59" i="16"/>
  <c r="EK59" i="16"/>
  <c r="EJ59" i="16"/>
  <c r="EI59" i="16"/>
  <c r="EH59" i="16"/>
  <c r="EG59" i="16"/>
  <c r="EF59" i="16"/>
  <c r="EE59" i="16"/>
  <c r="ED59" i="16"/>
  <c r="EC59" i="16"/>
  <c r="EB59" i="16"/>
  <c r="EA59" i="16"/>
  <c r="DZ59" i="16"/>
  <c r="DY59" i="16"/>
  <c r="DX59" i="16"/>
  <c r="DW59" i="16"/>
  <c r="DV59" i="16"/>
  <c r="DU59" i="16"/>
  <c r="DT59" i="16"/>
  <c r="DS59" i="16"/>
  <c r="DR59" i="16"/>
  <c r="DQ59" i="16"/>
  <c r="DP59" i="16"/>
  <c r="DO59" i="16"/>
  <c r="DN59" i="16"/>
  <c r="DM59" i="16"/>
  <c r="DL59" i="16"/>
  <c r="DK59" i="16"/>
  <c r="DJ59" i="16"/>
  <c r="DI59" i="16"/>
  <c r="DH59" i="16"/>
  <c r="DG59" i="16"/>
  <c r="DF59" i="16"/>
  <c r="DE59" i="16"/>
  <c r="DD59" i="16"/>
  <c r="DC59" i="16"/>
  <c r="DB59" i="16"/>
  <c r="DA59" i="16"/>
  <c r="CZ59" i="16"/>
  <c r="CY59" i="16"/>
  <c r="CX59" i="16"/>
  <c r="CW59" i="16"/>
  <c r="CV59" i="16"/>
  <c r="CU59" i="16"/>
  <c r="CT59" i="16"/>
  <c r="CS59" i="16"/>
  <c r="CR59" i="16"/>
  <c r="CQ59" i="16"/>
  <c r="CP59" i="16"/>
  <c r="CO59" i="16"/>
  <c r="CN59" i="16"/>
  <c r="CM59" i="16"/>
  <c r="CL59" i="16"/>
  <c r="CK59" i="16"/>
  <c r="CJ59" i="16"/>
  <c r="CI59" i="16"/>
  <c r="CH59" i="16"/>
  <c r="CG59" i="16"/>
  <c r="CF59" i="16"/>
  <c r="CE59" i="16"/>
  <c r="CD59" i="16"/>
  <c r="CC59" i="16"/>
  <c r="CB59" i="16"/>
  <c r="CB21" i="16" s="1"/>
  <c r="CA59" i="16"/>
  <c r="BZ59" i="16"/>
  <c r="BY59" i="16"/>
  <c r="BX59" i="16"/>
  <c r="BW59" i="16"/>
  <c r="BV59" i="16"/>
  <c r="BU59" i="16"/>
  <c r="BT59" i="16"/>
  <c r="BS59" i="16"/>
  <c r="BR59" i="16"/>
  <c r="BQ59" i="16"/>
  <c r="BP59" i="16"/>
  <c r="BO59" i="16"/>
  <c r="BN59" i="16"/>
  <c r="BM59" i="16"/>
  <c r="BL59" i="16"/>
  <c r="BL21" i="16" s="1"/>
  <c r="BK59" i="16"/>
  <c r="BJ59" i="16"/>
  <c r="BI59" i="16"/>
  <c r="BH59" i="16"/>
  <c r="BG59" i="16"/>
  <c r="BF59" i="16"/>
  <c r="BE59" i="16"/>
  <c r="BD59" i="16"/>
  <c r="BC59" i="16"/>
  <c r="BB59" i="16"/>
  <c r="BA59" i="16"/>
  <c r="AZ59" i="16"/>
  <c r="AY59" i="16"/>
  <c r="AX59" i="16"/>
  <c r="AW59" i="16"/>
  <c r="AV59" i="16"/>
  <c r="AV21" i="16" s="1"/>
  <c r="AU59" i="16"/>
  <c r="AT59" i="16"/>
  <c r="AS59" i="16"/>
  <c r="AR59" i="16"/>
  <c r="AQ59" i="16"/>
  <c r="AP59" i="16"/>
  <c r="AO59" i="16"/>
  <c r="AN59" i="16"/>
  <c r="AM59" i="16"/>
  <c r="AL59" i="16"/>
  <c r="AK59" i="16"/>
  <c r="AJ59" i="16"/>
  <c r="AI59" i="16"/>
  <c r="AH59" i="16"/>
  <c r="AG59" i="16"/>
  <c r="AF59" i="16"/>
  <c r="AE59" i="16"/>
  <c r="AD59" i="16"/>
  <c r="AC59" i="16"/>
  <c r="AB59" i="16"/>
  <c r="AA59" i="16"/>
  <c r="Z59" i="16"/>
  <c r="Y59" i="16"/>
  <c r="X59" i="16"/>
  <c r="W59" i="16"/>
  <c r="V59" i="16"/>
  <c r="U59" i="16"/>
  <c r="T59" i="16"/>
  <c r="S59" i="16"/>
  <c r="R59" i="16"/>
  <c r="Q59" i="16"/>
  <c r="P59" i="16"/>
  <c r="P21" i="16" s="1"/>
  <c r="O59" i="16"/>
  <c r="N59" i="16"/>
  <c r="N21" i="16" s="1"/>
  <c r="RW21" i="16"/>
  <c r="RO21" i="16"/>
  <c r="RG21" i="16"/>
  <c r="UC63" i="16"/>
  <c r="UB63" i="16"/>
  <c r="UA63" i="16"/>
  <c r="TZ63" i="16"/>
  <c r="TY63" i="16"/>
  <c r="TX63" i="16"/>
  <c r="TW63" i="16"/>
  <c r="TV63" i="16"/>
  <c r="TU63" i="16"/>
  <c r="TT63" i="16"/>
  <c r="TS63" i="16"/>
  <c r="TR63" i="16"/>
  <c r="TQ63" i="16"/>
  <c r="TP63" i="16"/>
  <c r="TO63" i="16"/>
  <c r="TN63" i="16"/>
  <c r="TM63" i="16"/>
  <c r="TL63" i="16"/>
  <c r="TK63" i="16"/>
  <c r="TJ63" i="16"/>
  <c r="TI63" i="16"/>
  <c r="TH63" i="16"/>
  <c r="TG63" i="16"/>
  <c r="TF63" i="16"/>
  <c r="TE63" i="16"/>
  <c r="TD63" i="16"/>
  <c r="TC63" i="16"/>
  <c r="TB63" i="16"/>
  <c r="TA63" i="16"/>
  <c r="SZ63" i="16"/>
  <c r="SY63" i="16"/>
  <c r="SX63" i="16"/>
  <c r="SW63" i="16"/>
  <c r="SV63" i="16"/>
  <c r="SU63" i="16"/>
  <c r="ST63" i="16"/>
  <c r="SS63" i="16"/>
  <c r="SR63" i="16"/>
  <c r="SQ63" i="16"/>
  <c r="SP63" i="16"/>
  <c r="SO63" i="16"/>
  <c r="SN63" i="16"/>
  <c r="SM63" i="16"/>
  <c r="SL63" i="16"/>
  <c r="SK63" i="16"/>
  <c r="SJ63" i="16"/>
  <c r="SI63" i="16"/>
  <c r="SH63" i="16"/>
  <c r="SG63" i="16"/>
  <c r="SF63" i="16"/>
  <c r="SE63" i="16"/>
  <c r="SD63" i="16"/>
  <c r="SC63" i="16"/>
  <c r="SB63" i="16"/>
  <c r="RF63" i="16"/>
  <c r="RE63" i="16"/>
  <c r="RD63" i="16"/>
  <c r="RC63" i="16"/>
  <c r="RB63" i="16"/>
  <c r="RA63" i="16"/>
  <c r="QT63" i="16"/>
  <c r="QS63" i="16"/>
  <c r="QR63" i="16"/>
  <c r="QQ63" i="16"/>
  <c r="QP63" i="16"/>
  <c r="QO63" i="16"/>
  <c r="QO33" i="16" s="1"/>
  <c r="QN63" i="16"/>
  <c r="QM63" i="16"/>
  <c r="QL63" i="16"/>
  <c r="QK63" i="16"/>
  <c r="QJ63" i="16"/>
  <c r="QI63" i="16"/>
  <c r="QH63" i="16"/>
  <c r="QH33" i="16" s="1"/>
  <c r="QG63" i="16"/>
  <c r="QF63" i="16"/>
  <c r="QE63" i="16"/>
  <c r="QD63" i="16"/>
  <c r="QC63" i="16"/>
  <c r="QB63" i="16"/>
  <c r="QA63" i="16"/>
  <c r="PZ63" i="16"/>
  <c r="PY63" i="16"/>
  <c r="PX63" i="16"/>
  <c r="PW63" i="16"/>
  <c r="PV63" i="16"/>
  <c r="PU63" i="16"/>
  <c r="PT63" i="16"/>
  <c r="PS63" i="16"/>
  <c r="PR63" i="16"/>
  <c r="PQ63" i="16"/>
  <c r="PP63" i="16"/>
  <c r="PO63" i="16"/>
  <c r="PN63" i="16"/>
  <c r="PM63" i="16"/>
  <c r="PL63" i="16"/>
  <c r="PK63" i="16"/>
  <c r="PJ63" i="16"/>
  <c r="PI63" i="16"/>
  <c r="PH63" i="16"/>
  <c r="PG63" i="16"/>
  <c r="PF63" i="16"/>
  <c r="PE63" i="16"/>
  <c r="PD63" i="16"/>
  <c r="PC63" i="16"/>
  <c r="PB63" i="16"/>
  <c r="PA63" i="16"/>
  <c r="OZ63" i="16"/>
  <c r="OY63" i="16"/>
  <c r="OX63" i="16"/>
  <c r="OW63" i="16"/>
  <c r="OV63" i="16"/>
  <c r="OU63" i="16"/>
  <c r="OT63" i="16"/>
  <c r="OS63" i="16"/>
  <c r="OR63" i="16"/>
  <c r="OQ63" i="16"/>
  <c r="OP63" i="16"/>
  <c r="OO63" i="16"/>
  <c r="ON63" i="16"/>
  <c r="OM63" i="16"/>
  <c r="OL63" i="16"/>
  <c r="OK63" i="16"/>
  <c r="OJ63" i="16"/>
  <c r="OI63" i="16"/>
  <c r="OH63" i="16"/>
  <c r="OG63" i="16"/>
  <c r="OF63" i="16"/>
  <c r="OE63" i="16"/>
  <c r="OD63" i="16"/>
  <c r="OC63" i="16"/>
  <c r="OB63" i="16"/>
  <c r="OA63" i="16"/>
  <c r="NZ63" i="16"/>
  <c r="NY63" i="16"/>
  <c r="NX63" i="16"/>
  <c r="NW63" i="16"/>
  <c r="NV63" i="16"/>
  <c r="NU63" i="16"/>
  <c r="NT63" i="16"/>
  <c r="NS63" i="16"/>
  <c r="NR63" i="16"/>
  <c r="NQ63" i="16"/>
  <c r="NP63" i="16"/>
  <c r="NO63" i="16"/>
  <c r="NN63" i="16"/>
  <c r="NM63" i="16"/>
  <c r="NL63" i="16"/>
  <c r="NK63" i="16"/>
  <c r="NJ63" i="16"/>
  <c r="NI63" i="16"/>
  <c r="NH63" i="16"/>
  <c r="NG63" i="16"/>
  <c r="NF63" i="16"/>
  <c r="NE63" i="16"/>
  <c r="ND63" i="16"/>
  <c r="NC63" i="16"/>
  <c r="NB63" i="16"/>
  <c r="NA63" i="16"/>
  <c r="MZ63" i="16"/>
  <c r="MY63" i="16"/>
  <c r="MX63" i="16"/>
  <c r="MW63" i="16"/>
  <c r="MV63" i="16"/>
  <c r="MU63" i="16"/>
  <c r="MT63" i="16"/>
  <c r="MS63" i="16"/>
  <c r="MR63" i="16"/>
  <c r="MQ63" i="16"/>
  <c r="MP63" i="16"/>
  <c r="MO63" i="16"/>
  <c r="MN63" i="16"/>
  <c r="MM63" i="16"/>
  <c r="ML63" i="16"/>
  <c r="MK63" i="16"/>
  <c r="MJ63" i="16"/>
  <c r="MI63" i="16"/>
  <c r="MH63" i="16"/>
  <c r="MG63" i="16"/>
  <c r="MF63" i="16"/>
  <c r="ME63" i="16"/>
  <c r="MD63" i="16"/>
  <c r="MC63" i="16"/>
  <c r="MB63" i="16"/>
  <c r="MA63" i="16"/>
  <c r="LZ63" i="16"/>
  <c r="LY63" i="16"/>
  <c r="LX63" i="16"/>
  <c r="LW63" i="16"/>
  <c r="LV63" i="16"/>
  <c r="LU63" i="16"/>
  <c r="LT63" i="16"/>
  <c r="LS63" i="16"/>
  <c r="LR63" i="16"/>
  <c r="LQ63" i="16"/>
  <c r="LP63" i="16"/>
  <c r="LO63" i="16"/>
  <c r="LN63" i="16"/>
  <c r="LM63" i="16"/>
  <c r="LL63" i="16"/>
  <c r="LK63" i="16"/>
  <c r="LJ63" i="16"/>
  <c r="LJ33" i="16" s="1"/>
  <c r="LI63" i="16"/>
  <c r="LH63" i="16"/>
  <c r="LG63" i="16"/>
  <c r="LF63" i="16"/>
  <c r="LE63" i="16"/>
  <c r="LD63" i="16"/>
  <c r="LC63" i="16"/>
  <c r="LB63" i="16"/>
  <c r="LA63" i="16"/>
  <c r="KZ63" i="16"/>
  <c r="KY63" i="16"/>
  <c r="KX63" i="16"/>
  <c r="KW63" i="16"/>
  <c r="KV63" i="16"/>
  <c r="KU63" i="16"/>
  <c r="KT63" i="16"/>
  <c r="KS63" i="16"/>
  <c r="KR63" i="16"/>
  <c r="KQ63" i="16"/>
  <c r="KP63" i="16"/>
  <c r="KO63" i="16"/>
  <c r="KN63" i="16"/>
  <c r="KM63" i="16"/>
  <c r="KL63" i="16"/>
  <c r="KK63" i="16"/>
  <c r="KJ63" i="16"/>
  <c r="KI63" i="16"/>
  <c r="KH63" i="16"/>
  <c r="KG63" i="16"/>
  <c r="KF63" i="16"/>
  <c r="KE63" i="16"/>
  <c r="KD63" i="16"/>
  <c r="KC63" i="16"/>
  <c r="KB63" i="16"/>
  <c r="KA63" i="16"/>
  <c r="JZ63" i="16"/>
  <c r="JY63" i="16"/>
  <c r="JX63" i="16"/>
  <c r="JW63" i="16"/>
  <c r="JV63" i="16"/>
  <c r="JU63" i="16"/>
  <c r="JT63" i="16"/>
  <c r="JS63" i="16"/>
  <c r="JR63" i="16"/>
  <c r="JQ63" i="16"/>
  <c r="JP63" i="16"/>
  <c r="JO63" i="16"/>
  <c r="JN63" i="16"/>
  <c r="JM63" i="16"/>
  <c r="JL63" i="16"/>
  <c r="JK63" i="16"/>
  <c r="JJ63" i="16"/>
  <c r="JI63" i="16"/>
  <c r="JH63" i="16"/>
  <c r="JG63" i="16"/>
  <c r="JF63" i="16"/>
  <c r="JE63" i="16"/>
  <c r="JD63" i="16"/>
  <c r="JC63" i="16"/>
  <c r="JB63" i="16"/>
  <c r="JA63" i="16"/>
  <c r="IZ63" i="16"/>
  <c r="IY63" i="16"/>
  <c r="IX63" i="16"/>
  <c r="IW63" i="16"/>
  <c r="IV63" i="16"/>
  <c r="IU63" i="16"/>
  <c r="IT63" i="16"/>
  <c r="IS63" i="16"/>
  <c r="IR63" i="16"/>
  <c r="IQ63" i="16"/>
  <c r="IP63" i="16"/>
  <c r="IO63" i="16"/>
  <c r="IN63" i="16"/>
  <c r="IM63" i="16"/>
  <c r="IL63" i="16"/>
  <c r="IK63" i="16"/>
  <c r="IJ63" i="16"/>
  <c r="II63" i="16"/>
  <c r="IH63" i="16"/>
  <c r="IG63" i="16"/>
  <c r="IF63" i="16"/>
  <c r="IE63" i="16"/>
  <c r="ID63" i="16"/>
  <c r="IC63" i="16"/>
  <c r="IB63" i="16"/>
  <c r="IA63" i="16"/>
  <c r="HZ63" i="16"/>
  <c r="HY63" i="16"/>
  <c r="HX63" i="16"/>
  <c r="HW63" i="16"/>
  <c r="HV63" i="16"/>
  <c r="HU63" i="16"/>
  <c r="HT63" i="16"/>
  <c r="HS63" i="16"/>
  <c r="HR63" i="16"/>
  <c r="HQ63" i="16"/>
  <c r="HP63" i="16"/>
  <c r="HO63" i="16"/>
  <c r="HN63" i="16"/>
  <c r="HM63" i="16"/>
  <c r="HL63" i="16"/>
  <c r="HK63" i="16"/>
  <c r="HJ63" i="16"/>
  <c r="HI63" i="16"/>
  <c r="HH63" i="16"/>
  <c r="HG63" i="16"/>
  <c r="HF63" i="16"/>
  <c r="HE63" i="16"/>
  <c r="HD63" i="16"/>
  <c r="HC63" i="16"/>
  <c r="HB63" i="16"/>
  <c r="HA63" i="16"/>
  <c r="GZ63" i="16"/>
  <c r="GY63" i="16"/>
  <c r="GX63" i="16"/>
  <c r="GW63" i="16"/>
  <c r="GV63" i="16"/>
  <c r="GU63" i="16"/>
  <c r="GT63" i="16"/>
  <c r="GS63" i="16"/>
  <c r="GR63" i="16"/>
  <c r="GQ63" i="16"/>
  <c r="GP63" i="16"/>
  <c r="GO63" i="16"/>
  <c r="GN63" i="16"/>
  <c r="GM63" i="16"/>
  <c r="GL63" i="16"/>
  <c r="GK63" i="16"/>
  <c r="GJ63" i="16"/>
  <c r="GI63" i="16"/>
  <c r="GH63" i="16"/>
  <c r="GG63" i="16"/>
  <c r="GF63" i="16"/>
  <c r="GE63" i="16"/>
  <c r="GD63" i="16"/>
  <c r="GC63" i="16"/>
  <c r="GB63" i="16"/>
  <c r="GA63" i="16"/>
  <c r="FZ63" i="16"/>
  <c r="FY63" i="16"/>
  <c r="FX63" i="16"/>
  <c r="FW63" i="16"/>
  <c r="FV63" i="16"/>
  <c r="FU63" i="16"/>
  <c r="FT63" i="16"/>
  <c r="FS63" i="16"/>
  <c r="FR63" i="16"/>
  <c r="FQ63" i="16"/>
  <c r="FP63" i="16"/>
  <c r="FO63" i="16"/>
  <c r="FN63" i="16"/>
  <c r="FM63" i="16"/>
  <c r="FL63" i="16"/>
  <c r="FK63" i="16"/>
  <c r="FJ63" i="16"/>
  <c r="FI63" i="16"/>
  <c r="FH63" i="16"/>
  <c r="FG63" i="16"/>
  <c r="FF63" i="16"/>
  <c r="FE63" i="16"/>
  <c r="FD63" i="16"/>
  <c r="FC63" i="16"/>
  <c r="FB63" i="16"/>
  <c r="FA63" i="16"/>
  <c r="EZ63" i="16"/>
  <c r="EY63" i="16"/>
  <c r="EX63" i="16"/>
  <c r="EW63" i="16"/>
  <c r="EV63" i="16"/>
  <c r="EU63" i="16"/>
  <c r="ET63" i="16"/>
  <c r="ES63" i="16"/>
  <c r="ER63" i="16"/>
  <c r="EQ63" i="16"/>
  <c r="EP63" i="16"/>
  <c r="EO63" i="16"/>
  <c r="EN63" i="16"/>
  <c r="EM63" i="16"/>
  <c r="EL63" i="16"/>
  <c r="EK63" i="16"/>
  <c r="EJ63" i="16"/>
  <c r="EI63" i="16"/>
  <c r="EH63" i="16"/>
  <c r="EG63" i="16"/>
  <c r="EF63" i="16"/>
  <c r="EE63" i="16"/>
  <c r="ED63" i="16"/>
  <c r="EC63" i="16"/>
  <c r="EB63" i="16"/>
  <c r="EA63" i="16"/>
  <c r="DZ63" i="16"/>
  <c r="DZ33" i="16" s="1"/>
  <c r="DY63" i="16"/>
  <c r="DX63" i="16"/>
  <c r="DW63" i="16"/>
  <c r="DV63" i="16"/>
  <c r="DU63" i="16"/>
  <c r="DT63" i="16"/>
  <c r="DS63" i="16"/>
  <c r="DR63" i="16"/>
  <c r="DQ63" i="16"/>
  <c r="DP63" i="16"/>
  <c r="DO63" i="16"/>
  <c r="DN63" i="16"/>
  <c r="DM63" i="16"/>
  <c r="DL63" i="16"/>
  <c r="DK63" i="16"/>
  <c r="DJ63" i="16"/>
  <c r="DI63" i="16"/>
  <c r="DH63" i="16"/>
  <c r="DG63" i="16"/>
  <c r="DF63" i="16"/>
  <c r="DE63" i="16"/>
  <c r="DD63" i="16"/>
  <c r="DC63" i="16"/>
  <c r="DB63" i="16"/>
  <c r="DA63" i="16"/>
  <c r="CZ63" i="16"/>
  <c r="CY63" i="16"/>
  <c r="CX63" i="16"/>
  <c r="CW63" i="16"/>
  <c r="CV63" i="16"/>
  <c r="CU63" i="16"/>
  <c r="CT63" i="16"/>
  <c r="CS63" i="16"/>
  <c r="CR63" i="16"/>
  <c r="CQ63" i="16"/>
  <c r="CP63" i="16"/>
  <c r="CO63" i="16"/>
  <c r="CN63" i="16"/>
  <c r="CM63" i="16"/>
  <c r="CL63" i="16"/>
  <c r="CK63" i="16"/>
  <c r="CJ63" i="16"/>
  <c r="CI63" i="16"/>
  <c r="CH63" i="16"/>
  <c r="CG63" i="16"/>
  <c r="CF63" i="16"/>
  <c r="CE63" i="16"/>
  <c r="CD63" i="16"/>
  <c r="CC63" i="16"/>
  <c r="CB63" i="16"/>
  <c r="CA63" i="16"/>
  <c r="BZ63" i="16"/>
  <c r="BY63" i="16"/>
  <c r="BX63" i="16"/>
  <c r="BW63" i="16"/>
  <c r="BV63" i="16"/>
  <c r="BU63" i="16"/>
  <c r="BT63" i="16"/>
  <c r="BS63" i="16"/>
  <c r="BR63" i="16"/>
  <c r="BQ63" i="16"/>
  <c r="BP63" i="16"/>
  <c r="BO63" i="16"/>
  <c r="BN63" i="16"/>
  <c r="BM63" i="16"/>
  <c r="BL63" i="16"/>
  <c r="BK63" i="16"/>
  <c r="BJ63" i="16"/>
  <c r="BI63" i="16"/>
  <c r="BH63" i="16"/>
  <c r="BG63" i="16"/>
  <c r="BF63" i="16"/>
  <c r="BE63" i="16"/>
  <c r="BD63" i="16"/>
  <c r="BC63" i="16"/>
  <c r="BB63" i="16"/>
  <c r="BA63" i="16"/>
  <c r="AZ63" i="16"/>
  <c r="AY63" i="16"/>
  <c r="AX63" i="16"/>
  <c r="AW63" i="16"/>
  <c r="AV63" i="16"/>
  <c r="AU63" i="16"/>
  <c r="AT63" i="16"/>
  <c r="AS63" i="16"/>
  <c r="AR63" i="16"/>
  <c r="AQ63" i="16"/>
  <c r="AP63" i="16"/>
  <c r="AO63" i="16"/>
  <c r="AN63" i="16"/>
  <c r="AM63" i="16"/>
  <c r="AL63" i="16"/>
  <c r="AK63" i="16"/>
  <c r="AJ63" i="16"/>
  <c r="AI63" i="16"/>
  <c r="AH63" i="16"/>
  <c r="AG63" i="16"/>
  <c r="AF63" i="16"/>
  <c r="AE63" i="16"/>
  <c r="AD63" i="16"/>
  <c r="AC63" i="16"/>
  <c r="AB63" i="16"/>
  <c r="AA63" i="16"/>
  <c r="Z63" i="16"/>
  <c r="Y63" i="16"/>
  <c r="X63" i="16"/>
  <c r="W63" i="16"/>
  <c r="V63" i="16"/>
  <c r="U63" i="16"/>
  <c r="T63" i="16"/>
  <c r="S63" i="16"/>
  <c r="R63" i="16"/>
  <c r="Q63" i="16"/>
  <c r="P63" i="16"/>
  <c r="O63" i="16"/>
  <c r="N63" i="16"/>
  <c r="WS62" i="16"/>
  <c r="WS30" i="16" s="1"/>
  <c r="WR62" i="16"/>
  <c r="WQ62" i="16"/>
  <c r="WQ30" i="16" s="1"/>
  <c r="WP62" i="16"/>
  <c r="WO62" i="16"/>
  <c r="WO30" i="16" s="1"/>
  <c r="WN62" i="16"/>
  <c r="WM62" i="16"/>
  <c r="WL62" i="16"/>
  <c r="WL30" i="16" s="1"/>
  <c r="WK62" i="16"/>
  <c r="WK30" i="16" s="1"/>
  <c r="WJ62" i="16"/>
  <c r="WI62" i="16"/>
  <c r="WI30" i="16" s="1"/>
  <c r="WH62" i="16"/>
  <c r="WG62" i="16"/>
  <c r="WG30" i="16" s="1"/>
  <c r="WF62" i="16"/>
  <c r="WE62" i="16"/>
  <c r="WD62" i="16"/>
  <c r="WD30" i="16" s="1"/>
  <c r="WC62" i="16"/>
  <c r="WC30" i="16" s="1"/>
  <c r="WB62" i="16"/>
  <c r="WA62" i="16"/>
  <c r="WA30" i="16" s="1"/>
  <c r="VZ62" i="16"/>
  <c r="VZ30" i="16" s="1"/>
  <c r="VY62" i="16"/>
  <c r="VY30" i="16" s="1"/>
  <c r="VX62" i="16"/>
  <c r="VW62" i="16"/>
  <c r="VV62" i="16"/>
  <c r="VU62" i="16"/>
  <c r="VU30" i="16" s="1"/>
  <c r="VT62" i="16"/>
  <c r="VS62" i="16"/>
  <c r="VS30" i="16" s="1"/>
  <c r="VR62" i="16"/>
  <c r="VR30" i="16" s="1"/>
  <c r="VQ62" i="16"/>
  <c r="VQ30" i="16" s="1"/>
  <c r="VP62" i="16"/>
  <c r="VO62" i="16"/>
  <c r="VN62" i="16"/>
  <c r="VM62" i="16"/>
  <c r="VM30" i="16" s="1"/>
  <c r="VL62" i="16"/>
  <c r="VK62" i="16"/>
  <c r="VK30" i="16" s="1"/>
  <c r="VJ62" i="16"/>
  <c r="VJ30" i="16" s="1"/>
  <c r="VI62" i="16"/>
  <c r="VI30" i="16" s="1"/>
  <c r="VH62" i="16"/>
  <c r="VG62" i="16"/>
  <c r="VF62" i="16"/>
  <c r="VF30" i="16" s="1"/>
  <c r="VE62" i="16"/>
  <c r="VE30" i="16" s="1"/>
  <c r="VD62" i="16"/>
  <c r="VC62" i="16"/>
  <c r="VC30" i="16" s="1"/>
  <c r="VB62" i="16"/>
  <c r="VB30" i="16" s="1"/>
  <c r="VA62" i="16"/>
  <c r="VA30" i="16" s="1"/>
  <c r="UZ62" i="16"/>
  <c r="UY62" i="16"/>
  <c r="UX62" i="16"/>
  <c r="UX30" i="16" s="1"/>
  <c r="UW62" i="16"/>
  <c r="UW30" i="16" s="1"/>
  <c r="UV62" i="16"/>
  <c r="UU62" i="16"/>
  <c r="UU30" i="16" s="1"/>
  <c r="UT62" i="16"/>
  <c r="UT30" i="16" s="1"/>
  <c r="US62" i="16"/>
  <c r="US30" i="16" s="1"/>
  <c r="UR62" i="16"/>
  <c r="UQ62" i="16"/>
  <c r="UP62" i="16"/>
  <c r="UP30" i="16" s="1"/>
  <c r="UO62" i="16"/>
  <c r="UO30" i="16" s="1"/>
  <c r="UN62" i="16"/>
  <c r="UM62" i="16"/>
  <c r="UM30" i="16" s="1"/>
  <c r="UL62" i="16"/>
  <c r="UL30" i="16" s="1"/>
  <c r="UK62" i="16"/>
  <c r="UK30" i="16" s="1"/>
  <c r="UJ62" i="16"/>
  <c r="UI62" i="16"/>
  <c r="UH62" i="16"/>
  <c r="UH30" i="16" s="1"/>
  <c r="UG62" i="16"/>
  <c r="UG30" i="16" s="1"/>
  <c r="UF62" i="16"/>
  <c r="UE62" i="16"/>
  <c r="UE30" i="16" s="1"/>
  <c r="UD62" i="16"/>
  <c r="UC62" i="16"/>
  <c r="UC30" i="16" s="1"/>
  <c r="UB62" i="16"/>
  <c r="UA62" i="16"/>
  <c r="TZ62" i="16"/>
  <c r="TZ30" i="16" s="1"/>
  <c r="TY62" i="16"/>
  <c r="TY30" i="16" s="1"/>
  <c r="TX62" i="16"/>
  <c r="TW62" i="16"/>
  <c r="TW30" i="16" s="1"/>
  <c r="TV62" i="16"/>
  <c r="TU62" i="16"/>
  <c r="TU30" i="16" s="1"/>
  <c r="TT62" i="16"/>
  <c r="TS62" i="16"/>
  <c r="TR62" i="16"/>
  <c r="TR30" i="16" s="1"/>
  <c r="TQ62" i="16"/>
  <c r="TQ30" i="16" s="1"/>
  <c r="TP62" i="16"/>
  <c r="TO62" i="16"/>
  <c r="TO30" i="16" s="1"/>
  <c r="TN62" i="16"/>
  <c r="TN30" i="16" s="1"/>
  <c r="TM62" i="16"/>
  <c r="TM30" i="16" s="1"/>
  <c r="TL62" i="16"/>
  <c r="TK62" i="16"/>
  <c r="TJ62" i="16"/>
  <c r="TI62" i="16"/>
  <c r="TI30" i="16" s="1"/>
  <c r="TH62" i="16"/>
  <c r="TG62" i="16"/>
  <c r="TG30" i="16" s="1"/>
  <c r="TF62" i="16"/>
  <c r="TF30" i="16" s="1"/>
  <c r="TE62" i="16"/>
  <c r="TE30" i="16" s="1"/>
  <c r="TD62" i="16"/>
  <c r="TC62" i="16"/>
  <c r="TB62" i="16"/>
  <c r="TA62" i="16"/>
  <c r="TA30" i="16" s="1"/>
  <c r="SZ62" i="16"/>
  <c r="SY62" i="16"/>
  <c r="SY30" i="16" s="1"/>
  <c r="SX62" i="16"/>
  <c r="SX30" i="16" s="1"/>
  <c r="SW62" i="16"/>
  <c r="SW30" i="16" s="1"/>
  <c r="SV62" i="16"/>
  <c r="SU62" i="16"/>
  <c r="ST62" i="16"/>
  <c r="ST30" i="16" s="1"/>
  <c r="SS62" i="16"/>
  <c r="SS30" i="16" s="1"/>
  <c r="SR62" i="16"/>
  <c r="SQ62" i="16"/>
  <c r="SQ30" i="16" s="1"/>
  <c r="SP62" i="16"/>
  <c r="SP30" i="16" s="1"/>
  <c r="SO62" i="16"/>
  <c r="SO30" i="16" s="1"/>
  <c r="SN62" i="16"/>
  <c r="SM62" i="16"/>
  <c r="SL62" i="16"/>
  <c r="SL30" i="16" s="1"/>
  <c r="SK62" i="16"/>
  <c r="SK30" i="16" s="1"/>
  <c r="SJ62" i="16"/>
  <c r="SI62" i="16"/>
  <c r="SI30" i="16" s="1"/>
  <c r="SH62" i="16"/>
  <c r="SH30" i="16" s="1"/>
  <c r="SG62" i="16"/>
  <c r="SG30" i="16" s="1"/>
  <c r="SF62" i="16"/>
  <c r="SE62" i="16"/>
  <c r="SD62" i="16"/>
  <c r="SD30" i="16" s="1"/>
  <c r="SC62" i="16"/>
  <c r="SC30" i="16" s="1"/>
  <c r="SB62" i="16"/>
  <c r="RF62" i="16"/>
  <c r="RE62" i="16"/>
  <c r="RE30" i="16" s="1"/>
  <c r="RD62" i="16"/>
  <c r="RD30" i="16" s="1"/>
  <c r="RC62" i="16"/>
  <c r="RB62" i="16"/>
  <c r="RA62" i="16"/>
  <c r="RA30" i="16" s="1"/>
  <c r="QT62" i="16"/>
  <c r="QS62" i="16"/>
  <c r="QR62" i="16"/>
  <c r="QR30" i="16" s="1"/>
  <c r="QQ62" i="16"/>
  <c r="QQ30" i="16" s="1"/>
  <c r="QP62" i="16"/>
  <c r="QP30" i="16" s="1"/>
  <c r="QO62" i="16"/>
  <c r="QN62" i="16"/>
  <c r="QN30" i="16" s="1"/>
  <c r="QM62" i="16"/>
  <c r="QM30" i="16" s="1"/>
  <c r="QL62" i="16"/>
  <c r="QL30" i="16" s="1"/>
  <c r="QK62" i="16"/>
  <c r="QJ62" i="16"/>
  <c r="QJ30" i="16" s="1"/>
  <c r="QI62" i="16"/>
  <c r="QI30" i="16" s="1"/>
  <c r="QH62" i="16"/>
  <c r="QH30" i="16" s="1"/>
  <c r="QG62" i="16"/>
  <c r="QF62" i="16"/>
  <c r="QF30" i="16" s="1"/>
  <c r="QE62" i="16"/>
  <c r="QE30" i="16" s="1"/>
  <c r="QD62" i="16"/>
  <c r="QC62" i="16"/>
  <c r="QB62" i="16"/>
  <c r="QA62" i="16"/>
  <c r="QA30" i="16" s="1"/>
  <c r="PZ62" i="16"/>
  <c r="PZ30" i="16" s="1"/>
  <c r="PY62" i="16"/>
  <c r="PX62" i="16"/>
  <c r="PW62" i="16"/>
  <c r="PW30" i="16" s="1"/>
  <c r="PV62" i="16"/>
  <c r="PV30" i="16" s="1"/>
  <c r="PU62" i="16"/>
  <c r="PT62" i="16"/>
  <c r="PS62" i="16"/>
  <c r="PS30" i="16" s="1"/>
  <c r="PR62" i="16"/>
  <c r="PR30" i="16" s="1"/>
  <c r="PQ62" i="16"/>
  <c r="PP62" i="16"/>
  <c r="PO62" i="16"/>
  <c r="PO30" i="16" s="1"/>
  <c r="PN62" i="16"/>
  <c r="PM62" i="16"/>
  <c r="PL62" i="16"/>
  <c r="PL30" i="16" s="1"/>
  <c r="PK62" i="16"/>
  <c r="PK30" i="16" s="1"/>
  <c r="PJ62" i="16"/>
  <c r="PJ30" i="16" s="1"/>
  <c r="PI62" i="16"/>
  <c r="PH62" i="16"/>
  <c r="PH30" i="16" s="1"/>
  <c r="PG62" i="16"/>
  <c r="PG30" i="16" s="1"/>
  <c r="PF62" i="16"/>
  <c r="PF30" i="16" s="1"/>
  <c r="PE62" i="16"/>
  <c r="PD62" i="16"/>
  <c r="PD30" i="16" s="1"/>
  <c r="PC62" i="16"/>
  <c r="PC30" i="16" s="1"/>
  <c r="PB62" i="16"/>
  <c r="PB30" i="16" s="1"/>
  <c r="PA62" i="16"/>
  <c r="OZ62" i="16"/>
  <c r="OZ30" i="16" s="1"/>
  <c r="OY62" i="16"/>
  <c r="OY30" i="16" s="1"/>
  <c r="OX62" i="16"/>
  <c r="OW62" i="16"/>
  <c r="OV62" i="16"/>
  <c r="OU62" i="16"/>
  <c r="OU30" i="16" s="1"/>
  <c r="OT62" i="16"/>
  <c r="OT30" i="16" s="1"/>
  <c r="OS62" i="16"/>
  <c r="OR62" i="16"/>
  <c r="OQ62" i="16"/>
  <c r="OQ30" i="16" s="1"/>
  <c r="OP62" i="16"/>
  <c r="OP30" i="16" s="1"/>
  <c r="OO62" i="16"/>
  <c r="ON62" i="16"/>
  <c r="OM62" i="16"/>
  <c r="OM30" i="16" s="1"/>
  <c r="OL62" i="16"/>
  <c r="OL30" i="16" s="1"/>
  <c r="OK62" i="16"/>
  <c r="OJ62" i="16"/>
  <c r="OI62" i="16"/>
  <c r="OI30" i="16" s="1"/>
  <c r="OH62" i="16"/>
  <c r="OG62" i="16"/>
  <c r="OF62" i="16"/>
  <c r="OF30" i="16" s="1"/>
  <c r="OE62" i="16"/>
  <c r="OE30" i="16" s="1"/>
  <c r="OD62" i="16"/>
  <c r="OD30" i="16" s="1"/>
  <c r="OC62" i="16"/>
  <c r="OB62" i="16"/>
  <c r="OB30" i="16" s="1"/>
  <c r="OA62" i="16"/>
  <c r="OA30" i="16" s="1"/>
  <c r="NZ62" i="16"/>
  <c r="NZ30" i="16" s="1"/>
  <c r="NY62" i="16"/>
  <c r="NX62" i="16"/>
  <c r="NX30" i="16" s="1"/>
  <c r="NW62" i="16"/>
  <c r="NW30" i="16" s="1"/>
  <c r="NV62" i="16"/>
  <c r="NV30" i="16" s="1"/>
  <c r="NU62" i="16"/>
  <c r="NG62" i="16"/>
  <c r="NG30" i="16" s="1"/>
  <c r="NF62" i="16"/>
  <c r="NF30" i="16" s="1"/>
  <c r="NE62" i="16"/>
  <c r="ND62" i="16"/>
  <c r="NC62" i="16"/>
  <c r="NC30" i="16" s="1"/>
  <c r="NB62" i="16"/>
  <c r="NB30" i="16" s="1"/>
  <c r="NA62" i="16"/>
  <c r="NA30" i="16" s="1"/>
  <c r="MZ62" i="16"/>
  <c r="MY62" i="16"/>
  <c r="MY30" i="16" s="1"/>
  <c r="MX62" i="16"/>
  <c r="MX30" i="16" s="1"/>
  <c r="MW62" i="16"/>
  <c r="MW30" i="16" s="1"/>
  <c r="MV62" i="16"/>
  <c r="MU62" i="16"/>
  <c r="MU30" i="16" s="1"/>
  <c r="MT62" i="16"/>
  <c r="MS62" i="16"/>
  <c r="MS30" i="16" s="1"/>
  <c r="MR62" i="16"/>
  <c r="MQ62" i="16"/>
  <c r="MQ30" i="16" s="1"/>
  <c r="MP62" i="16"/>
  <c r="MP30" i="16" s="1"/>
  <c r="MO62" i="16"/>
  <c r="MN62" i="16"/>
  <c r="MM62" i="16"/>
  <c r="MM30" i="16" s="1"/>
  <c r="ML62" i="16"/>
  <c r="MK62" i="16"/>
  <c r="MK30" i="16" s="1"/>
  <c r="MJ62" i="16"/>
  <c r="MI62" i="16"/>
  <c r="MI30" i="16" s="1"/>
  <c r="MH62" i="16"/>
  <c r="MH30" i="16" s="1"/>
  <c r="MG62" i="16"/>
  <c r="MG30" i="16" s="1"/>
  <c r="MF62" i="16"/>
  <c r="ME62" i="16"/>
  <c r="ME30" i="16" s="1"/>
  <c r="MD62" i="16"/>
  <c r="MC62" i="16"/>
  <c r="MC30" i="16" s="1"/>
  <c r="MB62" i="16"/>
  <c r="MA62" i="16"/>
  <c r="MA30" i="16" s="1"/>
  <c r="LZ62" i="16"/>
  <c r="LZ30" i="16" s="1"/>
  <c r="LY62" i="16"/>
  <c r="LX62" i="16"/>
  <c r="LW62" i="16"/>
  <c r="LW30" i="16" s="1"/>
  <c r="LV62" i="16"/>
  <c r="LV30" i="16" s="1"/>
  <c r="LU62" i="16"/>
  <c r="LU30" i="16" s="1"/>
  <c r="LT62" i="16"/>
  <c r="LS62" i="16"/>
  <c r="LS30" i="16" s="1"/>
  <c r="LR62" i="16"/>
  <c r="LR30" i="16" s="1"/>
  <c r="LQ62" i="16"/>
  <c r="LQ30" i="16" s="1"/>
  <c r="LP62" i="16"/>
  <c r="LO62" i="16"/>
  <c r="LO30" i="16" s="1"/>
  <c r="LN62" i="16"/>
  <c r="LN30" i="16" s="1"/>
  <c r="LM62" i="16"/>
  <c r="LM30" i="16" s="1"/>
  <c r="LL62" i="16"/>
  <c r="LK62" i="16"/>
  <c r="LK30" i="16" s="1"/>
  <c r="LJ62" i="16"/>
  <c r="LJ30" i="16" s="1"/>
  <c r="LI62" i="16"/>
  <c r="LH62" i="16"/>
  <c r="LG62" i="16"/>
  <c r="LG30" i="16" s="1"/>
  <c r="LF62" i="16"/>
  <c r="LF30" i="16" s="1"/>
  <c r="LE62" i="16"/>
  <c r="LE30" i="16" s="1"/>
  <c r="LD62" i="16"/>
  <c r="LC62" i="16"/>
  <c r="LC30" i="16" s="1"/>
  <c r="LB62" i="16"/>
  <c r="LB30" i="16" s="1"/>
  <c r="LA62" i="16"/>
  <c r="LA30" i="16" s="1"/>
  <c r="KZ62" i="16"/>
  <c r="KY62" i="16"/>
  <c r="KY30" i="16" s="1"/>
  <c r="KX62" i="16"/>
  <c r="KX30" i="16" s="1"/>
  <c r="KW62" i="16"/>
  <c r="KW30" i="16" s="1"/>
  <c r="KV62" i="16"/>
  <c r="KU62" i="16"/>
  <c r="KU30" i="16" s="1"/>
  <c r="KT62" i="16"/>
  <c r="KT30" i="16" s="1"/>
  <c r="KS62" i="16"/>
  <c r="KR62" i="16"/>
  <c r="KQ62" i="16"/>
  <c r="KQ30" i="16" s="1"/>
  <c r="KP62" i="16"/>
  <c r="KP30" i="16" s="1"/>
  <c r="KO62" i="16"/>
  <c r="KO30" i="16" s="1"/>
  <c r="KN62" i="16"/>
  <c r="KM62" i="16"/>
  <c r="KM30" i="16" s="1"/>
  <c r="KL62" i="16"/>
  <c r="KL30" i="16" s="1"/>
  <c r="KK62" i="16"/>
  <c r="KK30" i="16" s="1"/>
  <c r="KJ62" i="16"/>
  <c r="KI62" i="16"/>
  <c r="KI30" i="16" s="1"/>
  <c r="KH62" i="16"/>
  <c r="KH30" i="16" s="1"/>
  <c r="KG62" i="16"/>
  <c r="KG30" i="16" s="1"/>
  <c r="KF62" i="16"/>
  <c r="KE62" i="16"/>
  <c r="KE30" i="16" s="1"/>
  <c r="KD62" i="16"/>
  <c r="KD30" i="16" s="1"/>
  <c r="KC62" i="16"/>
  <c r="KB62" i="16"/>
  <c r="KA62" i="16"/>
  <c r="KA30" i="16" s="1"/>
  <c r="JZ62" i="16"/>
  <c r="JZ30" i="16" s="1"/>
  <c r="JY62" i="16"/>
  <c r="JY30" i="16" s="1"/>
  <c r="JX62" i="16"/>
  <c r="JW62" i="16"/>
  <c r="JW30" i="16" s="1"/>
  <c r="JV62" i="16"/>
  <c r="JU62" i="16"/>
  <c r="JU30" i="16" s="1"/>
  <c r="JT62" i="16"/>
  <c r="JS62" i="16"/>
  <c r="JS30" i="16" s="1"/>
  <c r="JR62" i="16"/>
  <c r="JR30" i="16" s="1"/>
  <c r="JQ62" i="16"/>
  <c r="JQ30" i="16" s="1"/>
  <c r="JP62" i="16"/>
  <c r="JO62" i="16"/>
  <c r="JO30" i="16" s="1"/>
  <c r="JN62" i="16"/>
  <c r="JM62" i="16"/>
  <c r="JL62" i="16"/>
  <c r="JK62" i="16"/>
  <c r="JK30" i="16" s="1"/>
  <c r="JJ62" i="16"/>
  <c r="JJ30" i="16" s="1"/>
  <c r="JI62" i="16"/>
  <c r="JI30" i="16" s="1"/>
  <c r="JH62" i="16"/>
  <c r="JG62" i="16"/>
  <c r="JG30" i="16" s="1"/>
  <c r="JF62" i="16"/>
  <c r="JE62" i="16"/>
  <c r="JE30" i="16" s="1"/>
  <c r="JD62" i="16"/>
  <c r="JC62" i="16"/>
  <c r="JC30" i="16" s="1"/>
  <c r="JB62" i="16"/>
  <c r="JB30" i="16" s="1"/>
  <c r="JA62" i="16"/>
  <c r="JA30" i="16" s="1"/>
  <c r="IZ62" i="16"/>
  <c r="IY62" i="16"/>
  <c r="IY30" i="16" s="1"/>
  <c r="IX62" i="16"/>
  <c r="IX30" i="16" s="1"/>
  <c r="IW62" i="16"/>
  <c r="IV62" i="16"/>
  <c r="IU62" i="16"/>
  <c r="IU30" i="16" s="1"/>
  <c r="IT62" i="16"/>
  <c r="IT30" i="16" s="1"/>
  <c r="IS62" i="16"/>
  <c r="IS30" i="16" s="1"/>
  <c r="IR62" i="16"/>
  <c r="IQ62" i="16"/>
  <c r="IQ30" i="16" s="1"/>
  <c r="IP62" i="16"/>
  <c r="IP30" i="16" s="1"/>
  <c r="IO62" i="16"/>
  <c r="IO30" i="16" s="1"/>
  <c r="IN62" i="16"/>
  <c r="IM62" i="16"/>
  <c r="IM30" i="16" s="1"/>
  <c r="IL62" i="16"/>
  <c r="IL30" i="16" s="1"/>
  <c r="IK62" i="16"/>
  <c r="IK30" i="16" s="1"/>
  <c r="IJ62" i="16"/>
  <c r="II62" i="16"/>
  <c r="II30" i="16" s="1"/>
  <c r="IH62" i="16"/>
  <c r="IH30" i="16" s="1"/>
  <c r="IG62" i="16"/>
  <c r="IF62" i="16"/>
  <c r="IE62" i="16"/>
  <c r="IE30" i="16" s="1"/>
  <c r="ID62" i="16"/>
  <c r="ID30" i="16" s="1"/>
  <c r="IC62" i="16"/>
  <c r="IC30" i="16" s="1"/>
  <c r="IB62" i="16"/>
  <c r="IA62" i="16"/>
  <c r="IA30" i="16" s="1"/>
  <c r="HZ62" i="16"/>
  <c r="HZ30" i="16" s="1"/>
  <c r="HY62" i="16"/>
  <c r="HY30" i="16" s="1"/>
  <c r="HX62" i="16"/>
  <c r="HW62" i="16"/>
  <c r="HW30" i="16" s="1"/>
  <c r="HV62" i="16"/>
  <c r="HU62" i="16"/>
  <c r="HU30" i="16" s="1"/>
  <c r="HT62" i="16"/>
  <c r="HS62" i="16"/>
  <c r="HS30" i="16" s="1"/>
  <c r="HR62" i="16"/>
  <c r="HR30" i="16" s="1"/>
  <c r="HQ62" i="16"/>
  <c r="HP62" i="16"/>
  <c r="HO62" i="16"/>
  <c r="HO30" i="16" s="1"/>
  <c r="HN62" i="16"/>
  <c r="HM62" i="16"/>
  <c r="HM30" i="16" s="1"/>
  <c r="HL62" i="16"/>
  <c r="HK62" i="16"/>
  <c r="HK30" i="16" s="1"/>
  <c r="HJ62" i="16"/>
  <c r="HJ30" i="16" s="1"/>
  <c r="HI62" i="16"/>
  <c r="HI30" i="16" s="1"/>
  <c r="HH62" i="16"/>
  <c r="HG62" i="16"/>
  <c r="HG30" i="16" s="1"/>
  <c r="HF62" i="16"/>
  <c r="HE62" i="16"/>
  <c r="HE30" i="16" s="1"/>
  <c r="HD62" i="16"/>
  <c r="HC62" i="16"/>
  <c r="HC30" i="16" s="1"/>
  <c r="HB62" i="16"/>
  <c r="HB30" i="16" s="1"/>
  <c r="HA62" i="16"/>
  <c r="GZ62" i="16"/>
  <c r="GY62" i="16"/>
  <c r="GY30" i="16" s="1"/>
  <c r="GX62" i="16"/>
  <c r="GX30" i="16" s="1"/>
  <c r="GW62" i="16"/>
  <c r="GW30" i="16" s="1"/>
  <c r="GV62" i="16"/>
  <c r="GU62" i="16"/>
  <c r="GU30" i="16" s="1"/>
  <c r="GT62" i="16"/>
  <c r="GT30" i="16" s="1"/>
  <c r="GS62" i="16"/>
  <c r="GS30" i="16" s="1"/>
  <c r="GR62" i="16"/>
  <c r="GQ62" i="16"/>
  <c r="GQ30" i="16" s="1"/>
  <c r="GP62" i="16"/>
  <c r="GP30" i="16" s="1"/>
  <c r="GO62" i="16"/>
  <c r="GO30" i="16" s="1"/>
  <c r="GN62" i="16"/>
  <c r="GM62" i="16"/>
  <c r="GM30" i="16" s="1"/>
  <c r="GL62" i="16"/>
  <c r="GL30" i="16" s="1"/>
  <c r="GK62" i="16"/>
  <c r="GJ62" i="16"/>
  <c r="GI62" i="16"/>
  <c r="GI30" i="16" s="1"/>
  <c r="GH62" i="16"/>
  <c r="GH30" i="16" s="1"/>
  <c r="GG62" i="16"/>
  <c r="GG30" i="16" s="1"/>
  <c r="GF62" i="16"/>
  <c r="GE62" i="16"/>
  <c r="GE30" i="16" s="1"/>
  <c r="GD62" i="16"/>
  <c r="GD30" i="16" s="1"/>
  <c r="GC62" i="16"/>
  <c r="GC30" i="16" s="1"/>
  <c r="GB62" i="16"/>
  <c r="GA62" i="16"/>
  <c r="GA30" i="16" s="1"/>
  <c r="FZ62" i="16"/>
  <c r="FZ30" i="16" s="1"/>
  <c r="FY62" i="16"/>
  <c r="FY30" i="16" s="1"/>
  <c r="FX62" i="16"/>
  <c r="FW62" i="16"/>
  <c r="FW30" i="16" s="1"/>
  <c r="FV62" i="16"/>
  <c r="FV30" i="16" s="1"/>
  <c r="FU62" i="16"/>
  <c r="FT62" i="16"/>
  <c r="FS62" i="16"/>
  <c r="FS30" i="16" s="1"/>
  <c r="FR62" i="16"/>
  <c r="FR30" i="16" s="1"/>
  <c r="FQ62" i="16"/>
  <c r="FQ30" i="16" s="1"/>
  <c r="FP62" i="16"/>
  <c r="FO62" i="16"/>
  <c r="FO30" i="16" s="1"/>
  <c r="FN62" i="16"/>
  <c r="FN30" i="16" s="1"/>
  <c r="FM62" i="16"/>
  <c r="FM30" i="16" s="1"/>
  <c r="FL62" i="16"/>
  <c r="FK62" i="16"/>
  <c r="FK30" i="16" s="1"/>
  <c r="FJ62" i="16"/>
  <c r="FJ30" i="16" s="1"/>
  <c r="FI62" i="16"/>
  <c r="FI30" i="16" s="1"/>
  <c r="FH62" i="16"/>
  <c r="FG62" i="16"/>
  <c r="FG30" i="16" s="1"/>
  <c r="FF62" i="16"/>
  <c r="FF30" i="16" s="1"/>
  <c r="FE62" i="16"/>
  <c r="FD62" i="16"/>
  <c r="FC62" i="16"/>
  <c r="FC30" i="16" s="1"/>
  <c r="FB62" i="16"/>
  <c r="FB30" i="16" s="1"/>
  <c r="FA62" i="16"/>
  <c r="FA30" i="16" s="1"/>
  <c r="EZ62" i="16"/>
  <c r="EY62" i="16"/>
  <c r="EY30" i="16" s="1"/>
  <c r="EX62" i="16"/>
  <c r="EW62" i="16"/>
  <c r="EW30" i="16" s="1"/>
  <c r="EV62" i="16"/>
  <c r="EU62" i="16"/>
  <c r="EU30" i="16" s="1"/>
  <c r="ET62" i="16"/>
  <c r="ET30" i="16" s="1"/>
  <c r="ES62" i="16"/>
  <c r="ES30" i="16" s="1"/>
  <c r="ER62" i="16"/>
  <c r="EQ62" i="16"/>
  <c r="EQ30" i="16" s="1"/>
  <c r="EP62" i="16"/>
  <c r="EO62" i="16"/>
  <c r="EN62" i="16"/>
  <c r="EM62" i="16"/>
  <c r="EM30" i="16" s="1"/>
  <c r="EL62" i="16"/>
  <c r="EL30" i="16" s="1"/>
  <c r="EK62" i="16"/>
  <c r="EK30" i="16" s="1"/>
  <c r="EJ62" i="16"/>
  <c r="EI62" i="16"/>
  <c r="EI30" i="16" s="1"/>
  <c r="EH62" i="16"/>
  <c r="EG62" i="16"/>
  <c r="EG30" i="16" s="1"/>
  <c r="EF62" i="16"/>
  <c r="EE62" i="16"/>
  <c r="EE30" i="16" s="1"/>
  <c r="ED62" i="16"/>
  <c r="ED30" i="16" s="1"/>
  <c r="EC62" i="16"/>
  <c r="EC30" i="16" s="1"/>
  <c r="EB62" i="16"/>
  <c r="EA62" i="16"/>
  <c r="EA30" i="16" s="1"/>
  <c r="DZ62" i="16"/>
  <c r="DZ30" i="16" s="1"/>
  <c r="DY62" i="16"/>
  <c r="DX62" i="16"/>
  <c r="DW62" i="16"/>
  <c r="DW30" i="16" s="1"/>
  <c r="DV62" i="16"/>
  <c r="DV30" i="16" s="1"/>
  <c r="DU62" i="16"/>
  <c r="DU30" i="16" s="1"/>
  <c r="DT62" i="16"/>
  <c r="DS62" i="16"/>
  <c r="DS30" i="16" s="1"/>
  <c r="DR62" i="16"/>
  <c r="DR30" i="16" s="1"/>
  <c r="DQ62" i="16"/>
  <c r="DQ30" i="16" s="1"/>
  <c r="DP62" i="16"/>
  <c r="DO62" i="16"/>
  <c r="DO30" i="16" s="1"/>
  <c r="DN62" i="16"/>
  <c r="DN30" i="16" s="1"/>
  <c r="DM62" i="16"/>
  <c r="DM30" i="16" s="1"/>
  <c r="DL62" i="16"/>
  <c r="DK62" i="16"/>
  <c r="DJ62" i="16"/>
  <c r="DJ30" i="16" s="1"/>
  <c r="DI62" i="16"/>
  <c r="DI30" i="16" s="1"/>
  <c r="DH62" i="16"/>
  <c r="DG62" i="16"/>
  <c r="DG30" i="16" s="1"/>
  <c r="DF62" i="16"/>
  <c r="DF30" i="16" s="1"/>
  <c r="DE62" i="16"/>
  <c r="DE30" i="16" s="1"/>
  <c r="DD62" i="16"/>
  <c r="DC62" i="16"/>
  <c r="DB62" i="16"/>
  <c r="DA62" i="16"/>
  <c r="DA30" i="16" s="1"/>
  <c r="CZ62" i="16"/>
  <c r="CY62" i="16"/>
  <c r="CY30" i="16" s="1"/>
  <c r="CX62" i="16"/>
  <c r="CX30" i="16" s="1"/>
  <c r="CW62" i="16"/>
  <c r="CW30" i="16" s="1"/>
  <c r="CV62" i="16"/>
  <c r="CU62" i="16"/>
  <c r="CT62" i="16"/>
  <c r="CS62" i="16"/>
  <c r="CS30" i="16" s="1"/>
  <c r="CR62" i="16"/>
  <c r="CQ62" i="16"/>
  <c r="CQ30" i="16" s="1"/>
  <c r="CP62" i="16"/>
  <c r="CP30" i="16" s="1"/>
  <c r="CO62" i="16"/>
  <c r="CO30" i="16" s="1"/>
  <c r="CN62" i="16"/>
  <c r="CM62" i="16"/>
  <c r="CL62" i="16"/>
  <c r="CK62" i="16"/>
  <c r="CK30" i="16" s="1"/>
  <c r="CJ62" i="16"/>
  <c r="CI62" i="16"/>
  <c r="CI30" i="16" s="1"/>
  <c r="CH62" i="16"/>
  <c r="CH30" i="16" s="1"/>
  <c r="CG62" i="16"/>
  <c r="CG30" i="16" s="1"/>
  <c r="CF62" i="16"/>
  <c r="CE62" i="16"/>
  <c r="CD62" i="16"/>
  <c r="CD30" i="16" s="1"/>
  <c r="CC62" i="16"/>
  <c r="CC30" i="16" s="1"/>
  <c r="CB62" i="16"/>
  <c r="CA62" i="16"/>
  <c r="CA30" i="16" s="1"/>
  <c r="BZ62" i="16"/>
  <c r="BZ30" i="16" s="1"/>
  <c r="BY62" i="16"/>
  <c r="BY30" i="16" s="1"/>
  <c r="BX62" i="16"/>
  <c r="BW62" i="16"/>
  <c r="BV62" i="16"/>
  <c r="BV30" i="16" s="1"/>
  <c r="BU62" i="16"/>
  <c r="BU30" i="16" s="1"/>
  <c r="BT62" i="16"/>
  <c r="BS62" i="16"/>
  <c r="BS30" i="16" s="1"/>
  <c r="BR62" i="16"/>
  <c r="BR30" i="16" s="1"/>
  <c r="BQ62" i="16"/>
  <c r="BQ30" i="16" s="1"/>
  <c r="BP62" i="16"/>
  <c r="BO62" i="16"/>
  <c r="BN62" i="16"/>
  <c r="BN30" i="16" s="1"/>
  <c r="BM62" i="16"/>
  <c r="BM30" i="16" s="1"/>
  <c r="BL62" i="16"/>
  <c r="BK62" i="16"/>
  <c r="BK30" i="16" s="1"/>
  <c r="BJ62" i="16"/>
  <c r="BJ30" i="16" s="1"/>
  <c r="BI62" i="16"/>
  <c r="BI30" i="16" s="1"/>
  <c r="BH62" i="16"/>
  <c r="BG62" i="16"/>
  <c r="BF62" i="16"/>
  <c r="BF30" i="16" s="1"/>
  <c r="BE62" i="16"/>
  <c r="BE30" i="16" s="1"/>
  <c r="BD62" i="16"/>
  <c r="BC62" i="16"/>
  <c r="BC30" i="16" s="1"/>
  <c r="BB62" i="16"/>
  <c r="BB30" i="16" s="1"/>
  <c r="BA62" i="16"/>
  <c r="BA30" i="16" s="1"/>
  <c r="AZ62" i="16"/>
  <c r="AY62" i="16"/>
  <c r="AX62" i="16"/>
  <c r="AX30" i="16" s="1"/>
  <c r="AW62" i="16"/>
  <c r="AW30" i="16" s="1"/>
  <c r="AV62" i="16"/>
  <c r="AU62" i="16"/>
  <c r="AU30" i="16" s="1"/>
  <c r="AT62" i="16"/>
  <c r="AT30" i="16" s="1"/>
  <c r="AS62" i="16"/>
  <c r="AS30" i="16" s="1"/>
  <c r="AR62" i="16"/>
  <c r="AQ62" i="16"/>
  <c r="AP62" i="16"/>
  <c r="AP30" i="16" s="1"/>
  <c r="AO62" i="16"/>
  <c r="AO30" i="16" s="1"/>
  <c r="AN62" i="16"/>
  <c r="AM62" i="16"/>
  <c r="AM30" i="16" s="1"/>
  <c r="AL62" i="16"/>
  <c r="AL30" i="16" s="1"/>
  <c r="AK62" i="16"/>
  <c r="AK30" i="16" s="1"/>
  <c r="AJ62" i="16"/>
  <c r="AI62" i="16"/>
  <c r="AH62" i="16"/>
  <c r="AH30" i="16" s="1"/>
  <c r="AG62" i="16"/>
  <c r="AG30" i="16" s="1"/>
  <c r="AF62" i="16"/>
  <c r="AE62" i="16"/>
  <c r="AE30" i="16" s="1"/>
  <c r="AD62" i="16"/>
  <c r="AD30" i="16" s="1"/>
  <c r="AC62" i="16"/>
  <c r="AC30" i="16" s="1"/>
  <c r="AB62" i="16"/>
  <c r="AA62" i="16"/>
  <c r="Z62" i="16"/>
  <c r="Z30" i="16" s="1"/>
  <c r="Y62" i="16"/>
  <c r="Y30" i="16" s="1"/>
  <c r="X62" i="16"/>
  <c r="W62" i="16"/>
  <c r="W30" i="16" s="1"/>
  <c r="V62" i="16"/>
  <c r="U62" i="16"/>
  <c r="U30" i="16" s="1"/>
  <c r="T62" i="16"/>
  <c r="S62" i="16"/>
  <c r="R62" i="16"/>
  <c r="R30" i="16" s="1"/>
  <c r="Q62" i="16"/>
  <c r="Q30" i="16" s="1"/>
  <c r="P62" i="16"/>
  <c r="O62" i="16"/>
  <c r="O30" i="16" s="1"/>
  <c r="N62" i="16"/>
  <c r="WS61" i="16"/>
  <c r="WR61" i="16"/>
  <c r="WQ61" i="16"/>
  <c r="WP61" i="16"/>
  <c r="WO61" i="16"/>
  <c r="WN61" i="16"/>
  <c r="WM61" i="16"/>
  <c r="WL61" i="16"/>
  <c r="WK61" i="16"/>
  <c r="WJ61" i="16"/>
  <c r="WI61" i="16"/>
  <c r="WH61" i="16"/>
  <c r="WG61" i="16"/>
  <c r="WF61" i="16"/>
  <c r="WE61" i="16"/>
  <c r="WD61" i="16"/>
  <c r="WC61" i="16"/>
  <c r="WB61" i="16"/>
  <c r="WA61" i="16"/>
  <c r="VZ61" i="16"/>
  <c r="VY61" i="16"/>
  <c r="VX61" i="16"/>
  <c r="VW61" i="16"/>
  <c r="VV61" i="16"/>
  <c r="VU61" i="16"/>
  <c r="VT61" i="16"/>
  <c r="VS61" i="16"/>
  <c r="VR61" i="16"/>
  <c r="VQ61" i="16"/>
  <c r="VP61" i="16"/>
  <c r="VO61" i="16"/>
  <c r="VN61" i="16"/>
  <c r="VM61" i="16"/>
  <c r="VL61" i="16"/>
  <c r="VK61" i="16"/>
  <c r="VJ61" i="16"/>
  <c r="VI61" i="16"/>
  <c r="VH61" i="16"/>
  <c r="VG61" i="16"/>
  <c r="VF61" i="16"/>
  <c r="VE61" i="16"/>
  <c r="VD61" i="16"/>
  <c r="VC61" i="16"/>
  <c r="VB61" i="16"/>
  <c r="VA61" i="16"/>
  <c r="UZ61" i="16"/>
  <c r="UY61" i="16"/>
  <c r="UX61" i="16"/>
  <c r="UW61" i="16"/>
  <c r="UV61" i="16"/>
  <c r="UU61" i="16"/>
  <c r="UT61" i="16"/>
  <c r="US61" i="16"/>
  <c r="UR61" i="16"/>
  <c r="UQ61" i="16"/>
  <c r="UP61" i="16"/>
  <c r="UO61" i="16"/>
  <c r="UN61" i="16"/>
  <c r="UM61" i="16"/>
  <c r="UL61" i="16"/>
  <c r="UK61" i="16"/>
  <c r="UJ61" i="16"/>
  <c r="UI61" i="16"/>
  <c r="UH61" i="16"/>
  <c r="UG61" i="16"/>
  <c r="UF61" i="16"/>
  <c r="UE61" i="16"/>
  <c r="UD61" i="16"/>
  <c r="UC61" i="16"/>
  <c r="UB61" i="16"/>
  <c r="UA61" i="16"/>
  <c r="TZ61" i="16"/>
  <c r="TY61" i="16"/>
  <c r="TX61" i="16"/>
  <c r="TW61" i="16"/>
  <c r="TV61" i="16"/>
  <c r="TU61" i="16"/>
  <c r="TT61" i="16"/>
  <c r="TS61" i="16"/>
  <c r="TR61" i="16"/>
  <c r="TQ61" i="16"/>
  <c r="TP61" i="16"/>
  <c r="TO61" i="16"/>
  <c r="TN61" i="16"/>
  <c r="TM61" i="16"/>
  <c r="TL61" i="16"/>
  <c r="TK61" i="16"/>
  <c r="TJ61" i="16"/>
  <c r="TI61" i="16"/>
  <c r="TH61" i="16"/>
  <c r="TG61" i="16"/>
  <c r="TF61" i="16"/>
  <c r="TE61" i="16"/>
  <c r="TD61" i="16"/>
  <c r="TC61" i="16"/>
  <c r="TB61" i="16"/>
  <c r="TA61" i="16"/>
  <c r="SZ61" i="16"/>
  <c r="SY61" i="16"/>
  <c r="SX61" i="16"/>
  <c r="SW61" i="16"/>
  <c r="SV61" i="16"/>
  <c r="SU61" i="16"/>
  <c r="ST61" i="16"/>
  <c r="SS61" i="16"/>
  <c r="SR61" i="16"/>
  <c r="SQ61" i="16"/>
  <c r="SP61" i="16"/>
  <c r="SO61" i="16"/>
  <c r="SN61" i="16"/>
  <c r="SM61" i="16"/>
  <c r="SL61" i="16"/>
  <c r="SK61" i="16"/>
  <c r="SJ61" i="16"/>
  <c r="SI61" i="16"/>
  <c r="SH61" i="16"/>
  <c r="SG61" i="16"/>
  <c r="SF61" i="16"/>
  <c r="SE61" i="16"/>
  <c r="SD61" i="16"/>
  <c r="SC61" i="16"/>
  <c r="SB61" i="16"/>
  <c r="RF61" i="16"/>
  <c r="RE61" i="16"/>
  <c r="RD61" i="16"/>
  <c r="RC61" i="16"/>
  <c r="RB61" i="16"/>
  <c r="RA61" i="16"/>
  <c r="QT61" i="16"/>
  <c r="QS61" i="16"/>
  <c r="QR61" i="16"/>
  <c r="QQ61" i="16"/>
  <c r="QP61" i="16"/>
  <c r="QO61" i="16"/>
  <c r="QN61" i="16"/>
  <c r="QM61" i="16"/>
  <c r="QL61" i="16"/>
  <c r="QK61" i="16"/>
  <c r="QJ61" i="16"/>
  <c r="QI61" i="16"/>
  <c r="QH61" i="16"/>
  <c r="QG61" i="16"/>
  <c r="QF61" i="16"/>
  <c r="QE61" i="16"/>
  <c r="QD61" i="16"/>
  <c r="QC61" i="16"/>
  <c r="QB61" i="16"/>
  <c r="QA61" i="16"/>
  <c r="PZ61" i="16"/>
  <c r="PY61" i="16"/>
  <c r="PX61" i="16"/>
  <c r="PW61" i="16"/>
  <c r="PV61" i="16"/>
  <c r="PU61" i="16"/>
  <c r="PT61" i="16"/>
  <c r="PS61" i="16"/>
  <c r="PR61" i="16"/>
  <c r="PQ61" i="16"/>
  <c r="PP61" i="16"/>
  <c r="PO61" i="16"/>
  <c r="PN61" i="16"/>
  <c r="PM61" i="16"/>
  <c r="PL61" i="16"/>
  <c r="PK61" i="16"/>
  <c r="PJ61" i="16"/>
  <c r="PI61" i="16"/>
  <c r="PH61" i="16"/>
  <c r="PG61" i="16"/>
  <c r="PF61" i="16"/>
  <c r="PE61" i="16"/>
  <c r="PD61" i="16"/>
  <c r="PC61" i="16"/>
  <c r="PB61" i="16"/>
  <c r="PA61" i="16"/>
  <c r="OZ61" i="16"/>
  <c r="OY61" i="16"/>
  <c r="OX61" i="16"/>
  <c r="OW61" i="16"/>
  <c r="OV61" i="16"/>
  <c r="OU61" i="16"/>
  <c r="OT61" i="16"/>
  <c r="OS61" i="16"/>
  <c r="OR61" i="16"/>
  <c r="OQ61" i="16"/>
  <c r="OP61" i="16"/>
  <c r="OO61" i="16"/>
  <c r="ON61" i="16"/>
  <c r="OM61" i="16"/>
  <c r="OL61" i="16"/>
  <c r="OK61" i="16"/>
  <c r="OJ61" i="16"/>
  <c r="OI61" i="16"/>
  <c r="OH61" i="16"/>
  <c r="OG61" i="16"/>
  <c r="OF61" i="16"/>
  <c r="OE61" i="16"/>
  <c r="OD61" i="16"/>
  <c r="OC61" i="16"/>
  <c r="OB61" i="16"/>
  <c r="OA61" i="16"/>
  <c r="NZ61" i="16"/>
  <c r="NY61" i="16"/>
  <c r="NX61" i="16"/>
  <c r="NW61" i="16"/>
  <c r="NV61" i="16"/>
  <c r="NU61" i="16"/>
  <c r="NT61" i="16"/>
  <c r="NS61" i="16"/>
  <c r="NR61" i="16"/>
  <c r="NQ61" i="16"/>
  <c r="NP61" i="16"/>
  <c r="NO61" i="16"/>
  <c r="NN61" i="16"/>
  <c r="NM61" i="16"/>
  <c r="NL61" i="16"/>
  <c r="NK61" i="16"/>
  <c r="NJ61" i="16"/>
  <c r="NI61" i="16"/>
  <c r="NH61" i="16"/>
  <c r="MP61" i="16"/>
  <c r="MO61" i="16"/>
  <c r="MN61" i="16"/>
  <c r="MM61" i="16"/>
  <c r="ML61" i="16"/>
  <c r="MK61" i="16"/>
  <c r="MJ61" i="16"/>
  <c r="MI61" i="16"/>
  <c r="MH61" i="16"/>
  <c r="MG61" i="16"/>
  <c r="MF61" i="16"/>
  <c r="ME61" i="16"/>
  <c r="MD61" i="16"/>
  <c r="MC61" i="16"/>
  <c r="MB61" i="16"/>
  <c r="MA61" i="16"/>
  <c r="LZ61" i="16"/>
  <c r="LY61" i="16"/>
  <c r="LX61" i="16"/>
  <c r="LW61" i="16"/>
  <c r="LV61" i="16"/>
  <c r="LU61" i="16"/>
  <c r="LT61" i="16"/>
  <c r="LS61" i="16"/>
  <c r="LR61" i="16"/>
  <c r="LQ61" i="16"/>
  <c r="LP61" i="16"/>
  <c r="LO61" i="16"/>
  <c r="LN61" i="16"/>
  <c r="LM61" i="16"/>
  <c r="LL61" i="16"/>
  <c r="LK61" i="16"/>
  <c r="LJ61" i="16"/>
  <c r="LI61" i="16"/>
  <c r="LH61" i="16"/>
  <c r="LG61" i="16"/>
  <c r="LF61" i="16"/>
  <c r="LE61" i="16"/>
  <c r="LD61" i="16"/>
  <c r="LC61" i="16"/>
  <c r="LB61" i="16"/>
  <c r="LA61" i="16"/>
  <c r="KZ61" i="16"/>
  <c r="KY61" i="16"/>
  <c r="KX61" i="16"/>
  <c r="KW61" i="16"/>
  <c r="KV61" i="16"/>
  <c r="KU61" i="16"/>
  <c r="KT61" i="16"/>
  <c r="KS61" i="16"/>
  <c r="KR61" i="16"/>
  <c r="KQ61" i="16"/>
  <c r="KP61" i="16"/>
  <c r="KO61" i="16"/>
  <c r="KN61" i="16"/>
  <c r="KM61" i="16"/>
  <c r="KL61" i="16"/>
  <c r="KK61" i="16"/>
  <c r="KJ61" i="16"/>
  <c r="KI61" i="16"/>
  <c r="KH61" i="16"/>
  <c r="KG61" i="16"/>
  <c r="KF61" i="16"/>
  <c r="KE61" i="16"/>
  <c r="KD61" i="16"/>
  <c r="KC61" i="16"/>
  <c r="KB61" i="16"/>
  <c r="KA61" i="16"/>
  <c r="JZ61" i="16"/>
  <c r="JY61" i="16"/>
  <c r="JX61" i="16"/>
  <c r="JW61" i="16"/>
  <c r="JV61" i="16"/>
  <c r="JU61" i="16"/>
  <c r="JT61" i="16"/>
  <c r="JS61" i="16"/>
  <c r="JR61" i="16"/>
  <c r="JQ61" i="16"/>
  <c r="JP61" i="16"/>
  <c r="JO61" i="16"/>
  <c r="JN61" i="16"/>
  <c r="JM61" i="16"/>
  <c r="JL61" i="16"/>
  <c r="JK61" i="16"/>
  <c r="JJ61" i="16"/>
  <c r="JI61" i="16"/>
  <c r="JH61" i="16"/>
  <c r="JG61" i="16"/>
  <c r="JF61" i="16"/>
  <c r="JE61" i="16"/>
  <c r="JD61" i="16"/>
  <c r="JC61" i="16"/>
  <c r="JB61" i="16"/>
  <c r="JA61" i="16"/>
  <c r="IZ61" i="16"/>
  <c r="IY61" i="16"/>
  <c r="IX61" i="16"/>
  <c r="IW61" i="16"/>
  <c r="IV61" i="16"/>
  <c r="IU61" i="16"/>
  <c r="IT61" i="16"/>
  <c r="IS61" i="16"/>
  <c r="IR61" i="16"/>
  <c r="IQ61" i="16"/>
  <c r="IP61" i="16"/>
  <c r="IO61" i="16"/>
  <c r="IN61" i="16"/>
  <c r="IM61" i="16"/>
  <c r="IL61" i="16"/>
  <c r="IK61" i="16"/>
  <c r="IJ61" i="16"/>
  <c r="II61" i="16"/>
  <c r="IH61" i="16"/>
  <c r="IG61" i="16"/>
  <c r="IF61" i="16"/>
  <c r="IE61" i="16"/>
  <c r="ID61" i="16"/>
  <c r="IC61" i="16"/>
  <c r="IB61" i="16"/>
  <c r="IA61" i="16"/>
  <c r="HZ61" i="16"/>
  <c r="HY61" i="16"/>
  <c r="HX61" i="16"/>
  <c r="HW61" i="16"/>
  <c r="HV61" i="16"/>
  <c r="HU61" i="16"/>
  <c r="HT61" i="16"/>
  <c r="HS61" i="16"/>
  <c r="HR61" i="16"/>
  <c r="HQ61" i="16"/>
  <c r="HP61" i="16"/>
  <c r="HO61" i="16"/>
  <c r="HN61" i="16"/>
  <c r="HM61" i="16"/>
  <c r="HL61" i="16"/>
  <c r="HK61" i="16"/>
  <c r="HJ61" i="16"/>
  <c r="HI61" i="16"/>
  <c r="HH61" i="16"/>
  <c r="HG61" i="16"/>
  <c r="HF61" i="16"/>
  <c r="HE61" i="16"/>
  <c r="HD61" i="16"/>
  <c r="HC61" i="16"/>
  <c r="HB61" i="16"/>
  <c r="HA61" i="16"/>
  <c r="GZ61" i="16"/>
  <c r="GY61" i="16"/>
  <c r="GX61" i="16"/>
  <c r="GW61" i="16"/>
  <c r="GV61" i="16"/>
  <c r="GU61" i="16"/>
  <c r="GT61" i="16"/>
  <c r="GS61" i="16"/>
  <c r="GR61" i="16"/>
  <c r="GQ61" i="16"/>
  <c r="GP61" i="16"/>
  <c r="GO61" i="16"/>
  <c r="GN61" i="16"/>
  <c r="GM61" i="16"/>
  <c r="GL61" i="16"/>
  <c r="GK61" i="16"/>
  <c r="GJ61" i="16"/>
  <c r="GI61" i="16"/>
  <c r="GH61" i="16"/>
  <c r="GG61" i="16"/>
  <c r="GF61" i="16"/>
  <c r="GE61" i="16"/>
  <c r="GD61" i="16"/>
  <c r="GC61" i="16"/>
  <c r="GB61" i="16"/>
  <c r="GA61" i="16"/>
  <c r="FZ61" i="16"/>
  <c r="FY61" i="16"/>
  <c r="FX61" i="16"/>
  <c r="FW61" i="16"/>
  <c r="FV61" i="16"/>
  <c r="FU61" i="16"/>
  <c r="FT61" i="16"/>
  <c r="FS61" i="16"/>
  <c r="FR61" i="16"/>
  <c r="FQ61" i="16"/>
  <c r="FP61" i="16"/>
  <c r="FO61" i="16"/>
  <c r="FN61" i="16"/>
  <c r="FM61" i="16"/>
  <c r="FL61" i="16"/>
  <c r="FK61" i="16"/>
  <c r="FJ61" i="16"/>
  <c r="FI61" i="16"/>
  <c r="FH61" i="16"/>
  <c r="FG61" i="16"/>
  <c r="FF61" i="16"/>
  <c r="FE61" i="16"/>
  <c r="FD61" i="16"/>
  <c r="FC61" i="16"/>
  <c r="FB61" i="16"/>
  <c r="FA61" i="16"/>
  <c r="EZ61" i="16"/>
  <c r="EY61" i="16"/>
  <c r="EX61" i="16"/>
  <c r="EW61" i="16"/>
  <c r="EV61" i="16"/>
  <c r="EU61" i="16"/>
  <c r="ET61" i="16"/>
  <c r="ES61" i="16"/>
  <c r="ER61" i="16"/>
  <c r="EQ61" i="16"/>
  <c r="EP61" i="16"/>
  <c r="EO61" i="16"/>
  <c r="EN61" i="16"/>
  <c r="EM61" i="16"/>
  <c r="EL61" i="16"/>
  <c r="EK61" i="16"/>
  <c r="EJ61" i="16"/>
  <c r="EI61" i="16"/>
  <c r="EH61" i="16"/>
  <c r="EG61" i="16"/>
  <c r="EF61" i="16"/>
  <c r="EE61" i="16"/>
  <c r="ED61" i="16"/>
  <c r="EC61" i="16"/>
  <c r="EB61" i="16"/>
  <c r="EA61" i="16"/>
  <c r="DZ61" i="16"/>
  <c r="DY61" i="16"/>
  <c r="DX61" i="16"/>
  <c r="DW61" i="16"/>
  <c r="DV61" i="16"/>
  <c r="DU61" i="16"/>
  <c r="DT61" i="16"/>
  <c r="DS61" i="16"/>
  <c r="DR61" i="16"/>
  <c r="DQ61" i="16"/>
  <c r="DP61" i="16"/>
  <c r="DO61" i="16"/>
  <c r="DN61" i="16"/>
  <c r="DM61" i="16"/>
  <c r="DL61" i="16"/>
  <c r="DK61" i="16"/>
  <c r="DJ61" i="16"/>
  <c r="DI61" i="16"/>
  <c r="DH61" i="16"/>
  <c r="DG61" i="16"/>
  <c r="DF61" i="16"/>
  <c r="DE61" i="16"/>
  <c r="DD61" i="16"/>
  <c r="DC61" i="16"/>
  <c r="DB61" i="16"/>
  <c r="DA61" i="16"/>
  <c r="CZ61" i="16"/>
  <c r="CY61" i="16"/>
  <c r="CX61" i="16"/>
  <c r="CW61" i="16"/>
  <c r="CV61" i="16"/>
  <c r="CU61" i="16"/>
  <c r="CT61" i="16"/>
  <c r="CS61" i="16"/>
  <c r="CR61" i="16"/>
  <c r="CQ61" i="16"/>
  <c r="CP61" i="16"/>
  <c r="CO61" i="16"/>
  <c r="CN61" i="16"/>
  <c r="CM61" i="16"/>
  <c r="CL61" i="16"/>
  <c r="CK61" i="16"/>
  <c r="CJ61" i="16"/>
  <c r="CI61" i="16"/>
  <c r="CH61" i="16"/>
  <c r="CG61" i="16"/>
  <c r="CF61" i="16"/>
  <c r="CE61" i="16"/>
  <c r="CD61" i="16"/>
  <c r="CC61" i="16"/>
  <c r="CB61" i="16"/>
  <c r="CA61" i="16"/>
  <c r="BZ61" i="16"/>
  <c r="BY61" i="16"/>
  <c r="BX61" i="16"/>
  <c r="BW61" i="16"/>
  <c r="BV61" i="16"/>
  <c r="BU61" i="16"/>
  <c r="BT61" i="16"/>
  <c r="BS61" i="16"/>
  <c r="BR61" i="16"/>
  <c r="BQ61" i="16"/>
  <c r="BP61" i="16"/>
  <c r="BO61" i="16"/>
  <c r="BN61" i="16"/>
  <c r="BM61" i="16"/>
  <c r="BL61" i="16"/>
  <c r="BK61" i="16"/>
  <c r="BJ61" i="16"/>
  <c r="BI61" i="16"/>
  <c r="BH61" i="16"/>
  <c r="BG61" i="16"/>
  <c r="BF61" i="16"/>
  <c r="BE61" i="16"/>
  <c r="BD61" i="16"/>
  <c r="BC61" i="16"/>
  <c r="BB61" i="16"/>
  <c r="BA61" i="16"/>
  <c r="AZ61" i="16"/>
  <c r="AY61" i="16"/>
  <c r="AX61" i="16"/>
  <c r="AW61" i="16"/>
  <c r="AV61" i="16"/>
  <c r="AU61" i="16"/>
  <c r="AT61" i="16"/>
  <c r="AS61" i="16"/>
  <c r="AR61" i="16"/>
  <c r="AQ61" i="16"/>
  <c r="AP61" i="16"/>
  <c r="AO61" i="16"/>
  <c r="AN61" i="16"/>
  <c r="AM61" i="16"/>
  <c r="AL61" i="16"/>
  <c r="AK61" i="16"/>
  <c r="AJ61" i="16"/>
  <c r="AI61" i="16"/>
  <c r="AH61" i="16"/>
  <c r="AG61" i="16"/>
  <c r="AF61" i="16"/>
  <c r="AE61" i="16"/>
  <c r="AD61" i="16"/>
  <c r="AC61" i="16"/>
  <c r="AB61" i="16"/>
  <c r="AA61" i="16"/>
  <c r="Z61" i="16"/>
  <c r="Y61" i="16"/>
  <c r="X61" i="16"/>
  <c r="W61" i="16"/>
  <c r="V61" i="16"/>
  <c r="U61" i="16"/>
  <c r="T61" i="16"/>
  <c r="S61" i="16"/>
  <c r="R61" i="16"/>
  <c r="Q61" i="16"/>
  <c r="P61" i="16"/>
  <c r="O61" i="16"/>
  <c r="N61" i="16"/>
  <c r="WS60" i="16"/>
  <c r="WS24" i="16" s="1"/>
  <c r="WR60" i="16"/>
  <c r="WQ60" i="16"/>
  <c r="WP60" i="16"/>
  <c r="WP24" i="16" s="1"/>
  <c r="WO60" i="16"/>
  <c r="WO24" i="16" s="1"/>
  <c r="WN60" i="16"/>
  <c r="WM60" i="16"/>
  <c r="WL60" i="16"/>
  <c r="WL24" i="16" s="1"/>
  <c r="WK60" i="16"/>
  <c r="WK24" i="16" s="1"/>
  <c r="WJ60" i="16"/>
  <c r="WI60" i="16"/>
  <c r="WH60" i="16"/>
  <c r="WH24" i="16" s="1"/>
  <c r="WG60" i="16"/>
  <c r="WG24" i="16" s="1"/>
  <c r="WF60" i="16"/>
  <c r="WE60" i="16"/>
  <c r="WD60" i="16"/>
  <c r="WD24" i="16" s="1"/>
  <c r="WC60" i="16"/>
  <c r="WC24" i="16" s="1"/>
  <c r="WB60" i="16"/>
  <c r="WA60" i="16"/>
  <c r="VZ60" i="16"/>
  <c r="VZ24" i="16" s="1"/>
  <c r="VY60" i="16"/>
  <c r="VY24" i="16" s="1"/>
  <c r="VX60" i="16"/>
  <c r="VW60" i="16"/>
  <c r="VV60" i="16"/>
  <c r="VV24" i="16" s="1"/>
  <c r="VU60" i="16"/>
  <c r="VU24" i="16" s="1"/>
  <c r="VT60" i="16"/>
  <c r="VS60" i="16"/>
  <c r="VR60" i="16"/>
  <c r="VR24" i="16" s="1"/>
  <c r="VQ60" i="16"/>
  <c r="VQ24" i="16" s="1"/>
  <c r="VP60" i="16"/>
  <c r="VO60" i="16"/>
  <c r="VN60" i="16"/>
  <c r="VN24" i="16" s="1"/>
  <c r="VM60" i="16"/>
  <c r="VM24" i="16" s="1"/>
  <c r="VL60" i="16"/>
  <c r="VK60" i="16"/>
  <c r="VJ60" i="16"/>
  <c r="VJ24" i="16" s="1"/>
  <c r="VI60" i="16"/>
  <c r="VI24" i="16" s="1"/>
  <c r="VH60" i="16"/>
  <c r="VG60" i="16"/>
  <c r="VF60" i="16"/>
  <c r="VF24" i="16" s="1"/>
  <c r="VE60" i="16"/>
  <c r="VE24" i="16" s="1"/>
  <c r="VD60" i="16"/>
  <c r="VC60" i="16"/>
  <c r="VB60" i="16"/>
  <c r="VB24" i="16" s="1"/>
  <c r="VA60" i="16"/>
  <c r="VA24" i="16" s="1"/>
  <c r="UZ60" i="16"/>
  <c r="UY60" i="16"/>
  <c r="UX60" i="16"/>
  <c r="UX24" i="16" s="1"/>
  <c r="UW60" i="16"/>
  <c r="UW24" i="16" s="1"/>
  <c r="UV60" i="16"/>
  <c r="UU60" i="16"/>
  <c r="UT60" i="16"/>
  <c r="UT24" i="16" s="1"/>
  <c r="US60" i="16"/>
  <c r="US24" i="16" s="1"/>
  <c r="UR60" i="16"/>
  <c r="UQ60" i="16"/>
  <c r="UP60" i="16"/>
  <c r="UP24" i="16" s="1"/>
  <c r="UO60" i="16"/>
  <c r="UO24" i="16" s="1"/>
  <c r="UN60" i="16"/>
  <c r="UM60" i="16"/>
  <c r="UL60" i="16"/>
  <c r="UL24" i="16" s="1"/>
  <c r="UK60" i="16"/>
  <c r="UK24" i="16" s="1"/>
  <c r="UJ60" i="16"/>
  <c r="UI60" i="16"/>
  <c r="UH60" i="16"/>
  <c r="UH24" i="16" s="1"/>
  <c r="UG60" i="16"/>
  <c r="UG24" i="16" s="1"/>
  <c r="UF60" i="16"/>
  <c r="UE60" i="16"/>
  <c r="UD60" i="16"/>
  <c r="UD24" i="16" s="1"/>
  <c r="UC60" i="16"/>
  <c r="UC24" i="16" s="1"/>
  <c r="UB60" i="16"/>
  <c r="UA60" i="16"/>
  <c r="TZ60" i="16"/>
  <c r="TZ24" i="16" s="1"/>
  <c r="TY60" i="16"/>
  <c r="TY24" i="16" s="1"/>
  <c r="TX60" i="16"/>
  <c r="TW60" i="16"/>
  <c r="TV60" i="16"/>
  <c r="TV24" i="16" s="1"/>
  <c r="TU60" i="16"/>
  <c r="TU24" i="16" s="1"/>
  <c r="TT60" i="16"/>
  <c r="TS60" i="16"/>
  <c r="TR60" i="16"/>
  <c r="TR24" i="16" s="1"/>
  <c r="TQ60" i="16"/>
  <c r="TQ24" i="16" s="1"/>
  <c r="TP60" i="16"/>
  <c r="TO60" i="16"/>
  <c r="TN60" i="16"/>
  <c r="TN24" i="16" s="1"/>
  <c r="TM60" i="16"/>
  <c r="TM24" i="16" s="1"/>
  <c r="TL60" i="16"/>
  <c r="TK60" i="16"/>
  <c r="TJ60" i="16"/>
  <c r="TJ24" i="16" s="1"/>
  <c r="TI60" i="16"/>
  <c r="TI24" i="16" s="1"/>
  <c r="TH60" i="16"/>
  <c r="TG60" i="16"/>
  <c r="TF60" i="16"/>
  <c r="TF24" i="16" s="1"/>
  <c r="TE60" i="16"/>
  <c r="TE24" i="16" s="1"/>
  <c r="TD60" i="16"/>
  <c r="TC60" i="16"/>
  <c r="TB60" i="16"/>
  <c r="TB24" i="16" s="1"/>
  <c r="TA60" i="16"/>
  <c r="TA24" i="16" s="1"/>
  <c r="SZ60" i="16"/>
  <c r="SY60" i="16"/>
  <c r="SX60" i="16"/>
  <c r="SX24" i="16" s="1"/>
  <c r="SW60" i="16"/>
  <c r="SW24" i="16" s="1"/>
  <c r="SV60" i="16"/>
  <c r="SU60" i="16"/>
  <c r="ST60" i="16"/>
  <c r="ST24" i="16" s="1"/>
  <c r="SS60" i="16"/>
  <c r="SS24" i="16" s="1"/>
  <c r="SR60" i="16"/>
  <c r="SQ60" i="16"/>
  <c r="SP60" i="16"/>
  <c r="SP24" i="16" s="1"/>
  <c r="SO60" i="16"/>
  <c r="SO24" i="16" s="1"/>
  <c r="SN60" i="16"/>
  <c r="SM60" i="16"/>
  <c r="SL60" i="16"/>
  <c r="SL24" i="16" s="1"/>
  <c r="SK60" i="16"/>
  <c r="SK24" i="16" s="1"/>
  <c r="SJ60" i="16"/>
  <c r="SI60" i="16"/>
  <c r="SH60" i="16"/>
  <c r="SH24" i="16" s="1"/>
  <c r="SG60" i="16"/>
  <c r="SG24" i="16" s="1"/>
  <c r="SF60" i="16"/>
  <c r="SE60" i="16"/>
  <c r="SD60" i="16"/>
  <c r="SD24" i="16" s="1"/>
  <c r="SC60" i="16"/>
  <c r="SC24" i="16" s="1"/>
  <c r="SB60" i="16"/>
  <c r="RF60" i="16"/>
  <c r="RF24" i="16" s="1"/>
  <c r="RE60" i="16"/>
  <c r="RE24" i="16" s="1"/>
  <c r="RD60" i="16"/>
  <c r="RD24" i="16" s="1"/>
  <c r="RC60" i="16"/>
  <c r="RB60" i="16"/>
  <c r="RB24" i="16" s="1"/>
  <c r="RA60" i="16"/>
  <c r="RA24" i="16" s="1"/>
  <c r="QT60" i="16"/>
  <c r="QT24" i="16" s="1"/>
  <c r="QS60" i="16"/>
  <c r="QR60" i="16"/>
  <c r="QR24" i="16" s="1"/>
  <c r="QQ60" i="16"/>
  <c r="QQ24" i="16" s="1"/>
  <c r="QP60" i="16"/>
  <c r="QP24" i="16" s="1"/>
  <c r="QO60" i="16"/>
  <c r="QN60" i="16"/>
  <c r="QM60" i="16"/>
  <c r="QM24" i="16" s="1"/>
  <c r="QL60" i="16"/>
  <c r="QL24" i="16" s="1"/>
  <c r="QK60" i="16"/>
  <c r="QJ60" i="16"/>
  <c r="QJ24" i="16" s="1"/>
  <c r="QI60" i="16"/>
  <c r="QI24" i="16" s="1"/>
  <c r="QH60" i="16"/>
  <c r="QH24" i="16" s="1"/>
  <c r="QG60" i="16"/>
  <c r="QF60" i="16"/>
  <c r="QE60" i="16"/>
  <c r="QE24" i="16" s="1"/>
  <c r="QD60" i="16"/>
  <c r="QD24" i="16" s="1"/>
  <c r="QC60" i="16"/>
  <c r="QB60" i="16"/>
  <c r="QB24" i="16" s="1"/>
  <c r="QA60" i="16"/>
  <c r="QA24" i="16" s="1"/>
  <c r="PZ60" i="16"/>
  <c r="PZ24" i="16" s="1"/>
  <c r="PY60" i="16"/>
  <c r="PX60" i="16"/>
  <c r="PW60" i="16"/>
  <c r="PW24" i="16" s="1"/>
  <c r="PV60" i="16"/>
  <c r="PV24" i="16" s="1"/>
  <c r="PU60" i="16"/>
  <c r="PT60" i="16"/>
  <c r="PT24" i="16" s="1"/>
  <c r="PS60" i="16"/>
  <c r="PS24" i="16" s="1"/>
  <c r="PR60" i="16"/>
  <c r="PR24" i="16" s="1"/>
  <c r="PQ60" i="16"/>
  <c r="PP60" i="16"/>
  <c r="PO60" i="16"/>
  <c r="PO24" i="16" s="1"/>
  <c r="PN60" i="16"/>
  <c r="PN24" i="16" s="1"/>
  <c r="PM60" i="16"/>
  <c r="PL60" i="16"/>
  <c r="PL24" i="16" s="1"/>
  <c r="PK60" i="16"/>
  <c r="PK24" i="16" s="1"/>
  <c r="PJ60" i="16"/>
  <c r="PJ24" i="16" s="1"/>
  <c r="PI60" i="16"/>
  <c r="PH60" i="16"/>
  <c r="PG60" i="16"/>
  <c r="PG24" i="16" s="1"/>
  <c r="PF60" i="16"/>
  <c r="PF24" i="16" s="1"/>
  <c r="PE60" i="16"/>
  <c r="PD60" i="16"/>
  <c r="PD24" i="16" s="1"/>
  <c r="PC60" i="16"/>
  <c r="PC24" i="16" s="1"/>
  <c r="PB60" i="16"/>
  <c r="PB24" i="16" s="1"/>
  <c r="PA60" i="16"/>
  <c r="OZ60" i="16"/>
  <c r="OY60" i="16"/>
  <c r="OY24" i="16" s="1"/>
  <c r="OX60" i="16"/>
  <c r="OX24" i="16" s="1"/>
  <c r="OW60" i="16"/>
  <c r="OV60" i="16"/>
  <c r="OV24" i="16" s="1"/>
  <c r="OU60" i="16"/>
  <c r="OU24" i="16" s="1"/>
  <c r="OT60" i="16"/>
  <c r="OT24" i="16" s="1"/>
  <c r="OS60" i="16"/>
  <c r="OR60" i="16"/>
  <c r="OQ60" i="16"/>
  <c r="OQ24" i="16" s="1"/>
  <c r="OP60" i="16"/>
  <c r="OP24" i="16" s="1"/>
  <c r="OO60" i="16"/>
  <c r="ON60" i="16"/>
  <c r="ON24" i="16" s="1"/>
  <c r="OM60" i="16"/>
  <c r="OM24" i="16" s="1"/>
  <c r="OL60" i="16"/>
  <c r="OL24" i="16" s="1"/>
  <c r="OK60" i="16"/>
  <c r="OJ60" i="16"/>
  <c r="OI60" i="16"/>
  <c r="OI24" i="16" s="1"/>
  <c r="OH60" i="16"/>
  <c r="OH24" i="16" s="1"/>
  <c r="OG60" i="16"/>
  <c r="OF60" i="16"/>
  <c r="OF24" i="16" s="1"/>
  <c r="OE60" i="16"/>
  <c r="OE24" i="16" s="1"/>
  <c r="OD60" i="16"/>
  <c r="OD24" i="16" s="1"/>
  <c r="OC60" i="16"/>
  <c r="OB60" i="16"/>
  <c r="OA60" i="16"/>
  <c r="OA24" i="16" s="1"/>
  <c r="NZ60" i="16"/>
  <c r="NZ24" i="16" s="1"/>
  <c r="NY60" i="16"/>
  <c r="NX60" i="16"/>
  <c r="NX24" i="16" s="1"/>
  <c r="NW60" i="16"/>
  <c r="NW24" i="16" s="1"/>
  <c r="NV60" i="16"/>
  <c r="NV24" i="16" s="1"/>
  <c r="NU60" i="16"/>
  <c r="NT60" i="16"/>
  <c r="NS60" i="16"/>
  <c r="NS24" i="16" s="1"/>
  <c r="NR60" i="16"/>
  <c r="NR24" i="16" s="1"/>
  <c r="NQ60" i="16"/>
  <c r="NP60" i="16"/>
  <c r="NP24" i="16" s="1"/>
  <c r="NO60" i="16"/>
  <c r="NO24" i="16" s="1"/>
  <c r="NN60" i="16"/>
  <c r="NN24" i="16" s="1"/>
  <c r="NM60" i="16"/>
  <c r="NL60" i="16"/>
  <c r="NK60" i="16"/>
  <c r="NK24" i="16" s="1"/>
  <c r="NJ60" i="16"/>
  <c r="NJ24" i="16" s="1"/>
  <c r="NI60" i="16"/>
  <c r="NH60" i="16"/>
  <c r="NH24" i="16" s="1"/>
  <c r="NG60" i="16"/>
  <c r="NG24" i="16" s="1"/>
  <c r="NF60" i="16"/>
  <c r="NF24" i="16" s="1"/>
  <c r="NE60" i="16"/>
  <c r="ND60" i="16"/>
  <c r="NC60" i="16"/>
  <c r="NC24" i="16" s="1"/>
  <c r="NB60" i="16"/>
  <c r="NB24" i="16" s="1"/>
  <c r="NA60" i="16"/>
  <c r="MZ60" i="16"/>
  <c r="MZ24" i="16" s="1"/>
  <c r="MY60" i="16"/>
  <c r="MY24" i="16" s="1"/>
  <c r="MX60" i="16"/>
  <c r="MX24" i="16" s="1"/>
  <c r="MW60" i="16"/>
  <c r="MV60" i="16"/>
  <c r="MU60" i="16"/>
  <c r="MU24" i="16" s="1"/>
  <c r="MT60" i="16"/>
  <c r="MT24" i="16" s="1"/>
  <c r="MS60" i="16"/>
  <c r="MR60" i="16"/>
  <c r="MR24" i="16" s="1"/>
  <c r="MQ60" i="16"/>
  <c r="MQ24" i="16" s="1"/>
  <c r="JY60" i="16"/>
  <c r="JY24" i="16" s="1"/>
  <c r="JX60" i="16"/>
  <c r="JW60" i="16"/>
  <c r="JV60" i="16"/>
  <c r="JV24" i="16" s="1"/>
  <c r="JU60" i="16"/>
  <c r="JU24" i="16" s="1"/>
  <c r="JT60" i="16"/>
  <c r="JS60" i="16"/>
  <c r="JS24" i="16" s="1"/>
  <c r="JR60" i="16"/>
  <c r="JR24" i="16" s="1"/>
  <c r="JQ60" i="16"/>
  <c r="JQ24" i="16" s="1"/>
  <c r="JP60" i="16"/>
  <c r="JO60" i="16"/>
  <c r="JN60" i="16"/>
  <c r="JN24" i="16" s="1"/>
  <c r="JM60" i="16"/>
  <c r="JM24" i="16" s="1"/>
  <c r="JL60" i="16"/>
  <c r="JK60" i="16"/>
  <c r="JK24" i="16" s="1"/>
  <c r="JJ60" i="16"/>
  <c r="JJ24" i="16" s="1"/>
  <c r="JI60" i="16"/>
  <c r="JI24" i="16" s="1"/>
  <c r="JH60" i="16"/>
  <c r="JG60" i="16"/>
  <c r="JF60" i="16"/>
  <c r="JF24" i="16" s="1"/>
  <c r="JE60" i="16"/>
  <c r="JE24" i="16" s="1"/>
  <c r="JD60" i="16"/>
  <c r="JC60" i="16"/>
  <c r="JC24" i="16" s="1"/>
  <c r="JB60" i="16"/>
  <c r="JB24" i="16" s="1"/>
  <c r="JA60" i="16"/>
  <c r="JA24" i="16" s="1"/>
  <c r="IZ60" i="16"/>
  <c r="IY60" i="16"/>
  <c r="IX60" i="16"/>
  <c r="IX24" i="16" s="1"/>
  <c r="IW60" i="16"/>
  <c r="IW24" i="16" s="1"/>
  <c r="IV60" i="16"/>
  <c r="IU60" i="16"/>
  <c r="IU24" i="16" s="1"/>
  <c r="IT60" i="16"/>
  <c r="IT24" i="16" s="1"/>
  <c r="IS60" i="16"/>
  <c r="IS24" i="16" s="1"/>
  <c r="IR60" i="16"/>
  <c r="IQ60" i="16"/>
  <c r="IP60" i="16"/>
  <c r="IP24" i="16" s="1"/>
  <c r="IO60" i="16"/>
  <c r="IO24" i="16" s="1"/>
  <c r="IN60" i="16"/>
  <c r="IM60" i="16"/>
  <c r="IM24" i="16" s="1"/>
  <c r="IL60" i="16"/>
  <c r="IL24" i="16" s="1"/>
  <c r="IK60" i="16"/>
  <c r="IK24" i="16" s="1"/>
  <c r="IJ60" i="16"/>
  <c r="II60" i="16"/>
  <c r="IH60" i="16"/>
  <c r="IH24" i="16" s="1"/>
  <c r="IG60" i="16"/>
  <c r="IG24" i="16" s="1"/>
  <c r="IF60" i="16"/>
  <c r="IE60" i="16"/>
  <c r="IE24" i="16" s="1"/>
  <c r="ID60" i="16"/>
  <c r="ID24" i="16" s="1"/>
  <c r="IC60" i="16"/>
  <c r="IC24" i="16" s="1"/>
  <c r="IB60" i="16"/>
  <c r="IA60" i="16"/>
  <c r="HZ60" i="16"/>
  <c r="HZ24" i="16" s="1"/>
  <c r="HY60" i="16"/>
  <c r="HY24" i="16" s="1"/>
  <c r="HX60" i="16"/>
  <c r="HW60" i="16"/>
  <c r="HW24" i="16" s="1"/>
  <c r="HV60" i="16"/>
  <c r="HV24" i="16" s="1"/>
  <c r="HU60" i="16"/>
  <c r="HU24" i="16" s="1"/>
  <c r="HT60" i="16"/>
  <c r="HS60" i="16"/>
  <c r="HR60" i="16"/>
  <c r="HR24" i="16" s="1"/>
  <c r="HQ60" i="16"/>
  <c r="HQ24" i="16" s="1"/>
  <c r="HP60" i="16"/>
  <c r="HO60" i="16"/>
  <c r="HN60" i="16"/>
  <c r="HN24" i="16" s="1"/>
  <c r="HM60" i="16"/>
  <c r="HM24" i="16" s="1"/>
  <c r="HL60" i="16"/>
  <c r="HK60" i="16"/>
  <c r="HJ60" i="16"/>
  <c r="HJ24" i="16" s="1"/>
  <c r="HI60" i="16"/>
  <c r="HI24" i="16" s="1"/>
  <c r="HH60" i="16"/>
  <c r="HG60" i="16"/>
  <c r="HG24" i="16" s="1"/>
  <c r="HF60" i="16"/>
  <c r="HF24" i="16" s="1"/>
  <c r="HE60" i="16"/>
  <c r="HE24" i="16" s="1"/>
  <c r="HD60" i="16"/>
  <c r="HC60" i="16"/>
  <c r="HB60" i="16"/>
  <c r="HB24" i="16" s="1"/>
  <c r="HA60" i="16"/>
  <c r="HA24" i="16" s="1"/>
  <c r="GZ60" i="16"/>
  <c r="GY60" i="16"/>
  <c r="GX60" i="16"/>
  <c r="GX24" i="16" s="1"/>
  <c r="GW60" i="16"/>
  <c r="GW24" i="16" s="1"/>
  <c r="GV60" i="16"/>
  <c r="GU60" i="16"/>
  <c r="GT60" i="16"/>
  <c r="GT24" i="16" s="1"/>
  <c r="GS60" i="16"/>
  <c r="GS24" i="16" s="1"/>
  <c r="GR60" i="16"/>
  <c r="GQ60" i="16"/>
  <c r="GQ24" i="16" s="1"/>
  <c r="GP60" i="16"/>
  <c r="GP24" i="16" s="1"/>
  <c r="GO60" i="16"/>
  <c r="GO24" i="16" s="1"/>
  <c r="GN60" i="16"/>
  <c r="GM60" i="16"/>
  <c r="GL60" i="16"/>
  <c r="GL24" i="16" s="1"/>
  <c r="GK60" i="16"/>
  <c r="GK24" i="16" s="1"/>
  <c r="GJ60" i="16"/>
  <c r="GI60" i="16"/>
  <c r="GH60" i="16"/>
  <c r="GH24" i="16" s="1"/>
  <c r="GG60" i="16"/>
  <c r="GG24" i="16" s="1"/>
  <c r="GF60" i="16"/>
  <c r="GE60" i="16"/>
  <c r="GD60" i="16"/>
  <c r="GD24" i="16" s="1"/>
  <c r="GC60" i="16"/>
  <c r="GC24" i="16" s="1"/>
  <c r="GB60" i="16"/>
  <c r="GA60" i="16"/>
  <c r="GA24" i="16" s="1"/>
  <c r="FZ60" i="16"/>
  <c r="FZ24" i="16" s="1"/>
  <c r="FY60" i="16"/>
  <c r="FY24" i="16" s="1"/>
  <c r="FX60" i="16"/>
  <c r="FW60" i="16"/>
  <c r="FV60" i="16"/>
  <c r="FV24" i="16" s="1"/>
  <c r="FU60" i="16"/>
  <c r="FU24" i="16" s="1"/>
  <c r="FT60" i="16"/>
  <c r="FS60" i="16"/>
  <c r="FR60" i="16"/>
  <c r="FR24" i="16" s="1"/>
  <c r="FQ60" i="16"/>
  <c r="FQ24" i="16" s="1"/>
  <c r="FP60" i="16"/>
  <c r="FO60" i="16"/>
  <c r="FN60" i="16"/>
  <c r="FN24" i="16" s="1"/>
  <c r="FM60" i="16"/>
  <c r="FM24" i="16" s="1"/>
  <c r="FL60" i="16"/>
  <c r="FK60" i="16"/>
  <c r="FK24" i="16" s="1"/>
  <c r="FJ60" i="16"/>
  <c r="FJ24" i="16" s="1"/>
  <c r="FI60" i="16"/>
  <c r="FI24" i="16" s="1"/>
  <c r="FH60" i="16"/>
  <c r="FG60" i="16"/>
  <c r="FF60" i="16"/>
  <c r="FF24" i="16" s="1"/>
  <c r="FE60" i="16"/>
  <c r="FE24" i="16" s="1"/>
  <c r="FD60" i="16"/>
  <c r="FC60" i="16"/>
  <c r="FB60" i="16"/>
  <c r="FB24" i="16" s="1"/>
  <c r="FA60" i="16"/>
  <c r="FA24" i="16" s="1"/>
  <c r="EZ60" i="16"/>
  <c r="EY60" i="16"/>
  <c r="EX60" i="16"/>
  <c r="EX24" i="16" s="1"/>
  <c r="EW60" i="16"/>
  <c r="EW24" i="16" s="1"/>
  <c r="EV60" i="16"/>
  <c r="EU60" i="16"/>
  <c r="ET60" i="16"/>
  <c r="ET24" i="16" s="1"/>
  <c r="ES60" i="16"/>
  <c r="ES24" i="16" s="1"/>
  <c r="ER60" i="16"/>
  <c r="EQ60" i="16"/>
  <c r="EP60" i="16"/>
  <c r="EP24" i="16" s="1"/>
  <c r="EO60" i="16"/>
  <c r="EO24" i="16" s="1"/>
  <c r="EN60" i="16"/>
  <c r="EM60" i="16"/>
  <c r="EL60" i="16"/>
  <c r="EL24" i="16" s="1"/>
  <c r="EK60" i="16"/>
  <c r="EK24" i="16" s="1"/>
  <c r="EJ60" i="16"/>
  <c r="EI60" i="16"/>
  <c r="EH60" i="16"/>
  <c r="EH24" i="16" s="1"/>
  <c r="EG60" i="16"/>
  <c r="EG24" i="16" s="1"/>
  <c r="EF60" i="16"/>
  <c r="EE60" i="16"/>
  <c r="ED60" i="16"/>
  <c r="ED24" i="16" s="1"/>
  <c r="EC60" i="16"/>
  <c r="EC24" i="16" s="1"/>
  <c r="EB60" i="16"/>
  <c r="EA60" i="16"/>
  <c r="DZ60" i="16"/>
  <c r="DZ24" i="16" s="1"/>
  <c r="DY60" i="16"/>
  <c r="DY24" i="16" s="1"/>
  <c r="DX60" i="16"/>
  <c r="DW60" i="16"/>
  <c r="DV60" i="16"/>
  <c r="DV24" i="16" s="1"/>
  <c r="DU60" i="16"/>
  <c r="DU24" i="16" s="1"/>
  <c r="DT60" i="16"/>
  <c r="DS60" i="16"/>
  <c r="DR60" i="16"/>
  <c r="DR24" i="16" s="1"/>
  <c r="DQ60" i="16"/>
  <c r="DQ24" i="16" s="1"/>
  <c r="DP60" i="16"/>
  <c r="DO60" i="16"/>
  <c r="DN60" i="16"/>
  <c r="DN24" i="16" s="1"/>
  <c r="DM60" i="16"/>
  <c r="DM24" i="16" s="1"/>
  <c r="DL60" i="16"/>
  <c r="DK60" i="16"/>
  <c r="DJ60" i="16"/>
  <c r="DJ24" i="16" s="1"/>
  <c r="DI60" i="16"/>
  <c r="DI24" i="16" s="1"/>
  <c r="DH60" i="16"/>
  <c r="DG60" i="16"/>
  <c r="DF60" i="16"/>
  <c r="DF24" i="16" s="1"/>
  <c r="DE60" i="16"/>
  <c r="DE24" i="16" s="1"/>
  <c r="DD60" i="16"/>
  <c r="DC60" i="16"/>
  <c r="DB60" i="16"/>
  <c r="DB24" i="16" s="1"/>
  <c r="DA60" i="16"/>
  <c r="DA24" i="16" s="1"/>
  <c r="CZ60" i="16"/>
  <c r="CY60" i="16"/>
  <c r="CX60" i="16"/>
  <c r="CX24" i="16" s="1"/>
  <c r="CW60" i="16"/>
  <c r="CW24" i="16" s="1"/>
  <c r="CV60" i="16"/>
  <c r="CU60" i="16"/>
  <c r="CT60" i="16"/>
  <c r="CT24" i="16" s="1"/>
  <c r="CS60" i="16"/>
  <c r="CS24" i="16" s="1"/>
  <c r="CR60" i="16"/>
  <c r="CQ60" i="16"/>
  <c r="CP60" i="16"/>
  <c r="CP24" i="16" s="1"/>
  <c r="CO60" i="16"/>
  <c r="CO24" i="16" s="1"/>
  <c r="CN60" i="16"/>
  <c r="CM60" i="16"/>
  <c r="CL60" i="16"/>
  <c r="CL24" i="16" s="1"/>
  <c r="CK60" i="16"/>
  <c r="CK24" i="16" s="1"/>
  <c r="CJ60" i="16"/>
  <c r="CI60" i="16"/>
  <c r="CH60" i="16"/>
  <c r="CH24" i="16" s="1"/>
  <c r="CG60" i="16"/>
  <c r="CG24" i="16" s="1"/>
  <c r="CF60" i="16"/>
  <c r="CE60" i="16"/>
  <c r="CD60" i="16"/>
  <c r="CD24" i="16" s="1"/>
  <c r="CC60" i="16"/>
  <c r="CC24" i="16" s="1"/>
  <c r="CB60" i="16"/>
  <c r="CA60" i="16"/>
  <c r="BZ60" i="16"/>
  <c r="BZ24" i="16" s="1"/>
  <c r="BY60" i="16"/>
  <c r="BY24" i="16" s="1"/>
  <c r="BX60" i="16"/>
  <c r="BW60" i="16"/>
  <c r="BV60" i="16"/>
  <c r="BV24" i="16" s="1"/>
  <c r="BU60" i="16"/>
  <c r="BU24" i="16" s="1"/>
  <c r="BT60" i="16"/>
  <c r="BS60" i="16"/>
  <c r="BR60" i="16"/>
  <c r="BR24" i="16" s="1"/>
  <c r="BQ60" i="16"/>
  <c r="BQ24" i="16" s="1"/>
  <c r="BP60" i="16"/>
  <c r="BO60" i="16"/>
  <c r="BN60" i="16"/>
  <c r="BN24" i="16" s="1"/>
  <c r="BM60" i="16"/>
  <c r="BM24" i="16" s="1"/>
  <c r="BL60" i="16"/>
  <c r="BK60" i="16"/>
  <c r="BJ60" i="16"/>
  <c r="BJ24" i="16" s="1"/>
  <c r="BI60" i="16"/>
  <c r="BI24" i="16" s="1"/>
  <c r="BH60" i="16"/>
  <c r="BG60" i="16"/>
  <c r="BF60" i="16"/>
  <c r="BF24" i="16" s="1"/>
  <c r="BE60" i="16"/>
  <c r="BE24" i="16" s="1"/>
  <c r="BD60" i="16"/>
  <c r="BC60" i="16"/>
  <c r="BB60" i="16"/>
  <c r="BB24" i="16" s="1"/>
  <c r="BA60" i="16"/>
  <c r="BA24" i="16" s="1"/>
  <c r="AZ60" i="16"/>
  <c r="AY60" i="16"/>
  <c r="AX60" i="16"/>
  <c r="AX24" i="16" s="1"/>
  <c r="AW60" i="16"/>
  <c r="AW24" i="16" s="1"/>
  <c r="AV60" i="16"/>
  <c r="AU60" i="16"/>
  <c r="AT60" i="16"/>
  <c r="AT24" i="16" s="1"/>
  <c r="AS60" i="16"/>
  <c r="AS24" i="16" s="1"/>
  <c r="AR60" i="16"/>
  <c r="AQ60" i="16"/>
  <c r="AP60" i="16"/>
  <c r="AP24" i="16" s="1"/>
  <c r="AO60" i="16"/>
  <c r="AO24" i="16" s="1"/>
  <c r="AN60" i="16"/>
  <c r="AM60" i="16"/>
  <c r="AL60" i="16"/>
  <c r="AL24" i="16" s="1"/>
  <c r="AK60" i="16"/>
  <c r="AK24" i="16" s="1"/>
  <c r="AJ60" i="16"/>
  <c r="AI60" i="16"/>
  <c r="AH60" i="16"/>
  <c r="AH24" i="16" s="1"/>
  <c r="AG60" i="16"/>
  <c r="AG24" i="16" s="1"/>
  <c r="AF60" i="16"/>
  <c r="AE60" i="16"/>
  <c r="AD60" i="16"/>
  <c r="AD24" i="16" s="1"/>
  <c r="AC60" i="16"/>
  <c r="AC24" i="16" s="1"/>
  <c r="AB60" i="16"/>
  <c r="AA60" i="16"/>
  <c r="Z60" i="16"/>
  <c r="Z24" i="16" s="1"/>
  <c r="Y60" i="16"/>
  <c r="Y24" i="16" s="1"/>
  <c r="X60" i="16"/>
  <c r="W60" i="16"/>
  <c r="V60" i="16"/>
  <c r="V24" i="16" s="1"/>
  <c r="U60" i="16"/>
  <c r="U24" i="16" s="1"/>
  <c r="T60" i="16"/>
  <c r="S60" i="16"/>
  <c r="R60" i="16"/>
  <c r="R24" i="16" s="1"/>
  <c r="Q60" i="16"/>
  <c r="Q24" i="16" s="1"/>
  <c r="P60" i="16"/>
  <c r="O60" i="16"/>
  <c r="N60" i="16"/>
  <c r="N24" i="16" s="1"/>
  <c r="WS64" i="16"/>
  <c r="WR64" i="16"/>
  <c r="WQ64" i="16"/>
  <c r="WP64" i="16"/>
  <c r="WO64" i="16"/>
  <c r="WN64" i="16"/>
  <c r="WM64" i="16"/>
  <c r="WL64" i="16"/>
  <c r="WK64" i="16"/>
  <c r="WJ64" i="16"/>
  <c r="WI64" i="16"/>
  <c r="WH64" i="16"/>
  <c r="WG64" i="16"/>
  <c r="WF64" i="16"/>
  <c r="WE64" i="16"/>
  <c r="WD64" i="16"/>
  <c r="WC64" i="16"/>
  <c r="WB64" i="16"/>
  <c r="WA64" i="16"/>
  <c r="VZ64" i="16"/>
  <c r="VY64" i="16"/>
  <c r="VX64" i="16"/>
  <c r="VW64" i="16"/>
  <c r="VV64" i="16"/>
  <c r="VU64" i="16"/>
  <c r="VT64" i="16"/>
  <c r="VS64" i="16"/>
  <c r="VR64" i="16"/>
  <c r="VQ64" i="16"/>
  <c r="VP64" i="16"/>
  <c r="VO64" i="16"/>
  <c r="VN64" i="16"/>
  <c r="VM64" i="16"/>
  <c r="VL64" i="16"/>
  <c r="VK64" i="16"/>
  <c r="VJ64" i="16"/>
  <c r="VI64" i="16"/>
  <c r="VH64" i="16"/>
  <c r="VG64" i="16"/>
  <c r="VF64" i="16"/>
  <c r="VE64" i="16"/>
  <c r="VD64" i="16"/>
  <c r="VC64" i="16"/>
  <c r="VB64" i="16"/>
  <c r="VA64" i="16"/>
  <c r="UZ64" i="16"/>
  <c r="UY64" i="16"/>
  <c r="UX64" i="16"/>
  <c r="UW64" i="16"/>
  <c r="UV64" i="16"/>
  <c r="UU64" i="16"/>
  <c r="UT64" i="16"/>
  <c r="US64" i="16"/>
  <c r="UR64" i="16"/>
  <c r="UQ64" i="16"/>
  <c r="UP64" i="16"/>
  <c r="UO64" i="16"/>
  <c r="UN64" i="16"/>
  <c r="UM64" i="16"/>
  <c r="UL64" i="16"/>
  <c r="UK64" i="16"/>
  <c r="UJ64" i="16"/>
  <c r="UI64" i="16"/>
  <c r="UH64" i="16"/>
  <c r="UG64" i="16"/>
  <c r="UF64" i="16"/>
  <c r="UE64" i="16"/>
  <c r="UD64" i="16"/>
  <c r="UC64" i="16"/>
  <c r="UB64" i="16"/>
  <c r="UA64" i="16"/>
  <c r="TZ64" i="16"/>
  <c r="TY64" i="16"/>
  <c r="TX64" i="16"/>
  <c r="TW64" i="16"/>
  <c r="TV64" i="16"/>
  <c r="TU64" i="16"/>
  <c r="TT64" i="16"/>
  <c r="TS64" i="16"/>
  <c r="TR64" i="16"/>
  <c r="TQ64" i="16"/>
  <c r="TP64" i="16"/>
  <c r="TO64" i="16"/>
  <c r="TN64" i="16"/>
  <c r="TM64" i="16"/>
  <c r="TL64" i="16"/>
  <c r="TK64" i="16"/>
  <c r="TJ64" i="16"/>
  <c r="TI64" i="16"/>
  <c r="TH64" i="16"/>
  <c r="TG64" i="16"/>
  <c r="TF64" i="16"/>
  <c r="TE64" i="16"/>
  <c r="TD64" i="16"/>
  <c r="TC64" i="16"/>
  <c r="TB64" i="16"/>
  <c r="TA64" i="16"/>
  <c r="SZ64" i="16"/>
  <c r="SY64" i="16"/>
  <c r="SX64" i="16"/>
  <c r="SW64" i="16"/>
  <c r="SV64" i="16"/>
  <c r="SU64" i="16"/>
  <c r="ST64" i="16"/>
  <c r="SS64" i="16"/>
  <c r="SR64" i="16"/>
  <c r="SQ64" i="16"/>
  <c r="SP64" i="16"/>
  <c r="SO64" i="16"/>
  <c r="SN64" i="16"/>
  <c r="SM64" i="16"/>
  <c r="SL64" i="16"/>
  <c r="SK64" i="16"/>
  <c r="SJ64" i="16"/>
  <c r="SI64" i="16"/>
  <c r="SH64" i="16"/>
  <c r="SG64" i="16"/>
  <c r="SF64" i="16"/>
  <c r="SE64" i="16"/>
  <c r="SD64" i="16"/>
  <c r="SC64" i="16"/>
  <c r="SB64" i="16"/>
  <c r="QT64" i="16"/>
  <c r="QT39" i="16" s="1"/>
  <c r="QS64" i="16"/>
  <c r="QS39" i="16" s="1"/>
  <c r="QR64" i="16"/>
  <c r="QR39" i="16" s="1"/>
  <c r="QQ64" i="16"/>
  <c r="QQ39" i="16" s="1"/>
  <c r="QP64" i="16"/>
  <c r="QP39" i="16" s="1"/>
  <c r="QO64" i="16"/>
  <c r="QO39" i="16" s="1"/>
  <c r="QN64" i="16"/>
  <c r="QN39" i="16" s="1"/>
  <c r="QM64" i="16"/>
  <c r="QM39" i="16" s="1"/>
  <c r="QL64" i="16"/>
  <c r="QL39" i="16" s="1"/>
  <c r="QK64" i="16"/>
  <c r="QK39" i="16" s="1"/>
  <c r="QJ64" i="16"/>
  <c r="QJ39" i="16" s="1"/>
  <c r="QI64" i="16"/>
  <c r="QI39" i="16" s="1"/>
  <c r="QH64" i="16"/>
  <c r="QH39" i="16" s="1"/>
  <c r="QG64" i="16"/>
  <c r="QG39" i="16" s="1"/>
  <c r="QF64" i="16"/>
  <c r="QF39" i="16" s="1"/>
  <c r="QE64" i="16"/>
  <c r="QE39" i="16" s="1"/>
  <c r="QD64" i="16"/>
  <c r="QD39" i="16" s="1"/>
  <c r="QC64" i="16"/>
  <c r="QC39" i="16" s="1"/>
  <c r="QB64" i="16"/>
  <c r="QB39" i="16" s="1"/>
  <c r="QA64" i="16"/>
  <c r="QA39" i="16" s="1"/>
  <c r="PZ64" i="16"/>
  <c r="PZ39" i="16" s="1"/>
  <c r="PY64" i="16"/>
  <c r="PY39" i="16" s="1"/>
  <c r="PX64" i="16"/>
  <c r="PX39" i="16" s="1"/>
  <c r="PW64" i="16"/>
  <c r="PW39" i="16" s="1"/>
  <c r="PV64" i="16"/>
  <c r="PV39" i="16" s="1"/>
  <c r="PU64" i="16"/>
  <c r="PU39" i="16" s="1"/>
  <c r="PT64" i="16"/>
  <c r="PT39" i="16" s="1"/>
  <c r="PS64" i="16"/>
  <c r="PS39" i="16" s="1"/>
  <c r="PR64" i="16"/>
  <c r="PR39" i="16" s="1"/>
  <c r="PQ64" i="16"/>
  <c r="PQ39" i="16" s="1"/>
  <c r="PP64" i="16"/>
  <c r="PP39" i="16" s="1"/>
  <c r="PO64" i="16"/>
  <c r="PO39" i="16" s="1"/>
  <c r="PN64" i="16"/>
  <c r="PN39" i="16" s="1"/>
  <c r="PM64" i="16"/>
  <c r="PM39" i="16" s="1"/>
  <c r="PL64" i="16"/>
  <c r="PL39" i="16" s="1"/>
  <c r="PK64" i="16"/>
  <c r="PK39" i="16" s="1"/>
  <c r="PJ64" i="16"/>
  <c r="PJ39" i="16" s="1"/>
  <c r="PI64" i="16"/>
  <c r="PI39" i="16" s="1"/>
  <c r="PH64" i="16"/>
  <c r="PH39" i="16" s="1"/>
  <c r="PG64" i="16"/>
  <c r="PG39" i="16" s="1"/>
  <c r="PF64" i="16"/>
  <c r="PF39" i="16" s="1"/>
  <c r="PE64" i="16"/>
  <c r="PE39" i="16" s="1"/>
  <c r="PD64" i="16"/>
  <c r="PD39" i="16" s="1"/>
  <c r="PC64" i="16"/>
  <c r="PC39" i="16" s="1"/>
  <c r="PB64" i="16"/>
  <c r="PB39" i="16" s="1"/>
  <c r="PA64" i="16"/>
  <c r="PA39" i="16" s="1"/>
  <c r="OZ64" i="16"/>
  <c r="OZ39" i="16" s="1"/>
  <c r="OY64" i="16"/>
  <c r="OY39" i="16" s="1"/>
  <c r="OX64" i="16"/>
  <c r="OX39" i="16" s="1"/>
  <c r="OW64" i="16"/>
  <c r="OW39" i="16" s="1"/>
  <c r="OV64" i="16"/>
  <c r="OV39" i="16" s="1"/>
  <c r="OU64" i="16"/>
  <c r="OU39" i="16" s="1"/>
  <c r="OT64" i="16"/>
  <c r="OT39" i="16" s="1"/>
  <c r="OS64" i="16"/>
  <c r="OS39" i="16" s="1"/>
  <c r="OR64" i="16"/>
  <c r="OR39" i="16" s="1"/>
  <c r="OQ64" i="16"/>
  <c r="OQ39" i="16" s="1"/>
  <c r="OP64" i="16"/>
  <c r="OP39" i="16" s="1"/>
  <c r="OO64" i="16"/>
  <c r="OO39" i="16" s="1"/>
  <c r="ON64" i="16"/>
  <c r="ON39" i="16" s="1"/>
  <c r="OM64" i="16"/>
  <c r="OM39" i="16" s="1"/>
  <c r="OL64" i="16"/>
  <c r="OL39" i="16" s="1"/>
  <c r="OK64" i="16"/>
  <c r="OK39" i="16" s="1"/>
  <c r="OJ64" i="16"/>
  <c r="OJ39" i="16" s="1"/>
  <c r="OI64" i="16"/>
  <c r="OI39" i="16" s="1"/>
  <c r="OH64" i="16"/>
  <c r="OH39" i="16" s="1"/>
  <c r="OG64" i="16"/>
  <c r="OG39" i="16" s="1"/>
  <c r="OF64" i="16"/>
  <c r="OF39" i="16" s="1"/>
  <c r="OE64" i="16"/>
  <c r="OE39" i="16" s="1"/>
  <c r="OD64" i="16"/>
  <c r="OD39" i="16" s="1"/>
  <c r="OC64" i="16"/>
  <c r="OC39" i="16" s="1"/>
  <c r="OB64" i="16"/>
  <c r="OB39" i="16" s="1"/>
  <c r="OA64" i="16"/>
  <c r="OA39" i="16" s="1"/>
  <c r="NZ64" i="16"/>
  <c r="NZ39" i="16" s="1"/>
  <c r="NY64" i="16"/>
  <c r="NY39" i="16" s="1"/>
  <c r="NX64" i="16"/>
  <c r="NX39" i="16" s="1"/>
  <c r="NW64" i="16"/>
  <c r="NW39" i="16" s="1"/>
  <c r="NV64" i="16"/>
  <c r="NV39" i="16" s="1"/>
  <c r="NU64" i="16"/>
  <c r="NU39" i="16" s="1"/>
  <c r="NT64" i="16"/>
  <c r="NT39" i="16" s="1"/>
  <c r="NS64" i="16"/>
  <c r="NS39" i="16" s="1"/>
  <c r="NR64" i="16"/>
  <c r="NR39" i="16" s="1"/>
  <c r="NQ64" i="16"/>
  <c r="NQ39" i="16" s="1"/>
  <c r="NP64" i="16"/>
  <c r="NP39" i="16" s="1"/>
  <c r="NO64" i="16"/>
  <c r="NO39" i="16" s="1"/>
  <c r="NN64" i="16"/>
  <c r="NN39" i="16" s="1"/>
  <c r="NM64" i="16"/>
  <c r="NM39" i="16" s="1"/>
  <c r="NL64" i="16"/>
  <c r="NL39" i="16" s="1"/>
  <c r="NK64" i="16"/>
  <c r="NK39" i="16" s="1"/>
  <c r="NJ64" i="16"/>
  <c r="NJ39" i="16" s="1"/>
  <c r="NI64" i="16"/>
  <c r="NI39" i="16" s="1"/>
  <c r="NH64" i="16"/>
  <c r="NH39" i="16" s="1"/>
  <c r="NG64" i="16"/>
  <c r="NG39" i="16" s="1"/>
  <c r="NF64" i="16"/>
  <c r="NF39" i="16" s="1"/>
  <c r="NE64" i="16"/>
  <c r="NE39" i="16" s="1"/>
  <c r="ND64" i="16"/>
  <c r="ND39" i="16" s="1"/>
  <c r="NC64" i="16"/>
  <c r="NC39" i="16" s="1"/>
  <c r="NB64" i="16"/>
  <c r="NB39" i="16" s="1"/>
  <c r="NA64" i="16"/>
  <c r="NA39" i="16" s="1"/>
  <c r="MZ64" i="16"/>
  <c r="MZ39" i="16" s="1"/>
  <c r="MY64" i="16"/>
  <c r="MY39" i="16" s="1"/>
  <c r="MX64" i="16"/>
  <c r="MX39" i="16" s="1"/>
  <c r="MW64" i="16"/>
  <c r="MW39" i="16" s="1"/>
  <c r="MV64" i="16"/>
  <c r="MV39" i="16" s="1"/>
  <c r="MU64" i="16"/>
  <c r="MU39" i="16" s="1"/>
  <c r="MT64" i="16"/>
  <c r="MT39" i="16" s="1"/>
  <c r="MS64" i="16"/>
  <c r="MS39" i="16" s="1"/>
  <c r="MR64" i="16"/>
  <c r="MR39" i="16" s="1"/>
  <c r="MQ64" i="16"/>
  <c r="MQ39" i="16" s="1"/>
  <c r="MP64" i="16"/>
  <c r="MP39" i="16" s="1"/>
  <c r="MO64" i="16"/>
  <c r="MO39" i="16" s="1"/>
  <c r="MN64" i="16"/>
  <c r="MN39" i="16" s="1"/>
  <c r="MM64" i="16"/>
  <c r="MM39" i="16" s="1"/>
  <c r="ML64" i="16"/>
  <c r="ML39" i="16" s="1"/>
  <c r="MK64" i="16"/>
  <c r="MK39" i="16" s="1"/>
  <c r="MJ64" i="16"/>
  <c r="MJ39" i="16" s="1"/>
  <c r="MI64" i="16"/>
  <c r="MI39" i="16" s="1"/>
  <c r="MH64" i="16"/>
  <c r="MH39" i="16" s="1"/>
  <c r="MG64" i="16"/>
  <c r="MG39" i="16" s="1"/>
  <c r="MF64" i="16"/>
  <c r="MF39" i="16" s="1"/>
  <c r="ME64" i="16"/>
  <c r="ME39" i="16" s="1"/>
  <c r="MD64" i="16"/>
  <c r="MD39" i="16" s="1"/>
  <c r="MC64" i="16"/>
  <c r="MC39" i="16" s="1"/>
  <c r="MB64" i="16"/>
  <c r="MB39" i="16" s="1"/>
  <c r="MA64" i="16"/>
  <c r="MA39" i="16" s="1"/>
  <c r="LZ64" i="16"/>
  <c r="LZ39" i="16" s="1"/>
  <c r="LY64" i="16"/>
  <c r="LY39" i="16" s="1"/>
  <c r="LX64" i="16"/>
  <c r="LX39" i="16" s="1"/>
  <c r="LW64" i="16"/>
  <c r="LW39" i="16" s="1"/>
  <c r="LV64" i="16"/>
  <c r="LV39" i="16" s="1"/>
  <c r="LU64" i="16"/>
  <c r="LU39" i="16" s="1"/>
  <c r="LT64" i="16"/>
  <c r="LT39" i="16" s="1"/>
  <c r="LS64" i="16"/>
  <c r="LS39" i="16" s="1"/>
  <c r="LR64" i="16"/>
  <c r="LR39" i="16" s="1"/>
  <c r="LQ64" i="16"/>
  <c r="LQ39" i="16" s="1"/>
  <c r="LP64" i="16"/>
  <c r="LP39" i="16" s="1"/>
  <c r="LO64" i="16"/>
  <c r="LO39" i="16" s="1"/>
  <c r="LN64" i="16"/>
  <c r="LN39" i="16" s="1"/>
  <c r="LM64" i="16"/>
  <c r="LM39" i="16" s="1"/>
  <c r="LL64" i="16"/>
  <c r="LL39" i="16" s="1"/>
  <c r="LK64" i="16"/>
  <c r="LK39" i="16" s="1"/>
  <c r="LJ64" i="16"/>
  <c r="LJ39" i="16" s="1"/>
  <c r="LI64" i="16"/>
  <c r="LI39" i="16" s="1"/>
  <c r="LH64" i="16"/>
  <c r="LH39" i="16" s="1"/>
  <c r="LG64" i="16"/>
  <c r="LG39" i="16" s="1"/>
  <c r="LF64" i="16"/>
  <c r="LF39" i="16" s="1"/>
  <c r="LE64" i="16"/>
  <c r="LE39" i="16" s="1"/>
  <c r="LD64" i="16"/>
  <c r="LD39" i="16" s="1"/>
  <c r="LC64" i="16"/>
  <c r="LC39" i="16" s="1"/>
  <c r="LB64" i="16"/>
  <c r="LB39" i="16" s="1"/>
  <c r="LA64" i="16"/>
  <c r="LA39" i="16" s="1"/>
  <c r="KZ64" i="16"/>
  <c r="KZ39" i="16" s="1"/>
  <c r="KY64" i="16"/>
  <c r="KY39" i="16" s="1"/>
  <c r="KX64" i="16"/>
  <c r="KX39" i="16" s="1"/>
  <c r="KW64" i="16"/>
  <c r="KW39" i="16" s="1"/>
  <c r="KV64" i="16"/>
  <c r="KV39" i="16" s="1"/>
  <c r="KU64" i="16"/>
  <c r="KU39" i="16" s="1"/>
  <c r="KT64" i="16"/>
  <c r="KT39" i="16" s="1"/>
  <c r="KS64" i="16"/>
  <c r="KS39" i="16" s="1"/>
  <c r="KR64" i="16"/>
  <c r="KR39" i="16" s="1"/>
  <c r="KQ64" i="16"/>
  <c r="KQ39" i="16" s="1"/>
  <c r="KP64" i="16"/>
  <c r="KP39" i="16" s="1"/>
  <c r="KO64" i="16"/>
  <c r="KO39" i="16" s="1"/>
  <c r="KN64" i="16"/>
  <c r="KN39" i="16" s="1"/>
  <c r="KM64" i="16"/>
  <c r="KM39" i="16" s="1"/>
  <c r="KL64" i="16"/>
  <c r="KL39" i="16" s="1"/>
  <c r="KK64" i="16"/>
  <c r="KK39" i="16" s="1"/>
  <c r="KJ64" i="16"/>
  <c r="KJ39" i="16" s="1"/>
  <c r="KI64" i="16"/>
  <c r="KI39" i="16" s="1"/>
  <c r="KH64" i="16"/>
  <c r="KH39" i="16" s="1"/>
  <c r="KG64" i="16"/>
  <c r="KG39" i="16" s="1"/>
  <c r="KF64" i="16"/>
  <c r="KF39" i="16" s="1"/>
  <c r="KE64" i="16"/>
  <c r="KE39" i="16" s="1"/>
  <c r="KD64" i="16"/>
  <c r="KD39" i="16" s="1"/>
  <c r="KC64" i="16"/>
  <c r="KC39" i="16" s="1"/>
  <c r="KB64" i="16"/>
  <c r="KB39" i="16" s="1"/>
  <c r="KA64" i="16"/>
  <c r="KA39" i="16" s="1"/>
  <c r="JZ64" i="16"/>
  <c r="JZ39" i="16" s="1"/>
  <c r="JY64" i="16"/>
  <c r="JY39" i="16" s="1"/>
  <c r="JX64" i="16"/>
  <c r="JX39" i="16" s="1"/>
  <c r="JW64" i="16"/>
  <c r="JW39" i="16" s="1"/>
  <c r="JV64" i="16"/>
  <c r="JV39" i="16" s="1"/>
  <c r="JU64" i="16"/>
  <c r="JU39" i="16" s="1"/>
  <c r="JT64" i="16"/>
  <c r="JT39" i="16" s="1"/>
  <c r="JS64" i="16"/>
  <c r="JS39" i="16" s="1"/>
  <c r="JR64" i="16"/>
  <c r="JR39" i="16" s="1"/>
  <c r="JQ64" i="16"/>
  <c r="JQ39" i="16" s="1"/>
  <c r="JP64" i="16"/>
  <c r="JP39" i="16" s="1"/>
  <c r="JO64" i="16"/>
  <c r="JO39" i="16" s="1"/>
  <c r="JN64" i="16"/>
  <c r="JN39" i="16" s="1"/>
  <c r="JM64" i="16"/>
  <c r="JM39" i="16" s="1"/>
  <c r="JL64" i="16"/>
  <c r="JL39" i="16" s="1"/>
  <c r="JK64" i="16"/>
  <c r="JK39" i="16" s="1"/>
  <c r="JJ64" i="16"/>
  <c r="JJ39" i="16" s="1"/>
  <c r="JI64" i="16"/>
  <c r="JI39" i="16" s="1"/>
  <c r="JH64" i="16"/>
  <c r="JH39" i="16" s="1"/>
  <c r="JG64" i="16"/>
  <c r="JG39" i="16" s="1"/>
  <c r="JF64" i="16"/>
  <c r="JF39" i="16" s="1"/>
  <c r="JE64" i="16"/>
  <c r="JE39" i="16" s="1"/>
  <c r="JD64" i="16"/>
  <c r="JD39" i="16" s="1"/>
  <c r="JC64" i="16"/>
  <c r="JC39" i="16" s="1"/>
  <c r="JB64" i="16"/>
  <c r="JB39" i="16" s="1"/>
  <c r="JA64" i="16"/>
  <c r="JA39" i="16" s="1"/>
  <c r="IZ64" i="16"/>
  <c r="IZ39" i="16" s="1"/>
  <c r="IY64" i="16"/>
  <c r="IY39" i="16" s="1"/>
  <c r="IX64" i="16"/>
  <c r="IX39" i="16" s="1"/>
  <c r="IW64" i="16"/>
  <c r="IW39" i="16" s="1"/>
  <c r="IV64" i="16"/>
  <c r="IV39" i="16" s="1"/>
  <c r="IU64" i="16"/>
  <c r="IU39" i="16" s="1"/>
  <c r="IT64" i="16"/>
  <c r="IT39" i="16" s="1"/>
  <c r="IS64" i="16"/>
  <c r="IS39" i="16" s="1"/>
  <c r="IR64" i="16"/>
  <c r="IR39" i="16" s="1"/>
  <c r="IQ64" i="16"/>
  <c r="IQ39" i="16" s="1"/>
  <c r="IP64" i="16"/>
  <c r="IP39" i="16" s="1"/>
  <c r="IO64" i="16"/>
  <c r="IO39" i="16" s="1"/>
  <c r="IN64" i="16"/>
  <c r="IN39" i="16" s="1"/>
  <c r="IM64" i="16"/>
  <c r="IM39" i="16" s="1"/>
  <c r="IL64" i="16"/>
  <c r="IL39" i="16" s="1"/>
  <c r="IK64" i="16"/>
  <c r="IK39" i="16" s="1"/>
  <c r="IJ64" i="16"/>
  <c r="IJ39" i="16" s="1"/>
  <c r="II64" i="16"/>
  <c r="II39" i="16" s="1"/>
  <c r="IH64" i="16"/>
  <c r="IH39" i="16" s="1"/>
  <c r="IG64" i="16"/>
  <c r="IG39" i="16" s="1"/>
  <c r="IF64" i="16"/>
  <c r="IF39" i="16" s="1"/>
  <c r="IE64" i="16"/>
  <c r="IE39" i="16" s="1"/>
  <c r="ID64" i="16"/>
  <c r="ID39" i="16" s="1"/>
  <c r="IC64" i="16"/>
  <c r="IC39" i="16" s="1"/>
  <c r="IB64" i="16"/>
  <c r="IB39" i="16" s="1"/>
  <c r="IA64" i="16"/>
  <c r="IA39" i="16" s="1"/>
  <c r="HZ64" i="16"/>
  <c r="HZ39" i="16" s="1"/>
  <c r="HY64" i="16"/>
  <c r="HY39" i="16" s="1"/>
  <c r="HX64" i="16"/>
  <c r="HX39" i="16" s="1"/>
  <c r="HW64" i="16"/>
  <c r="HW39" i="16" s="1"/>
  <c r="HV64" i="16"/>
  <c r="HV39" i="16" s="1"/>
  <c r="HU64" i="16"/>
  <c r="HU39" i="16" s="1"/>
  <c r="HT64" i="16"/>
  <c r="HT39" i="16" s="1"/>
  <c r="HS64" i="16"/>
  <c r="HS39" i="16" s="1"/>
  <c r="HR64" i="16"/>
  <c r="HR39" i="16" s="1"/>
  <c r="HQ64" i="16"/>
  <c r="HQ39" i="16" s="1"/>
  <c r="HP64" i="16"/>
  <c r="HP39" i="16" s="1"/>
  <c r="HO64" i="16"/>
  <c r="HO39" i="16" s="1"/>
  <c r="HN64" i="16"/>
  <c r="HN39" i="16" s="1"/>
  <c r="HM64" i="16"/>
  <c r="HM39" i="16" s="1"/>
  <c r="HL64" i="16"/>
  <c r="HL39" i="16" s="1"/>
  <c r="HK64" i="16"/>
  <c r="HK39" i="16" s="1"/>
  <c r="HJ64" i="16"/>
  <c r="HJ39" i="16" s="1"/>
  <c r="HI64" i="16"/>
  <c r="HI39" i="16" s="1"/>
  <c r="HH64" i="16"/>
  <c r="HH39" i="16" s="1"/>
  <c r="HG64" i="16"/>
  <c r="HG39" i="16" s="1"/>
  <c r="HF64" i="16"/>
  <c r="HF39" i="16" s="1"/>
  <c r="HE64" i="16"/>
  <c r="HE39" i="16" s="1"/>
  <c r="HD64" i="16"/>
  <c r="HD39" i="16" s="1"/>
  <c r="HC64" i="16"/>
  <c r="HC39" i="16" s="1"/>
  <c r="HB64" i="16"/>
  <c r="HB39" i="16" s="1"/>
  <c r="HA64" i="16"/>
  <c r="HA39" i="16" s="1"/>
  <c r="GZ64" i="16"/>
  <c r="GZ39" i="16" s="1"/>
  <c r="GY64" i="16"/>
  <c r="GY39" i="16" s="1"/>
  <c r="GX64" i="16"/>
  <c r="GX39" i="16" s="1"/>
  <c r="GW64" i="16"/>
  <c r="GW39" i="16" s="1"/>
  <c r="GV64" i="16"/>
  <c r="GV39" i="16" s="1"/>
  <c r="GU64" i="16"/>
  <c r="GU39" i="16" s="1"/>
  <c r="GT64" i="16"/>
  <c r="GT39" i="16" s="1"/>
  <c r="GS64" i="16"/>
  <c r="GS39" i="16" s="1"/>
  <c r="GR64" i="16"/>
  <c r="GR39" i="16" s="1"/>
  <c r="GQ64" i="16"/>
  <c r="GQ39" i="16" s="1"/>
  <c r="GP64" i="16"/>
  <c r="GP39" i="16" s="1"/>
  <c r="GO64" i="16"/>
  <c r="GO39" i="16" s="1"/>
  <c r="GN64" i="16"/>
  <c r="GN39" i="16" s="1"/>
  <c r="GM64" i="16"/>
  <c r="GM39" i="16" s="1"/>
  <c r="GL64" i="16"/>
  <c r="GL39" i="16" s="1"/>
  <c r="GK64" i="16"/>
  <c r="GK39" i="16" s="1"/>
  <c r="GJ64" i="16"/>
  <c r="GJ39" i="16" s="1"/>
  <c r="GI64" i="16"/>
  <c r="GI39" i="16" s="1"/>
  <c r="GH64" i="16"/>
  <c r="GH39" i="16" s="1"/>
  <c r="GG64" i="16"/>
  <c r="GG39" i="16" s="1"/>
  <c r="GF64" i="16"/>
  <c r="GF39" i="16" s="1"/>
  <c r="GE64" i="16"/>
  <c r="GE39" i="16" s="1"/>
  <c r="GD64" i="16"/>
  <c r="GD39" i="16" s="1"/>
  <c r="GC64" i="16"/>
  <c r="GC39" i="16" s="1"/>
  <c r="GB64" i="16"/>
  <c r="GB39" i="16" s="1"/>
  <c r="GA64" i="16"/>
  <c r="GA39" i="16" s="1"/>
  <c r="FZ64" i="16"/>
  <c r="FZ39" i="16" s="1"/>
  <c r="FY64" i="16"/>
  <c r="FY39" i="16" s="1"/>
  <c r="FX64" i="16"/>
  <c r="FX39" i="16" s="1"/>
  <c r="FW64" i="16"/>
  <c r="FW39" i="16" s="1"/>
  <c r="FV64" i="16"/>
  <c r="FV39" i="16" s="1"/>
  <c r="FU64" i="16"/>
  <c r="FU39" i="16" s="1"/>
  <c r="FT64" i="16"/>
  <c r="FT39" i="16" s="1"/>
  <c r="FS64" i="16"/>
  <c r="FS39" i="16" s="1"/>
  <c r="FR64" i="16"/>
  <c r="FR39" i="16" s="1"/>
  <c r="FQ64" i="16"/>
  <c r="FQ39" i="16" s="1"/>
  <c r="FP64" i="16"/>
  <c r="FP39" i="16" s="1"/>
  <c r="FO64" i="16"/>
  <c r="FO39" i="16" s="1"/>
  <c r="FN64" i="16"/>
  <c r="FN39" i="16" s="1"/>
  <c r="FM64" i="16"/>
  <c r="FM39" i="16" s="1"/>
  <c r="FL64" i="16"/>
  <c r="FL39" i="16" s="1"/>
  <c r="FK64" i="16"/>
  <c r="FK39" i="16" s="1"/>
  <c r="FJ64" i="16"/>
  <c r="FJ39" i="16" s="1"/>
  <c r="FI64" i="16"/>
  <c r="FI39" i="16" s="1"/>
  <c r="FH64" i="16"/>
  <c r="FH39" i="16" s="1"/>
  <c r="FG64" i="16"/>
  <c r="FG39" i="16" s="1"/>
  <c r="FF64" i="16"/>
  <c r="FF39" i="16" s="1"/>
  <c r="FE64" i="16"/>
  <c r="FE39" i="16" s="1"/>
  <c r="FD64" i="16"/>
  <c r="FD39" i="16" s="1"/>
  <c r="FC64" i="16"/>
  <c r="FC39" i="16" s="1"/>
  <c r="FB64" i="16"/>
  <c r="FB39" i="16" s="1"/>
  <c r="FA64" i="16"/>
  <c r="FA39" i="16" s="1"/>
  <c r="EZ64" i="16"/>
  <c r="EZ39" i="16" s="1"/>
  <c r="EY64" i="16"/>
  <c r="EY39" i="16" s="1"/>
  <c r="EX64" i="16"/>
  <c r="EX39" i="16" s="1"/>
  <c r="EW64" i="16"/>
  <c r="EW39" i="16" s="1"/>
  <c r="EV64" i="16"/>
  <c r="EV39" i="16" s="1"/>
  <c r="EU64" i="16"/>
  <c r="EU39" i="16" s="1"/>
  <c r="ET64" i="16"/>
  <c r="ET39" i="16" s="1"/>
  <c r="ES64" i="16"/>
  <c r="ES39" i="16" s="1"/>
  <c r="ER64" i="16"/>
  <c r="ER39" i="16" s="1"/>
  <c r="EQ64" i="16"/>
  <c r="EQ39" i="16" s="1"/>
  <c r="EP64" i="16"/>
  <c r="EP39" i="16" s="1"/>
  <c r="EO64" i="16"/>
  <c r="EO39" i="16" s="1"/>
  <c r="EN64" i="16"/>
  <c r="EN39" i="16" s="1"/>
  <c r="EM64" i="16"/>
  <c r="EM39" i="16" s="1"/>
  <c r="EL64" i="16"/>
  <c r="EL39" i="16" s="1"/>
  <c r="EK64" i="16"/>
  <c r="EK39" i="16" s="1"/>
  <c r="EJ64" i="16"/>
  <c r="EJ39" i="16" s="1"/>
  <c r="EI64" i="16"/>
  <c r="EI39" i="16" s="1"/>
  <c r="EH64" i="16"/>
  <c r="EH39" i="16" s="1"/>
  <c r="EG64" i="16"/>
  <c r="EG39" i="16" s="1"/>
  <c r="EF64" i="16"/>
  <c r="EF39" i="16" s="1"/>
  <c r="EE64" i="16"/>
  <c r="EE39" i="16" s="1"/>
  <c r="ED64" i="16"/>
  <c r="ED39" i="16" s="1"/>
  <c r="EC64" i="16"/>
  <c r="EC39" i="16" s="1"/>
  <c r="EB64" i="16"/>
  <c r="EB39" i="16" s="1"/>
  <c r="EA64" i="16"/>
  <c r="EA39" i="16" s="1"/>
  <c r="DZ64" i="16"/>
  <c r="DZ39" i="16" s="1"/>
  <c r="DY64" i="16"/>
  <c r="DY39" i="16" s="1"/>
  <c r="DX64" i="16"/>
  <c r="DX39" i="16" s="1"/>
  <c r="DW64" i="16"/>
  <c r="DW39" i="16" s="1"/>
  <c r="DV64" i="16"/>
  <c r="DV39" i="16" s="1"/>
  <c r="DU64" i="16"/>
  <c r="DU39" i="16" s="1"/>
  <c r="DT64" i="16"/>
  <c r="DT39" i="16" s="1"/>
  <c r="DS64" i="16"/>
  <c r="DS39" i="16" s="1"/>
  <c r="DR64" i="16"/>
  <c r="DR39" i="16" s="1"/>
  <c r="DQ64" i="16"/>
  <c r="DQ39" i="16" s="1"/>
  <c r="DP64" i="16"/>
  <c r="DP39" i="16" s="1"/>
  <c r="DO64" i="16"/>
  <c r="DN64" i="16"/>
  <c r="DN39" i="16" s="1"/>
  <c r="DM64" i="16"/>
  <c r="DM39" i="16" s="1"/>
  <c r="DL64" i="16"/>
  <c r="DL39" i="16" s="1"/>
  <c r="DK64" i="16"/>
  <c r="DJ64" i="16"/>
  <c r="DJ39" i="16" s="1"/>
  <c r="DI64" i="16"/>
  <c r="DI39" i="16" s="1"/>
  <c r="DH64" i="16"/>
  <c r="DH39" i="16" s="1"/>
  <c r="DG64" i="16"/>
  <c r="DF64" i="16"/>
  <c r="DF39" i="16" s="1"/>
  <c r="DE64" i="16"/>
  <c r="DE39" i="16" s="1"/>
  <c r="DD64" i="16"/>
  <c r="DD39" i="16" s="1"/>
  <c r="DC64" i="16"/>
  <c r="DB64" i="16"/>
  <c r="DB39" i="16" s="1"/>
  <c r="DA64" i="16"/>
  <c r="DA39" i="16" s="1"/>
  <c r="CZ64" i="16"/>
  <c r="CZ39" i="16" s="1"/>
  <c r="CY64" i="16"/>
  <c r="CX64" i="16"/>
  <c r="CW64" i="16"/>
  <c r="CW39" i="16" s="1"/>
  <c r="CV64" i="16"/>
  <c r="CV39" i="16" s="1"/>
  <c r="CU64" i="16"/>
  <c r="CT64" i="16"/>
  <c r="CT39" i="16" s="1"/>
  <c r="CS64" i="16"/>
  <c r="CS39" i="16" s="1"/>
  <c r="CR64" i="16"/>
  <c r="CR39" i="16" s="1"/>
  <c r="CQ64" i="16"/>
  <c r="CP64" i="16"/>
  <c r="CO64" i="16"/>
  <c r="CO39" i="16" s="1"/>
  <c r="CN64" i="16"/>
  <c r="CN39" i="16" s="1"/>
  <c r="CM64" i="16"/>
  <c r="CL64" i="16"/>
  <c r="CL39" i="16" s="1"/>
  <c r="CK64" i="16"/>
  <c r="CK39" i="16" s="1"/>
  <c r="CJ64" i="16"/>
  <c r="CJ39" i="16" s="1"/>
  <c r="CI64" i="16"/>
  <c r="CH64" i="16"/>
  <c r="CH39" i="16" s="1"/>
  <c r="CG64" i="16"/>
  <c r="CG39" i="16" s="1"/>
  <c r="CF64" i="16"/>
  <c r="CF39" i="16" s="1"/>
  <c r="CE64" i="16"/>
  <c r="CD64" i="16"/>
  <c r="CD39" i="16" s="1"/>
  <c r="CC64" i="16"/>
  <c r="CC39" i="16" s="1"/>
  <c r="CB64" i="16"/>
  <c r="CB39" i="16" s="1"/>
  <c r="CA64" i="16"/>
  <c r="BZ64" i="16"/>
  <c r="BZ39" i="16" s="1"/>
  <c r="BY64" i="16"/>
  <c r="BY39" i="16" s="1"/>
  <c r="BX64" i="16"/>
  <c r="BX39" i="16" s="1"/>
  <c r="BW64" i="16"/>
  <c r="BV64" i="16"/>
  <c r="BV39" i="16" s="1"/>
  <c r="BU64" i="16"/>
  <c r="BU39" i="16" s="1"/>
  <c r="BT64" i="16"/>
  <c r="BT39" i="16" s="1"/>
  <c r="BS64" i="16"/>
  <c r="BR64" i="16"/>
  <c r="BR39" i="16" s="1"/>
  <c r="BQ64" i="16"/>
  <c r="BQ39" i="16" s="1"/>
  <c r="BP64" i="16"/>
  <c r="BP39" i="16" s="1"/>
  <c r="BO64" i="16"/>
  <c r="BN64" i="16"/>
  <c r="BN39" i="16" s="1"/>
  <c r="BM64" i="16"/>
  <c r="BM39" i="16" s="1"/>
  <c r="BL64" i="16"/>
  <c r="BL39" i="16" s="1"/>
  <c r="BK64" i="16"/>
  <c r="BJ64" i="16"/>
  <c r="BI64" i="16"/>
  <c r="BI39" i="16" s="1"/>
  <c r="BH64" i="16"/>
  <c r="BH39" i="16" s="1"/>
  <c r="BG64" i="16"/>
  <c r="BF64" i="16"/>
  <c r="BF39" i="16" s="1"/>
  <c r="BE64" i="16"/>
  <c r="BE39" i="16" s="1"/>
  <c r="BD64" i="16"/>
  <c r="BD39" i="16" s="1"/>
  <c r="BC64" i="16"/>
  <c r="BB64" i="16"/>
  <c r="BB39" i="16" s="1"/>
  <c r="BA64" i="16"/>
  <c r="BA39" i="16" s="1"/>
  <c r="AZ64" i="16"/>
  <c r="AZ39" i="16" s="1"/>
  <c r="AY64" i="16"/>
  <c r="AX64" i="16"/>
  <c r="AX39" i="16" s="1"/>
  <c r="AW64" i="16"/>
  <c r="AW39" i="16" s="1"/>
  <c r="AV64" i="16"/>
  <c r="AV39" i="16" s="1"/>
  <c r="AU64" i="16"/>
  <c r="AT64" i="16"/>
  <c r="AT39" i="16" s="1"/>
  <c r="AS64" i="16"/>
  <c r="AS39" i="16" s="1"/>
  <c r="AR64" i="16"/>
  <c r="AR39" i="16" s="1"/>
  <c r="AQ64" i="16"/>
  <c r="AP64" i="16"/>
  <c r="AP39" i="16" s="1"/>
  <c r="AO64" i="16"/>
  <c r="AO39" i="16" s="1"/>
  <c r="AN64" i="16"/>
  <c r="AN39" i="16" s="1"/>
  <c r="AM64" i="16"/>
  <c r="AL64" i="16"/>
  <c r="AK64" i="16"/>
  <c r="AK39" i="16" s="1"/>
  <c r="AJ64" i="16"/>
  <c r="AJ39" i="16" s="1"/>
  <c r="AI64" i="16"/>
  <c r="AH64" i="16"/>
  <c r="AH39" i="16" s="1"/>
  <c r="AG64" i="16"/>
  <c r="AG39" i="16" s="1"/>
  <c r="AF64" i="16"/>
  <c r="AF39" i="16" s="1"/>
  <c r="AE64" i="16"/>
  <c r="AD64" i="16"/>
  <c r="AC64" i="16"/>
  <c r="AC39" i="16" s="1"/>
  <c r="AB64" i="16"/>
  <c r="AB39" i="16" s="1"/>
  <c r="AA64" i="16"/>
  <c r="Z64" i="16"/>
  <c r="Z39" i="16" s="1"/>
  <c r="Y64" i="16"/>
  <c r="Y39" i="16" s="1"/>
  <c r="X64" i="16"/>
  <c r="X39" i="16" s="1"/>
  <c r="W64" i="16"/>
  <c r="V64" i="16"/>
  <c r="V39" i="16" s="1"/>
  <c r="U64" i="16"/>
  <c r="U39" i="16" s="1"/>
  <c r="T64" i="16"/>
  <c r="T39" i="16" s="1"/>
  <c r="S64" i="16"/>
  <c r="R64" i="16"/>
  <c r="R39" i="16" s="1"/>
  <c r="Q64" i="16"/>
  <c r="Q39" i="16" s="1"/>
  <c r="P64" i="16"/>
  <c r="P39" i="16" s="1"/>
  <c r="O64" i="16"/>
  <c r="N64" i="16"/>
  <c r="WS65" i="16"/>
  <c r="WR65" i="16"/>
  <c r="WQ65" i="16"/>
  <c r="WP65" i="16"/>
  <c r="WO65" i="16"/>
  <c r="WN65" i="16"/>
  <c r="WM65" i="16"/>
  <c r="WL65" i="16"/>
  <c r="WK65" i="16"/>
  <c r="WJ65" i="16"/>
  <c r="WI65" i="16"/>
  <c r="WH65" i="16"/>
  <c r="WG65" i="16"/>
  <c r="WF65" i="16"/>
  <c r="WE65" i="16"/>
  <c r="WD65" i="16"/>
  <c r="WC65" i="16"/>
  <c r="WB65" i="16"/>
  <c r="WA65" i="16"/>
  <c r="VZ65" i="16"/>
  <c r="VY65" i="16"/>
  <c r="VX65" i="16"/>
  <c r="VW65" i="16"/>
  <c r="VV65" i="16"/>
  <c r="VU65" i="16"/>
  <c r="VT65" i="16"/>
  <c r="VS65" i="16"/>
  <c r="VR65" i="16"/>
  <c r="VQ65" i="16"/>
  <c r="VP65" i="16"/>
  <c r="VO65" i="16"/>
  <c r="VN65" i="16"/>
  <c r="VM65" i="16"/>
  <c r="VL65" i="16"/>
  <c r="VK65" i="16"/>
  <c r="VJ65" i="16"/>
  <c r="VI65" i="16"/>
  <c r="VH65" i="16"/>
  <c r="VG65" i="16"/>
  <c r="VF65" i="16"/>
  <c r="VE65" i="16"/>
  <c r="VD65" i="16"/>
  <c r="VC65" i="16"/>
  <c r="VB65" i="16"/>
  <c r="VA65" i="16"/>
  <c r="UZ65" i="16"/>
  <c r="UY65" i="16"/>
  <c r="UX65" i="16"/>
  <c r="UW65" i="16"/>
  <c r="UV65" i="16"/>
  <c r="UU65" i="16"/>
  <c r="UT65" i="16"/>
  <c r="US65" i="16"/>
  <c r="UR65" i="16"/>
  <c r="UQ65" i="16"/>
  <c r="UP65" i="16"/>
  <c r="UO65" i="16"/>
  <c r="UN65" i="16"/>
  <c r="UM65" i="16"/>
  <c r="UL65" i="16"/>
  <c r="UK65" i="16"/>
  <c r="UJ65" i="16"/>
  <c r="UI65" i="16"/>
  <c r="UH65" i="16"/>
  <c r="UG65" i="16"/>
  <c r="UF65" i="16"/>
  <c r="UE65" i="16"/>
  <c r="UD65" i="16"/>
  <c r="UC65" i="16"/>
  <c r="UB65" i="16"/>
  <c r="UA65" i="16"/>
  <c r="TZ65" i="16"/>
  <c r="TY65" i="16"/>
  <c r="TX65" i="16"/>
  <c r="TX42" i="16" s="1"/>
  <c r="TW65" i="16"/>
  <c r="TV65" i="16"/>
  <c r="TU65" i="16"/>
  <c r="TT65" i="16"/>
  <c r="TS65" i="16"/>
  <c r="TS42" i="16" s="1"/>
  <c r="TR65" i="16"/>
  <c r="TQ65" i="16"/>
  <c r="TP65" i="16"/>
  <c r="TO65" i="16"/>
  <c r="TN65" i="16"/>
  <c r="TM65" i="16"/>
  <c r="TL65" i="16"/>
  <c r="TK65" i="16"/>
  <c r="TJ65" i="16"/>
  <c r="TI65" i="16"/>
  <c r="TH65" i="16"/>
  <c r="TG65" i="16"/>
  <c r="TF65" i="16"/>
  <c r="TE65" i="16"/>
  <c r="TD65" i="16"/>
  <c r="TC65" i="16"/>
  <c r="TB65" i="16"/>
  <c r="TA65" i="16"/>
  <c r="SZ65" i="16"/>
  <c r="SY65" i="16"/>
  <c r="SX65" i="16"/>
  <c r="SW65" i="16"/>
  <c r="SV65" i="16"/>
  <c r="SU65" i="16"/>
  <c r="ST65" i="16"/>
  <c r="SS65" i="16"/>
  <c r="SR65" i="16"/>
  <c r="SQ65" i="16"/>
  <c r="SP65" i="16"/>
  <c r="SO65" i="16"/>
  <c r="SN65" i="16"/>
  <c r="SM65" i="16"/>
  <c r="SL65" i="16"/>
  <c r="SK65" i="16"/>
  <c r="SJ65" i="16"/>
  <c r="SI65" i="16"/>
  <c r="SH65" i="16"/>
  <c r="SG65" i="16"/>
  <c r="SF65" i="16"/>
  <c r="SE65" i="16"/>
  <c r="SD65" i="16"/>
  <c r="SC65" i="16"/>
  <c r="SB65" i="16"/>
  <c r="RF65" i="16"/>
  <c r="RE65" i="16"/>
  <c r="RD65" i="16"/>
  <c r="RC65" i="16"/>
  <c r="RB65" i="16"/>
  <c r="RA65" i="16"/>
  <c r="QT65" i="16"/>
  <c r="QS65" i="16"/>
  <c r="QR65" i="16"/>
  <c r="QQ65" i="16"/>
  <c r="QP65" i="16"/>
  <c r="QO65" i="16"/>
  <c r="QN65" i="16"/>
  <c r="QM65" i="16"/>
  <c r="QL65" i="16"/>
  <c r="QK65" i="16"/>
  <c r="QJ65" i="16"/>
  <c r="QI65" i="16"/>
  <c r="QH65" i="16"/>
  <c r="QG65" i="16"/>
  <c r="QF65" i="16"/>
  <c r="QE65" i="16"/>
  <c r="QD65" i="16"/>
  <c r="QC65" i="16"/>
  <c r="QB65" i="16"/>
  <c r="QA65" i="16"/>
  <c r="PZ65" i="16"/>
  <c r="PY65" i="16"/>
  <c r="PX65" i="16"/>
  <c r="PW65" i="16"/>
  <c r="PV65" i="16"/>
  <c r="PU65" i="16"/>
  <c r="PT65" i="16"/>
  <c r="PS65" i="16"/>
  <c r="PR65" i="16"/>
  <c r="PQ65" i="16"/>
  <c r="PP65" i="16"/>
  <c r="PO65" i="16"/>
  <c r="PN65" i="16"/>
  <c r="PM65" i="16"/>
  <c r="PL65" i="16"/>
  <c r="PK65" i="16"/>
  <c r="PJ65" i="16"/>
  <c r="PI65" i="16"/>
  <c r="PH65" i="16"/>
  <c r="PG65" i="16"/>
  <c r="PF65" i="16"/>
  <c r="PE65" i="16"/>
  <c r="PD65" i="16"/>
  <c r="PC65" i="16"/>
  <c r="PB65" i="16"/>
  <c r="PA65" i="16"/>
  <c r="OZ65" i="16"/>
  <c r="OY65" i="16"/>
  <c r="OX65" i="16"/>
  <c r="OW65" i="16"/>
  <c r="OV65" i="16"/>
  <c r="OU65" i="16"/>
  <c r="OT65" i="16"/>
  <c r="OS65" i="16"/>
  <c r="OR65" i="16"/>
  <c r="OQ65" i="16"/>
  <c r="OP65" i="16"/>
  <c r="OO65" i="16"/>
  <c r="ON65" i="16"/>
  <c r="OM65" i="16"/>
  <c r="OL65" i="16"/>
  <c r="OK65" i="16"/>
  <c r="OJ65" i="16"/>
  <c r="OI65" i="16"/>
  <c r="OH65" i="16"/>
  <c r="OG65" i="16"/>
  <c r="OF65" i="16"/>
  <c r="OE65" i="16"/>
  <c r="OD65" i="16"/>
  <c r="OC65" i="16"/>
  <c r="OB65" i="16"/>
  <c r="OA65" i="16"/>
  <c r="NZ65" i="16"/>
  <c r="NY65" i="16"/>
  <c r="NX65" i="16"/>
  <c r="NW65" i="16"/>
  <c r="NV65" i="16"/>
  <c r="NU65" i="16"/>
  <c r="NT65" i="16"/>
  <c r="NS65" i="16"/>
  <c r="NR65" i="16"/>
  <c r="NQ65" i="16"/>
  <c r="NP65" i="16"/>
  <c r="NO65" i="16"/>
  <c r="NN65" i="16"/>
  <c r="NM65" i="16"/>
  <c r="NL65" i="16"/>
  <c r="NK65" i="16"/>
  <c r="NJ65" i="16"/>
  <c r="NI65" i="16"/>
  <c r="NH65" i="16"/>
  <c r="NG65" i="16"/>
  <c r="NF65" i="16"/>
  <c r="NE65" i="16"/>
  <c r="ND65" i="16"/>
  <c r="NC65" i="16"/>
  <c r="NB65" i="16"/>
  <c r="NA65" i="16"/>
  <c r="MZ65" i="16"/>
  <c r="MY65" i="16"/>
  <c r="MX65" i="16"/>
  <c r="MW65" i="16"/>
  <c r="MV65" i="16"/>
  <c r="MU65" i="16"/>
  <c r="MT65" i="16"/>
  <c r="MS65" i="16"/>
  <c r="MR65" i="16"/>
  <c r="MQ65" i="16"/>
  <c r="MP65" i="16"/>
  <c r="MO65" i="16"/>
  <c r="MN65" i="16"/>
  <c r="MM65" i="16"/>
  <c r="ML65" i="16"/>
  <c r="MK65" i="16"/>
  <c r="MJ65" i="16"/>
  <c r="MI65" i="16"/>
  <c r="MH65" i="16"/>
  <c r="MG65" i="16"/>
  <c r="MF65" i="16"/>
  <c r="ME65" i="16"/>
  <c r="MD65" i="16"/>
  <c r="MC65" i="16"/>
  <c r="MB65" i="16"/>
  <c r="MA65" i="16"/>
  <c r="LZ65" i="16"/>
  <c r="LY65" i="16"/>
  <c r="LX65" i="16"/>
  <c r="LW65" i="16"/>
  <c r="LV65" i="16"/>
  <c r="LU65" i="16"/>
  <c r="LT65" i="16"/>
  <c r="LS65" i="16"/>
  <c r="LR65" i="16"/>
  <c r="LQ65" i="16"/>
  <c r="LP65" i="16"/>
  <c r="LO65" i="16"/>
  <c r="LN65" i="16"/>
  <c r="LM65" i="16"/>
  <c r="LL65" i="16"/>
  <c r="LK65" i="16"/>
  <c r="LJ65" i="16"/>
  <c r="LI65" i="16"/>
  <c r="LH65" i="16"/>
  <c r="LG65" i="16"/>
  <c r="LF65" i="16"/>
  <c r="LE65" i="16"/>
  <c r="LD65" i="16"/>
  <c r="LC65" i="16"/>
  <c r="LB65" i="16"/>
  <c r="LA65" i="16"/>
  <c r="KZ65" i="16"/>
  <c r="KY65" i="16"/>
  <c r="KX65" i="16"/>
  <c r="KW65" i="16"/>
  <c r="KV65" i="16"/>
  <c r="KU65" i="16"/>
  <c r="KT65" i="16"/>
  <c r="KS65" i="16"/>
  <c r="KR65" i="16"/>
  <c r="KQ65" i="16"/>
  <c r="KP65" i="16"/>
  <c r="KO65" i="16"/>
  <c r="KN65" i="16"/>
  <c r="KM65" i="16"/>
  <c r="KL65" i="16"/>
  <c r="KK65" i="16"/>
  <c r="KJ65" i="16"/>
  <c r="KI65" i="16"/>
  <c r="KH65" i="16"/>
  <c r="KG65" i="16"/>
  <c r="KF65" i="16"/>
  <c r="KE65" i="16"/>
  <c r="KD65" i="16"/>
  <c r="KC65" i="16"/>
  <c r="KB65" i="16"/>
  <c r="KA65" i="16"/>
  <c r="JZ65" i="16"/>
  <c r="JY65" i="16"/>
  <c r="JX65" i="16"/>
  <c r="JW65" i="16"/>
  <c r="JV65" i="16"/>
  <c r="JU65" i="16"/>
  <c r="JT65" i="16"/>
  <c r="JS65" i="16"/>
  <c r="JR65" i="16"/>
  <c r="JQ65" i="16"/>
  <c r="JP65" i="16"/>
  <c r="JO65" i="16"/>
  <c r="JN65" i="16"/>
  <c r="JM65" i="16"/>
  <c r="JL65" i="16"/>
  <c r="JK65" i="16"/>
  <c r="JJ65" i="16"/>
  <c r="JI65" i="16"/>
  <c r="JH65" i="16"/>
  <c r="JG65" i="16"/>
  <c r="JF65" i="16"/>
  <c r="JE65" i="16"/>
  <c r="JD65" i="16"/>
  <c r="JC65" i="16"/>
  <c r="JB65" i="16"/>
  <c r="JA65" i="16"/>
  <c r="IZ65" i="16"/>
  <c r="IY65" i="16"/>
  <c r="IX65" i="16"/>
  <c r="IW65" i="16"/>
  <c r="IV65" i="16"/>
  <c r="IU65" i="16"/>
  <c r="IT65" i="16"/>
  <c r="IS65" i="16"/>
  <c r="IR65" i="16"/>
  <c r="IQ65" i="16"/>
  <c r="IP65" i="16"/>
  <c r="IO65" i="16"/>
  <c r="IN65" i="16"/>
  <c r="IM65" i="16"/>
  <c r="IL65" i="16"/>
  <c r="IK65" i="16"/>
  <c r="IJ65" i="16"/>
  <c r="II65" i="16"/>
  <c r="IH65" i="16"/>
  <c r="IG65" i="16"/>
  <c r="IF65" i="16"/>
  <c r="IE65" i="16"/>
  <c r="ID65" i="16"/>
  <c r="IC65" i="16"/>
  <c r="IB65" i="16"/>
  <c r="IA65" i="16"/>
  <c r="HZ65" i="16"/>
  <c r="HY65" i="16"/>
  <c r="HX65" i="16"/>
  <c r="HW65" i="16"/>
  <c r="HV65" i="16"/>
  <c r="HU65" i="16"/>
  <c r="HT65" i="16"/>
  <c r="HS65" i="16"/>
  <c r="HR65" i="16"/>
  <c r="HQ65" i="16"/>
  <c r="HP65" i="16"/>
  <c r="HO65" i="16"/>
  <c r="HN65" i="16"/>
  <c r="HM65" i="16"/>
  <c r="HL65" i="16"/>
  <c r="HK65" i="16"/>
  <c r="HJ65" i="16"/>
  <c r="HI65" i="16"/>
  <c r="HH65" i="16"/>
  <c r="HG65" i="16"/>
  <c r="HF65" i="16"/>
  <c r="HE65" i="16"/>
  <c r="HD65" i="16"/>
  <c r="HC65" i="16"/>
  <c r="HB65" i="16"/>
  <c r="HA65" i="16"/>
  <c r="GZ65" i="16"/>
  <c r="GY65" i="16"/>
  <c r="GX65" i="16"/>
  <c r="GW65" i="16"/>
  <c r="GV65" i="16"/>
  <c r="GU65" i="16"/>
  <c r="GT65" i="16"/>
  <c r="GS65" i="16"/>
  <c r="GR65" i="16"/>
  <c r="GQ65" i="16"/>
  <c r="GP65" i="16"/>
  <c r="GO65" i="16"/>
  <c r="GN65" i="16"/>
  <c r="GM65" i="16"/>
  <c r="GL65" i="16"/>
  <c r="GK65" i="16"/>
  <c r="GJ65" i="16"/>
  <c r="GI65" i="16"/>
  <c r="GH65" i="16"/>
  <c r="GG65" i="16"/>
  <c r="GF65" i="16"/>
  <c r="GE65" i="16"/>
  <c r="GD65" i="16"/>
  <c r="GC65" i="16"/>
  <c r="GB65" i="16"/>
  <c r="GA65" i="16"/>
  <c r="FZ65" i="16"/>
  <c r="FY65" i="16"/>
  <c r="FX65" i="16"/>
  <c r="FW65" i="16"/>
  <c r="FV65" i="16"/>
  <c r="FU65" i="16"/>
  <c r="FT65" i="16"/>
  <c r="FS65" i="16"/>
  <c r="FR65" i="16"/>
  <c r="FQ65" i="16"/>
  <c r="FP65" i="16"/>
  <c r="FO65" i="16"/>
  <c r="FN65" i="16"/>
  <c r="FM65" i="16"/>
  <c r="FL65" i="16"/>
  <c r="FK65" i="16"/>
  <c r="FJ65" i="16"/>
  <c r="FI65" i="16"/>
  <c r="FH65" i="16"/>
  <c r="FG65" i="16"/>
  <c r="FF65" i="16"/>
  <c r="FE65" i="16"/>
  <c r="FD65" i="16"/>
  <c r="FC65" i="16"/>
  <c r="FB65" i="16"/>
  <c r="FA65" i="16"/>
  <c r="EZ65" i="16"/>
  <c r="EY65" i="16"/>
  <c r="EX65" i="16"/>
  <c r="EW65" i="16"/>
  <c r="EV65" i="16"/>
  <c r="EU65" i="16"/>
  <c r="ET65" i="16"/>
  <c r="ES65" i="16"/>
  <c r="ER65" i="16"/>
  <c r="EQ65" i="16"/>
  <c r="EP65" i="16"/>
  <c r="EO65" i="16"/>
  <c r="EN65" i="16"/>
  <c r="EM65" i="16"/>
  <c r="EL65" i="16"/>
  <c r="EK65" i="16"/>
  <c r="EJ65" i="16"/>
  <c r="EI65" i="16"/>
  <c r="EH65" i="16"/>
  <c r="EG65" i="16"/>
  <c r="EF65" i="16"/>
  <c r="EE65" i="16"/>
  <c r="ED65" i="16"/>
  <c r="EC65" i="16"/>
  <c r="EB65" i="16"/>
  <c r="EA65" i="16"/>
  <c r="DZ65" i="16"/>
  <c r="DY65" i="16"/>
  <c r="DX65" i="16"/>
  <c r="DW65" i="16"/>
  <c r="DV65" i="16"/>
  <c r="DU65" i="16"/>
  <c r="DT65" i="16"/>
  <c r="DS65" i="16"/>
  <c r="DR65" i="16"/>
  <c r="DQ65" i="16"/>
  <c r="DP65" i="16"/>
  <c r="DO65" i="16"/>
  <c r="DN65" i="16"/>
  <c r="DM65" i="16"/>
  <c r="DL65" i="16"/>
  <c r="DK65" i="16"/>
  <c r="DJ65" i="16"/>
  <c r="DI65" i="16"/>
  <c r="DH65" i="16"/>
  <c r="DG65" i="16"/>
  <c r="DF65" i="16"/>
  <c r="DE65" i="16"/>
  <c r="DD65" i="16"/>
  <c r="DC65" i="16"/>
  <c r="DB65" i="16"/>
  <c r="DA65" i="16"/>
  <c r="CZ65" i="16"/>
  <c r="CY65" i="16"/>
  <c r="CX65" i="16"/>
  <c r="CW65" i="16"/>
  <c r="CV65" i="16"/>
  <c r="CU65" i="16"/>
  <c r="CT65" i="16"/>
  <c r="CS65" i="16"/>
  <c r="CR65" i="16"/>
  <c r="CQ65" i="16"/>
  <c r="CP65" i="16"/>
  <c r="CO65" i="16"/>
  <c r="CN65" i="16"/>
  <c r="CM65" i="16"/>
  <c r="CL65" i="16"/>
  <c r="CK65" i="16"/>
  <c r="CJ65" i="16"/>
  <c r="CI65" i="16"/>
  <c r="CH65" i="16"/>
  <c r="CG65" i="16"/>
  <c r="CF65" i="16"/>
  <c r="CE65" i="16"/>
  <c r="CD65" i="16"/>
  <c r="CC65" i="16"/>
  <c r="CB65" i="16"/>
  <c r="CA65" i="16"/>
  <c r="BZ65" i="16"/>
  <c r="BY65" i="16"/>
  <c r="BX65" i="16"/>
  <c r="BW65" i="16"/>
  <c r="BV65" i="16"/>
  <c r="BU65" i="16"/>
  <c r="BT65" i="16"/>
  <c r="BS65" i="16"/>
  <c r="BR65" i="16"/>
  <c r="BQ65" i="16"/>
  <c r="BP65" i="16"/>
  <c r="BO65" i="16"/>
  <c r="BN65" i="16"/>
  <c r="BM65" i="16"/>
  <c r="BL65" i="16"/>
  <c r="BK65" i="16"/>
  <c r="BJ65" i="16"/>
  <c r="BI65" i="16"/>
  <c r="BH65" i="16"/>
  <c r="BG65" i="16"/>
  <c r="BF65" i="16"/>
  <c r="BE65" i="16"/>
  <c r="BD65" i="16"/>
  <c r="BC65" i="16"/>
  <c r="BB65" i="16"/>
  <c r="BA65" i="16"/>
  <c r="AZ65" i="16"/>
  <c r="AY65" i="16"/>
  <c r="AX65" i="16"/>
  <c r="AW65" i="16"/>
  <c r="AV65" i="16"/>
  <c r="AU65" i="16"/>
  <c r="AT65" i="16"/>
  <c r="AS65" i="16"/>
  <c r="AR65" i="16"/>
  <c r="AQ65" i="16"/>
  <c r="AP65" i="16"/>
  <c r="AO65" i="16"/>
  <c r="AN65" i="16"/>
  <c r="AM65" i="16"/>
  <c r="AL65" i="16"/>
  <c r="AK65" i="16"/>
  <c r="AJ65" i="16"/>
  <c r="AI65" i="16"/>
  <c r="AH65" i="16"/>
  <c r="AG65" i="16"/>
  <c r="AF65" i="16"/>
  <c r="AE65" i="16"/>
  <c r="AD65" i="16"/>
  <c r="AC65" i="16"/>
  <c r="AB65" i="16"/>
  <c r="AA65" i="16"/>
  <c r="Z65" i="16"/>
  <c r="Y65" i="16"/>
  <c r="X65" i="16"/>
  <c r="W65" i="16"/>
  <c r="V65" i="16"/>
  <c r="U65" i="16"/>
  <c r="T65" i="16"/>
  <c r="S65" i="16"/>
  <c r="R65" i="16"/>
  <c r="Q65" i="16"/>
  <c r="P65" i="16"/>
  <c r="O65" i="16"/>
  <c r="N65" i="16"/>
  <c r="WS58" i="16"/>
  <c r="WS18" i="16" s="1"/>
  <c r="WR58" i="16"/>
  <c r="WQ58" i="16"/>
  <c r="WQ18" i="16" s="1"/>
  <c r="WP58" i="16"/>
  <c r="WP18" i="16" s="1"/>
  <c r="WO58" i="16"/>
  <c r="WO18" i="16" s="1"/>
  <c r="WN58" i="16"/>
  <c r="WM58" i="16"/>
  <c r="WL58" i="16"/>
  <c r="WL18" i="16" s="1"/>
  <c r="WK58" i="16"/>
  <c r="WK18" i="16" s="1"/>
  <c r="WJ58" i="16"/>
  <c r="WI58" i="16"/>
  <c r="WI18" i="16" s="1"/>
  <c r="WH58" i="16"/>
  <c r="WH18" i="16" s="1"/>
  <c r="WG58" i="16"/>
  <c r="WG18" i="16" s="1"/>
  <c r="WF58" i="16"/>
  <c r="WE58" i="16"/>
  <c r="WD58" i="16"/>
  <c r="WD18" i="16" s="1"/>
  <c r="WC58" i="16"/>
  <c r="WC18" i="16" s="1"/>
  <c r="WB58" i="16"/>
  <c r="WA58" i="16"/>
  <c r="WA18" i="16" s="1"/>
  <c r="VZ58" i="16"/>
  <c r="VZ18" i="16" s="1"/>
  <c r="VY58" i="16"/>
  <c r="VY18" i="16" s="1"/>
  <c r="VX58" i="16"/>
  <c r="VW58" i="16"/>
  <c r="VV58" i="16"/>
  <c r="VV18" i="16" s="1"/>
  <c r="VU58" i="16"/>
  <c r="VU18" i="16" s="1"/>
  <c r="VT58" i="16"/>
  <c r="VS58" i="16"/>
  <c r="VS18" i="16" s="1"/>
  <c r="VR58" i="16"/>
  <c r="VR18" i="16" s="1"/>
  <c r="VQ58" i="16"/>
  <c r="VQ18" i="16" s="1"/>
  <c r="VP58" i="16"/>
  <c r="VO58" i="16"/>
  <c r="VN58" i="16"/>
  <c r="VN18" i="16" s="1"/>
  <c r="VM58" i="16"/>
  <c r="VM18" i="16" s="1"/>
  <c r="VL58" i="16"/>
  <c r="VK58" i="16"/>
  <c r="VK18" i="16" s="1"/>
  <c r="VJ58" i="16"/>
  <c r="VJ18" i="16" s="1"/>
  <c r="VI58" i="16"/>
  <c r="VI18" i="16" s="1"/>
  <c r="VH58" i="16"/>
  <c r="VG58" i="16"/>
  <c r="VF58" i="16"/>
  <c r="VF18" i="16" s="1"/>
  <c r="VE58" i="16"/>
  <c r="VE18" i="16" s="1"/>
  <c r="VD58" i="16"/>
  <c r="VC58" i="16"/>
  <c r="VC18" i="16" s="1"/>
  <c r="VB58" i="16"/>
  <c r="VB18" i="16" s="1"/>
  <c r="VA58" i="16"/>
  <c r="VA18" i="16" s="1"/>
  <c r="UZ58" i="16"/>
  <c r="UY58" i="16"/>
  <c r="UX58" i="16"/>
  <c r="UX18" i="16" s="1"/>
  <c r="UW58" i="16"/>
  <c r="UW18" i="16" s="1"/>
  <c r="UV58" i="16"/>
  <c r="UU58" i="16"/>
  <c r="UU18" i="16" s="1"/>
  <c r="UT58" i="16"/>
  <c r="UT18" i="16" s="1"/>
  <c r="US58" i="16"/>
  <c r="US18" i="16" s="1"/>
  <c r="UR58" i="16"/>
  <c r="UQ58" i="16"/>
  <c r="UP58" i="16"/>
  <c r="UP18" i="16" s="1"/>
  <c r="UO58" i="16"/>
  <c r="UO18" i="16" s="1"/>
  <c r="UN58" i="16"/>
  <c r="UM58" i="16"/>
  <c r="UM18" i="16" s="1"/>
  <c r="UL58" i="16"/>
  <c r="UL18" i="16" s="1"/>
  <c r="UK58" i="16"/>
  <c r="UK18" i="16" s="1"/>
  <c r="UJ58" i="16"/>
  <c r="UI58" i="16"/>
  <c r="UH58" i="16"/>
  <c r="UH18" i="16" s="1"/>
  <c r="UG58" i="16"/>
  <c r="UG18" i="16" s="1"/>
  <c r="UF58" i="16"/>
  <c r="UE58" i="16"/>
  <c r="UE18" i="16" s="1"/>
  <c r="UD58" i="16"/>
  <c r="UD18" i="16" s="1"/>
  <c r="UC58" i="16"/>
  <c r="UC18" i="16" s="1"/>
  <c r="UB58" i="16"/>
  <c r="UA58" i="16"/>
  <c r="TZ58" i="16"/>
  <c r="TZ18" i="16" s="1"/>
  <c r="TY58" i="16"/>
  <c r="TY18" i="16" s="1"/>
  <c r="TX58" i="16"/>
  <c r="TW58" i="16"/>
  <c r="TW18" i="16" s="1"/>
  <c r="TW33" i="16" s="1"/>
  <c r="TV58" i="16"/>
  <c r="TV18" i="16" s="1"/>
  <c r="TU58" i="16"/>
  <c r="TU18" i="16" s="1"/>
  <c r="TT58" i="16"/>
  <c r="TS58" i="16"/>
  <c r="TR58" i="16"/>
  <c r="TR18" i="16" s="1"/>
  <c r="TQ58" i="16"/>
  <c r="TQ18" i="16" s="1"/>
  <c r="TP58" i="16"/>
  <c r="TO58" i="16"/>
  <c r="TO18" i="16" s="1"/>
  <c r="TO33" i="16" s="1"/>
  <c r="TN58" i="16"/>
  <c r="TN18" i="16" s="1"/>
  <c r="TM58" i="16"/>
  <c r="TM18" i="16" s="1"/>
  <c r="TL58" i="16"/>
  <c r="TK58" i="16"/>
  <c r="TJ58" i="16"/>
  <c r="TJ18" i="16" s="1"/>
  <c r="TI58" i="16"/>
  <c r="TI18" i="16" s="1"/>
  <c r="TH58" i="16"/>
  <c r="TG58" i="16"/>
  <c r="TG18" i="16" s="1"/>
  <c r="TG33" i="16" s="1"/>
  <c r="TF58" i="16"/>
  <c r="TF18" i="16" s="1"/>
  <c r="TE58" i="16"/>
  <c r="TE18" i="16" s="1"/>
  <c r="TD58" i="16"/>
  <c r="TC58" i="16"/>
  <c r="TB58" i="16"/>
  <c r="TB18" i="16" s="1"/>
  <c r="TA58" i="16"/>
  <c r="TA18" i="16" s="1"/>
  <c r="SZ58" i="16"/>
  <c r="SY58" i="16"/>
  <c r="SY18" i="16" s="1"/>
  <c r="SY33" i="16" s="1"/>
  <c r="SX58" i="16"/>
  <c r="SX18" i="16" s="1"/>
  <c r="SW58" i="16"/>
  <c r="SW18" i="16" s="1"/>
  <c r="SV58" i="16"/>
  <c r="SU58" i="16"/>
  <c r="ST58" i="16"/>
  <c r="ST18" i="16" s="1"/>
  <c r="SS58" i="16"/>
  <c r="SS18" i="16" s="1"/>
  <c r="SR58" i="16"/>
  <c r="SQ58" i="16"/>
  <c r="SQ18" i="16" s="1"/>
  <c r="SQ33" i="16" s="1"/>
  <c r="SP58" i="16"/>
  <c r="SP18" i="16" s="1"/>
  <c r="SO58" i="16"/>
  <c r="SO18" i="16" s="1"/>
  <c r="SN58" i="16"/>
  <c r="SM58" i="16"/>
  <c r="SL58" i="16"/>
  <c r="SL18" i="16" s="1"/>
  <c r="SK58" i="16"/>
  <c r="SK18" i="16" s="1"/>
  <c r="SJ58" i="16"/>
  <c r="SI58" i="16"/>
  <c r="SI18" i="16" s="1"/>
  <c r="SI33" i="16" s="1"/>
  <c r="SH58" i="16"/>
  <c r="SH18" i="16" s="1"/>
  <c r="SG58" i="16"/>
  <c r="SG18" i="16" s="1"/>
  <c r="SF58" i="16"/>
  <c r="SE58" i="16"/>
  <c r="SD58" i="16"/>
  <c r="SD18" i="16" s="1"/>
  <c r="SC58" i="16"/>
  <c r="SC18" i="16" s="1"/>
  <c r="SB58" i="16"/>
  <c r="RF58" i="16"/>
  <c r="RF18" i="16" s="1"/>
  <c r="RF33" i="16" s="1"/>
  <c r="RE58" i="16"/>
  <c r="RE18" i="16" s="1"/>
  <c r="RD58" i="16"/>
  <c r="RD18" i="16" s="1"/>
  <c r="RC58" i="16"/>
  <c r="RB58" i="16"/>
  <c r="RA58" i="16"/>
  <c r="RA18" i="16" s="1"/>
  <c r="QT58" i="16"/>
  <c r="QT18" i="16" s="1"/>
  <c r="QS58" i="16"/>
  <c r="QR58" i="16"/>
  <c r="QR18" i="16" s="1"/>
  <c r="QR33" i="16" s="1"/>
  <c r="QQ58" i="16"/>
  <c r="QQ18" i="16" s="1"/>
  <c r="QP58" i="16"/>
  <c r="QP18" i="16" s="1"/>
  <c r="QO58" i="16"/>
  <c r="QN58" i="16"/>
  <c r="QM58" i="16"/>
  <c r="QM18" i="16" s="1"/>
  <c r="QL58" i="16"/>
  <c r="QL18" i="16" s="1"/>
  <c r="QK58" i="16"/>
  <c r="QJ58" i="16"/>
  <c r="QJ18" i="16" s="1"/>
  <c r="QJ33" i="16" s="1"/>
  <c r="QI58" i="16"/>
  <c r="QI18" i="16" s="1"/>
  <c r="QH58" i="16"/>
  <c r="QH18" i="16" s="1"/>
  <c r="QG58" i="16"/>
  <c r="QF58" i="16"/>
  <c r="QE58" i="16"/>
  <c r="QE18" i="16" s="1"/>
  <c r="QD58" i="16"/>
  <c r="QD18" i="16" s="1"/>
  <c r="QC58" i="16"/>
  <c r="QB58" i="16"/>
  <c r="QB18" i="16" s="1"/>
  <c r="QB33" i="16" s="1"/>
  <c r="QA58" i="16"/>
  <c r="QA18" i="16" s="1"/>
  <c r="PZ58" i="16"/>
  <c r="PZ18" i="16" s="1"/>
  <c r="PY58" i="16"/>
  <c r="PX58" i="16"/>
  <c r="PW58" i="16"/>
  <c r="PW18" i="16" s="1"/>
  <c r="PV58" i="16"/>
  <c r="PV18" i="16" s="1"/>
  <c r="PU58" i="16"/>
  <c r="PT58" i="16"/>
  <c r="PT18" i="16" s="1"/>
  <c r="PT33" i="16" s="1"/>
  <c r="PS58" i="16"/>
  <c r="PS18" i="16" s="1"/>
  <c r="PR58" i="16"/>
  <c r="PR18" i="16" s="1"/>
  <c r="PQ58" i="16"/>
  <c r="PP58" i="16"/>
  <c r="PP18" i="16" s="1"/>
  <c r="PP33" i="16" s="1"/>
  <c r="PO58" i="16"/>
  <c r="PO18" i="16" s="1"/>
  <c r="PN58" i="16"/>
  <c r="PN18" i="16" s="1"/>
  <c r="PM58" i="16"/>
  <c r="PL58" i="16"/>
  <c r="PL18" i="16" s="1"/>
  <c r="PL33" i="16" s="1"/>
  <c r="PK58" i="16"/>
  <c r="PK18" i="16" s="1"/>
  <c r="PJ58" i="16"/>
  <c r="PJ18" i="16" s="1"/>
  <c r="PI58" i="16"/>
  <c r="PH58" i="16"/>
  <c r="PG58" i="16"/>
  <c r="PG18" i="16" s="1"/>
  <c r="PF58" i="16"/>
  <c r="PF18" i="16" s="1"/>
  <c r="PE58" i="16"/>
  <c r="PD58" i="16"/>
  <c r="PD18" i="16" s="1"/>
  <c r="PD33" i="16" s="1"/>
  <c r="PC58" i="16"/>
  <c r="PC18" i="16" s="1"/>
  <c r="PB58" i="16"/>
  <c r="PB18" i="16" s="1"/>
  <c r="PA58" i="16"/>
  <c r="OZ58" i="16"/>
  <c r="OY58" i="16"/>
  <c r="OY18" i="16" s="1"/>
  <c r="OX58" i="16"/>
  <c r="OX18" i="16" s="1"/>
  <c r="OW58" i="16"/>
  <c r="OV58" i="16"/>
  <c r="OV18" i="16" s="1"/>
  <c r="OV33" i="16" s="1"/>
  <c r="OU58" i="16"/>
  <c r="OU18" i="16" s="1"/>
  <c r="OT58" i="16"/>
  <c r="OT18" i="16" s="1"/>
  <c r="OS58" i="16"/>
  <c r="OR58" i="16"/>
  <c r="OQ58" i="16"/>
  <c r="OQ18" i="16" s="1"/>
  <c r="OP58" i="16"/>
  <c r="OP18" i="16" s="1"/>
  <c r="OO58" i="16"/>
  <c r="ON58" i="16"/>
  <c r="ON18" i="16" s="1"/>
  <c r="ON33" i="16" s="1"/>
  <c r="OM58" i="16"/>
  <c r="OM18" i="16" s="1"/>
  <c r="OL58" i="16"/>
  <c r="OL18" i="16" s="1"/>
  <c r="OK58" i="16"/>
  <c r="OJ58" i="16"/>
  <c r="OJ18" i="16" s="1"/>
  <c r="OJ33" i="16" s="1"/>
  <c r="OI58" i="16"/>
  <c r="OI18" i="16" s="1"/>
  <c r="OH58" i="16"/>
  <c r="OH18" i="16" s="1"/>
  <c r="OG58" i="16"/>
  <c r="OF58" i="16"/>
  <c r="OF18" i="16" s="1"/>
  <c r="OF33" i="16" s="1"/>
  <c r="OE58" i="16"/>
  <c r="OE18" i="16" s="1"/>
  <c r="OD58" i="16"/>
  <c r="OD18" i="16" s="1"/>
  <c r="OC58" i="16"/>
  <c r="OB58" i="16"/>
  <c r="OA58" i="16"/>
  <c r="OA18" i="16" s="1"/>
  <c r="NZ58" i="16"/>
  <c r="NZ18" i="16" s="1"/>
  <c r="NY58" i="16"/>
  <c r="NX58" i="16"/>
  <c r="NX18" i="16" s="1"/>
  <c r="NX33" i="16" s="1"/>
  <c r="NW58" i="16"/>
  <c r="NW18" i="16" s="1"/>
  <c r="NV58" i="16"/>
  <c r="NV18" i="16" s="1"/>
  <c r="NU58" i="16"/>
  <c r="NT58" i="16"/>
  <c r="NS58" i="16"/>
  <c r="NS18" i="16" s="1"/>
  <c r="NR58" i="16"/>
  <c r="NR18" i="16" s="1"/>
  <c r="NQ58" i="16"/>
  <c r="NP58" i="16"/>
  <c r="NP18" i="16" s="1"/>
  <c r="NP33" i="16" s="1"/>
  <c r="NO58" i="16"/>
  <c r="NO18" i="16" s="1"/>
  <c r="NN58" i="16"/>
  <c r="NN18" i="16" s="1"/>
  <c r="NM58" i="16"/>
  <c r="NL58" i="16"/>
  <c r="NK58" i="16"/>
  <c r="NK18" i="16" s="1"/>
  <c r="NJ58" i="16"/>
  <c r="NJ18" i="16" s="1"/>
  <c r="NI58" i="16"/>
  <c r="NH58" i="16"/>
  <c r="NH18" i="16" s="1"/>
  <c r="NH33" i="16" s="1"/>
  <c r="NG58" i="16"/>
  <c r="NG18" i="16" s="1"/>
  <c r="NF58" i="16"/>
  <c r="NF18" i="16" s="1"/>
  <c r="NE58" i="16"/>
  <c r="ND58" i="16"/>
  <c r="ND18" i="16" s="1"/>
  <c r="ND33" i="16" s="1"/>
  <c r="NC58" i="16"/>
  <c r="NC18" i="16" s="1"/>
  <c r="NB58" i="16"/>
  <c r="NB18" i="16" s="1"/>
  <c r="NA58" i="16"/>
  <c r="MZ58" i="16"/>
  <c r="MZ18" i="16" s="1"/>
  <c r="MZ33" i="16" s="1"/>
  <c r="MY58" i="16"/>
  <c r="MY18" i="16" s="1"/>
  <c r="MX58" i="16"/>
  <c r="MX18" i="16" s="1"/>
  <c r="MW58" i="16"/>
  <c r="MV58" i="16"/>
  <c r="MU58" i="16"/>
  <c r="MU18" i="16" s="1"/>
  <c r="MT58" i="16"/>
  <c r="MT18" i="16" s="1"/>
  <c r="MS58" i="16"/>
  <c r="MR58" i="16"/>
  <c r="MR18" i="16" s="1"/>
  <c r="MR33" i="16" s="1"/>
  <c r="MQ58" i="16"/>
  <c r="MQ18" i="16" s="1"/>
  <c r="MP58" i="16"/>
  <c r="MP18" i="16" s="1"/>
  <c r="MO58" i="16"/>
  <c r="MN58" i="16"/>
  <c r="MM58" i="16"/>
  <c r="MM18" i="16" s="1"/>
  <c r="ML58" i="16"/>
  <c r="ML18" i="16" s="1"/>
  <c r="MK58" i="16"/>
  <c r="MJ58" i="16"/>
  <c r="MJ18" i="16" s="1"/>
  <c r="MJ33" i="16" s="1"/>
  <c r="MI58" i="16"/>
  <c r="MI18" i="16" s="1"/>
  <c r="MH58" i="16"/>
  <c r="MH18" i="16" s="1"/>
  <c r="MG58" i="16"/>
  <c r="MF58" i="16"/>
  <c r="ME58" i="16"/>
  <c r="ME18" i="16" s="1"/>
  <c r="MD58" i="16"/>
  <c r="MD18" i="16" s="1"/>
  <c r="MC58" i="16"/>
  <c r="MB58" i="16"/>
  <c r="MB18" i="16" s="1"/>
  <c r="MB33" i="16" s="1"/>
  <c r="MA58" i="16"/>
  <c r="MA18" i="16" s="1"/>
  <c r="LZ58" i="16"/>
  <c r="LZ18" i="16" s="1"/>
  <c r="LY58" i="16"/>
  <c r="LX58" i="16"/>
  <c r="LX18" i="16" s="1"/>
  <c r="LX33" i="16" s="1"/>
  <c r="LW58" i="16"/>
  <c r="LW18" i="16" s="1"/>
  <c r="LV58" i="16"/>
  <c r="LV18" i="16" s="1"/>
  <c r="LU58" i="16"/>
  <c r="LT58" i="16"/>
  <c r="LT18" i="16" s="1"/>
  <c r="LT33" i="16" s="1"/>
  <c r="LS58" i="16"/>
  <c r="LS18" i="16" s="1"/>
  <c r="LR58" i="16"/>
  <c r="LR18" i="16" s="1"/>
  <c r="LQ58" i="16"/>
  <c r="LP58" i="16"/>
  <c r="LO58" i="16"/>
  <c r="LO18" i="16" s="1"/>
  <c r="LN58" i="16"/>
  <c r="LN18" i="16" s="1"/>
  <c r="LM58" i="16"/>
  <c r="LL58" i="16"/>
  <c r="LL18" i="16" s="1"/>
  <c r="LL33" i="16" s="1"/>
  <c r="LK58" i="16"/>
  <c r="LK18" i="16" s="1"/>
  <c r="LJ58" i="16"/>
  <c r="LJ18" i="16" s="1"/>
  <c r="LI58" i="16"/>
  <c r="LH58" i="16"/>
  <c r="LG58" i="16"/>
  <c r="LG18" i="16" s="1"/>
  <c r="LF58" i="16"/>
  <c r="LF18" i="16" s="1"/>
  <c r="LE58" i="16"/>
  <c r="LD58" i="16"/>
  <c r="LD18" i="16" s="1"/>
  <c r="LD33" i="16" s="1"/>
  <c r="LC58" i="16"/>
  <c r="LC18" i="16" s="1"/>
  <c r="LB58" i="16"/>
  <c r="LB18" i="16" s="1"/>
  <c r="LA58" i="16"/>
  <c r="KZ58" i="16"/>
  <c r="KY58" i="16"/>
  <c r="KY18" i="16" s="1"/>
  <c r="KX58" i="16"/>
  <c r="KX18" i="16" s="1"/>
  <c r="KW58" i="16"/>
  <c r="KV58" i="16"/>
  <c r="KV18" i="16" s="1"/>
  <c r="KV33" i="16" s="1"/>
  <c r="KU58" i="16"/>
  <c r="KU18" i="16" s="1"/>
  <c r="KT58" i="16"/>
  <c r="KT18" i="16" s="1"/>
  <c r="KS58" i="16"/>
  <c r="KR58" i="16"/>
  <c r="KR18" i="16" s="1"/>
  <c r="KR33" i="16" s="1"/>
  <c r="KQ58" i="16"/>
  <c r="KQ18" i="16" s="1"/>
  <c r="KP58" i="16"/>
  <c r="KP18" i="16" s="1"/>
  <c r="KO58" i="16"/>
  <c r="KN58" i="16"/>
  <c r="KN18" i="16" s="1"/>
  <c r="KN33" i="16" s="1"/>
  <c r="KM58" i="16"/>
  <c r="KM18" i="16" s="1"/>
  <c r="KL58" i="16"/>
  <c r="KL18" i="16" s="1"/>
  <c r="KK58" i="16"/>
  <c r="KJ58" i="16"/>
  <c r="KI58" i="16"/>
  <c r="KI18" i="16" s="1"/>
  <c r="KH58" i="16"/>
  <c r="KH18" i="16" s="1"/>
  <c r="KG58" i="16"/>
  <c r="KF58" i="16"/>
  <c r="KF18" i="16" s="1"/>
  <c r="KF33" i="16" s="1"/>
  <c r="KE58" i="16"/>
  <c r="KE18" i="16" s="1"/>
  <c r="KD58" i="16"/>
  <c r="KD18" i="16" s="1"/>
  <c r="KC58" i="16"/>
  <c r="KB58" i="16"/>
  <c r="KA58" i="16"/>
  <c r="KA18" i="16" s="1"/>
  <c r="JZ58" i="16"/>
  <c r="JZ18" i="16" s="1"/>
  <c r="JY58" i="16"/>
  <c r="JX58" i="16"/>
  <c r="JX18" i="16" s="1"/>
  <c r="JX33" i="16" s="1"/>
  <c r="JW58" i="16"/>
  <c r="JW18" i="16" s="1"/>
  <c r="JV58" i="16"/>
  <c r="JV18" i="16" s="1"/>
  <c r="JU58" i="16"/>
  <c r="JT58" i="16"/>
  <c r="JS58" i="16"/>
  <c r="JS18" i="16" s="1"/>
  <c r="JR58" i="16"/>
  <c r="JR18" i="16" s="1"/>
  <c r="JQ58" i="16"/>
  <c r="JP58" i="16"/>
  <c r="JP18" i="16" s="1"/>
  <c r="JP33" i="16" s="1"/>
  <c r="JO58" i="16"/>
  <c r="JO18" i="16" s="1"/>
  <c r="JN58" i="16"/>
  <c r="JN18" i="16" s="1"/>
  <c r="HA58" i="16"/>
  <c r="GZ58" i="16"/>
  <c r="GZ18" i="16" s="1"/>
  <c r="GZ33" i="16" s="1"/>
  <c r="GY58" i="16"/>
  <c r="GY18" i="16" s="1"/>
  <c r="GX58" i="16"/>
  <c r="GX18" i="16" s="1"/>
  <c r="GW58" i="16"/>
  <c r="GV58" i="16"/>
  <c r="GV18" i="16" s="1"/>
  <c r="GV33" i="16" s="1"/>
  <c r="GU58" i="16"/>
  <c r="GU18" i="16" s="1"/>
  <c r="GT58" i="16"/>
  <c r="GT18" i="16" s="1"/>
  <c r="GS58" i="16"/>
  <c r="GR58" i="16"/>
  <c r="GQ58" i="16"/>
  <c r="GQ18" i="16" s="1"/>
  <c r="GP58" i="16"/>
  <c r="GP18" i="16" s="1"/>
  <c r="GO58" i="16"/>
  <c r="GN58" i="16"/>
  <c r="GN18" i="16" s="1"/>
  <c r="GN33" i="16" s="1"/>
  <c r="GM58" i="16"/>
  <c r="GM18" i="16" s="1"/>
  <c r="GL58" i="16"/>
  <c r="GL18" i="16" s="1"/>
  <c r="GK58" i="16"/>
  <c r="GJ58" i="16"/>
  <c r="GI58" i="16"/>
  <c r="GI18" i="16" s="1"/>
  <c r="GH58" i="16"/>
  <c r="GH18" i="16" s="1"/>
  <c r="GG58" i="16"/>
  <c r="GF58" i="16"/>
  <c r="GF18" i="16" s="1"/>
  <c r="GF33" i="16" s="1"/>
  <c r="GE58" i="16"/>
  <c r="GE18" i="16" s="1"/>
  <c r="GD58" i="16"/>
  <c r="GD18" i="16" s="1"/>
  <c r="GC58" i="16"/>
  <c r="GB58" i="16"/>
  <c r="GA58" i="16"/>
  <c r="GA18" i="16" s="1"/>
  <c r="FZ58" i="16"/>
  <c r="FZ18" i="16" s="1"/>
  <c r="FY58" i="16"/>
  <c r="FX58" i="16"/>
  <c r="FX18" i="16" s="1"/>
  <c r="FX33" i="16" s="1"/>
  <c r="FW58" i="16"/>
  <c r="FW18" i="16" s="1"/>
  <c r="FV58" i="16"/>
  <c r="FV18" i="16" s="1"/>
  <c r="FU58" i="16"/>
  <c r="FT58" i="16"/>
  <c r="FT18" i="16" s="1"/>
  <c r="FT33" i="16" s="1"/>
  <c r="FS58" i="16"/>
  <c r="FS18" i="16" s="1"/>
  <c r="FR58" i="16"/>
  <c r="FR18" i="16" s="1"/>
  <c r="FQ58" i="16"/>
  <c r="FP58" i="16"/>
  <c r="FP18" i="16" s="1"/>
  <c r="FP33" i="16" s="1"/>
  <c r="FO58" i="16"/>
  <c r="FO18" i="16" s="1"/>
  <c r="FN58" i="16"/>
  <c r="FN18" i="16" s="1"/>
  <c r="FM58" i="16"/>
  <c r="FL58" i="16"/>
  <c r="FK58" i="16"/>
  <c r="FK18" i="16" s="1"/>
  <c r="FJ58" i="16"/>
  <c r="FJ18" i="16" s="1"/>
  <c r="FI58" i="16"/>
  <c r="FH58" i="16"/>
  <c r="FH18" i="16" s="1"/>
  <c r="FH33" i="16" s="1"/>
  <c r="FG58" i="16"/>
  <c r="FG18" i="16" s="1"/>
  <c r="FF58" i="16"/>
  <c r="FF18" i="16" s="1"/>
  <c r="FE58" i="16"/>
  <c r="FD58" i="16"/>
  <c r="FC58" i="16"/>
  <c r="FC18" i="16" s="1"/>
  <c r="FB58" i="16"/>
  <c r="FB18" i="16" s="1"/>
  <c r="FA58" i="16"/>
  <c r="EZ58" i="16"/>
  <c r="EZ18" i="16" s="1"/>
  <c r="EZ33" i="16" s="1"/>
  <c r="EY58" i="16"/>
  <c r="EY18" i="16" s="1"/>
  <c r="EX58" i="16"/>
  <c r="EX18" i="16" s="1"/>
  <c r="EW58" i="16"/>
  <c r="EV58" i="16"/>
  <c r="EU58" i="16"/>
  <c r="EU18" i="16" s="1"/>
  <c r="ET58" i="16"/>
  <c r="ET18" i="16" s="1"/>
  <c r="ES58" i="16"/>
  <c r="ER58" i="16"/>
  <c r="ER18" i="16" s="1"/>
  <c r="ER33" i="16" s="1"/>
  <c r="EQ58" i="16"/>
  <c r="EQ18" i="16" s="1"/>
  <c r="EP58" i="16"/>
  <c r="EP18" i="16" s="1"/>
  <c r="EO58" i="16"/>
  <c r="EN58" i="16"/>
  <c r="EN18" i="16" s="1"/>
  <c r="EN33" i="16" s="1"/>
  <c r="EM58" i="16"/>
  <c r="EM18" i="16" s="1"/>
  <c r="EL58" i="16"/>
  <c r="EL18" i="16" s="1"/>
  <c r="EK58" i="16"/>
  <c r="EJ58" i="16"/>
  <c r="EJ18" i="16" s="1"/>
  <c r="EJ33" i="16" s="1"/>
  <c r="EI58" i="16"/>
  <c r="EI18" i="16" s="1"/>
  <c r="EH58" i="16"/>
  <c r="EH18" i="16" s="1"/>
  <c r="EG58" i="16"/>
  <c r="EF58" i="16"/>
  <c r="EE58" i="16"/>
  <c r="EE18" i="16" s="1"/>
  <c r="ED58" i="16"/>
  <c r="ED18" i="16" s="1"/>
  <c r="EC58" i="16"/>
  <c r="EB58" i="16"/>
  <c r="EB18" i="16" s="1"/>
  <c r="EB33" i="16" s="1"/>
  <c r="EA58" i="16"/>
  <c r="EA18" i="16" s="1"/>
  <c r="DZ58" i="16"/>
  <c r="DZ18" i="16" s="1"/>
  <c r="DY58" i="16"/>
  <c r="DX58" i="16"/>
  <c r="DW58" i="16"/>
  <c r="DW18" i="16" s="1"/>
  <c r="DV58" i="16"/>
  <c r="DV18" i="16" s="1"/>
  <c r="DU58" i="16"/>
  <c r="DT58" i="16"/>
  <c r="DT18" i="16" s="1"/>
  <c r="DT33" i="16" s="1"/>
  <c r="DS58" i="16"/>
  <c r="DS18" i="16" s="1"/>
  <c r="DR58" i="16"/>
  <c r="DR18" i="16" s="1"/>
  <c r="DQ58" i="16"/>
  <c r="DP58" i="16"/>
  <c r="DO58" i="16"/>
  <c r="DO18" i="16" s="1"/>
  <c r="DN58" i="16"/>
  <c r="DN18" i="16" s="1"/>
  <c r="DM58" i="16"/>
  <c r="DL58" i="16"/>
  <c r="DL18" i="16" s="1"/>
  <c r="DL33" i="16" s="1"/>
  <c r="DK58" i="16"/>
  <c r="DK18" i="16" s="1"/>
  <c r="DJ58" i="16"/>
  <c r="DJ18" i="16" s="1"/>
  <c r="DI58" i="16"/>
  <c r="DH58" i="16"/>
  <c r="DH18" i="16" s="1"/>
  <c r="DH33" i="16" s="1"/>
  <c r="DG58" i="16"/>
  <c r="DG18" i="16" s="1"/>
  <c r="DF58" i="16"/>
  <c r="DF18" i="16" s="1"/>
  <c r="DE58" i="16"/>
  <c r="DD58" i="16"/>
  <c r="DD18" i="16" s="1"/>
  <c r="DD33" i="16" s="1"/>
  <c r="DC58" i="16"/>
  <c r="DC18" i="16" s="1"/>
  <c r="DB58" i="16"/>
  <c r="DB18" i="16" s="1"/>
  <c r="DA58" i="16"/>
  <c r="CZ58" i="16"/>
  <c r="CY58" i="16"/>
  <c r="CY18" i="16" s="1"/>
  <c r="CX58" i="16"/>
  <c r="CX18" i="16" s="1"/>
  <c r="CW58" i="16"/>
  <c r="CV58" i="16"/>
  <c r="CV18" i="16" s="1"/>
  <c r="CV33" i="16" s="1"/>
  <c r="CU58" i="16"/>
  <c r="CU18" i="16" s="1"/>
  <c r="CT58" i="16"/>
  <c r="CT18" i="16" s="1"/>
  <c r="CS58" i="16"/>
  <c r="CR58" i="16"/>
  <c r="CQ58" i="16"/>
  <c r="CQ18" i="16" s="1"/>
  <c r="CP58" i="16"/>
  <c r="CP18" i="16" s="1"/>
  <c r="CO58" i="16"/>
  <c r="CN58" i="16"/>
  <c r="CN18" i="16" s="1"/>
  <c r="CN33" i="16" s="1"/>
  <c r="CM58" i="16"/>
  <c r="CM18" i="16" s="1"/>
  <c r="CL58" i="16"/>
  <c r="CL18" i="16" s="1"/>
  <c r="CK58" i="16"/>
  <c r="CJ58" i="16"/>
  <c r="CI58" i="16"/>
  <c r="CI18" i="16" s="1"/>
  <c r="CH58" i="16"/>
  <c r="CH18" i="16" s="1"/>
  <c r="CG58" i="16"/>
  <c r="CF58" i="16"/>
  <c r="CF18" i="16" s="1"/>
  <c r="CF33" i="16" s="1"/>
  <c r="CE58" i="16"/>
  <c r="CE18" i="16" s="1"/>
  <c r="CD58" i="16"/>
  <c r="CD18" i="16" s="1"/>
  <c r="CC58" i="16"/>
  <c r="CB58" i="16"/>
  <c r="CB18" i="16" s="1"/>
  <c r="CB33" i="16" s="1"/>
  <c r="CA58" i="16"/>
  <c r="CA18" i="16" s="1"/>
  <c r="BZ58" i="16"/>
  <c r="BZ18" i="16" s="1"/>
  <c r="BY58" i="16"/>
  <c r="BX58" i="16"/>
  <c r="BX18" i="16" s="1"/>
  <c r="BX33" i="16" s="1"/>
  <c r="BW58" i="16"/>
  <c r="BW18" i="16" s="1"/>
  <c r="BV58" i="16"/>
  <c r="BV18" i="16" s="1"/>
  <c r="BU58" i="16"/>
  <c r="BT58" i="16"/>
  <c r="BS58" i="16"/>
  <c r="BS18" i="16" s="1"/>
  <c r="BR58" i="16"/>
  <c r="BR18" i="16" s="1"/>
  <c r="BQ58" i="16"/>
  <c r="BP58" i="16"/>
  <c r="BP18" i="16" s="1"/>
  <c r="BP33" i="16" s="1"/>
  <c r="BO58" i="16"/>
  <c r="BO18" i="16" s="1"/>
  <c r="BN58" i="16"/>
  <c r="BN18" i="16" s="1"/>
  <c r="BM58" i="16"/>
  <c r="BL58" i="16"/>
  <c r="BK58" i="16"/>
  <c r="BK18" i="16" s="1"/>
  <c r="BJ58" i="16"/>
  <c r="BJ18" i="16" s="1"/>
  <c r="BI58" i="16"/>
  <c r="BH58" i="16"/>
  <c r="BH18" i="16" s="1"/>
  <c r="BH33" i="16" s="1"/>
  <c r="BG58" i="16"/>
  <c r="BG18" i="16" s="1"/>
  <c r="BF58" i="16"/>
  <c r="BF18" i="16" s="1"/>
  <c r="BE58" i="16"/>
  <c r="BD58" i="16"/>
  <c r="BC58" i="16"/>
  <c r="BC18" i="16" s="1"/>
  <c r="BB58" i="16"/>
  <c r="BB18" i="16" s="1"/>
  <c r="BA58" i="16"/>
  <c r="AZ58" i="16"/>
  <c r="AZ18" i="16" s="1"/>
  <c r="AZ33" i="16" s="1"/>
  <c r="AY58" i="16"/>
  <c r="AY18" i="16" s="1"/>
  <c r="AX58" i="16"/>
  <c r="AX18" i="16" s="1"/>
  <c r="AW58" i="16"/>
  <c r="AV58" i="16"/>
  <c r="AV18" i="16" s="1"/>
  <c r="AV33" i="16" s="1"/>
  <c r="AU58" i="16"/>
  <c r="AU18" i="16" s="1"/>
  <c r="AT58" i="16"/>
  <c r="AT18" i="16" s="1"/>
  <c r="AS58" i="16"/>
  <c r="AR58" i="16"/>
  <c r="AR18" i="16" s="1"/>
  <c r="AR33" i="16" s="1"/>
  <c r="AQ58" i="16"/>
  <c r="AQ18" i="16" s="1"/>
  <c r="AP58" i="16"/>
  <c r="AP18" i="16" s="1"/>
  <c r="AO58" i="16"/>
  <c r="AN58" i="16"/>
  <c r="AM58" i="16"/>
  <c r="AM18" i="16" s="1"/>
  <c r="AL58" i="16"/>
  <c r="AL18" i="16" s="1"/>
  <c r="AK58" i="16"/>
  <c r="AJ58" i="16"/>
  <c r="AJ18" i="16" s="1"/>
  <c r="AJ33" i="16" s="1"/>
  <c r="AI58" i="16"/>
  <c r="AI18" i="16" s="1"/>
  <c r="AH58" i="16"/>
  <c r="AH18" i="16" s="1"/>
  <c r="AG58" i="16"/>
  <c r="AF58" i="16"/>
  <c r="AE58" i="16"/>
  <c r="AE18" i="16" s="1"/>
  <c r="AD58" i="16"/>
  <c r="AD18" i="16" s="1"/>
  <c r="AC58" i="16"/>
  <c r="AB58" i="16"/>
  <c r="AB18" i="16" s="1"/>
  <c r="AB33" i="16" s="1"/>
  <c r="AA58" i="16"/>
  <c r="AA18" i="16" s="1"/>
  <c r="Z58" i="16"/>
  <c r="Z18" i="16" s="1"/>
  <c r="Y58" i="16"/>
  <c r="X58" i="16"/>
  <c r="W58" i="16"/>
  <c r="W18" i="16" s="1"/>
  <c r="V58" i="16"/>
  <c r="V18" i="16" s="1"/>
  <c r="U58" i="16"/>
  <c r="T58" i="16"/>
  <c r="T18" i="16" s="1"/>
  <c r="T33" i="16" s="1"/>
  <c r="S58" i="16"/>
  <c r="S18" i="16" s="1"/>
  <c r="R58" i="16"/>
  <c r="R18" i="16" s="1"/>
  <c r="Q58" i="16"/>
  <c r="P58" i="16"/>
  <c r="P18" i="16" s="1"/>
  <c r="P33" i="16" s="1"/>
  <c r="O58" i="16"/>
  <c r="O18" i="16" s="1"/>
  <c r="N58" i="16"/>
  <c r="N18" i="16" s="1"/>
  <c r="WS57" i="16"/>
  <c r="WR57" i="16"/>
  <c r="WQ57" i="16"/>
  <c r="WP57" i="16"/>
  <c r="WO57" i="16"/>
  <c r="WN57" i="16"/>
  <c r="WM57" i="16"/>
  <c r="WL57" i="16"/>
  <c r="WK57" i="16"/>
  <c r="WJ57" i="16"/>
  <c r="WI57" i="16"/>
  <c r="WH57" i="16"/>
  <c r="WG57" i="16"/>
  <c r="WF57" i="16"/>
  <c r="WE57" i="16"/>
  <c r="WD57" i="16"/>
  <c r="WC57" i="16"/>
  <c r="WB57" i="16"/>
  <c r="WA57" i="16"/>
  <c r="VZ57" i="16"/>
  <c r="VY57" i="16"/>
  <c r="VX57" i="16"/>
  <c r="VW57" i="16"/>
  <c r="VV57" i="16"/>
  <c r="VU57" i="16"/>
  <c r="VT57" i="16"/>
  <c r="VS57" i="16"/>
  <c r="VR57" i="16"/>
  <c r="VQ57" i="16"/>
  <c r="VP57" i="16"/>
  <c r="VO57" i="16"/>
  <c r="VN57" i="16"/>
  <c r="VM57" i="16"/>
  <c r="VL57" i="16"/>
  <c r="VK57" i="16"/>
  <c r="VJ57" i="16"/>
  <c r="VI57" i="16"/>
  <c r="VH57" i="16"/>
  <c r="VG57" i="16"/>
  <c r="VF57" i="16"/>
  <c r="VE57" i="16"/>
  <c r="VD57" i="16"/>
  <c r="VC57" i="16"/>
  <c r="VB57" i="16"/>
  <c r="VA57" i="16"/>
  <c r="UZ57" i="16"/>
  <c r="UY57" i="16"/>
  <c r="UX57" i="16"/>
  <c r="UW57" i="16"/>
  <c r="UV57" i="16"/>
  <c r="UU57" i="16"/>
  <c r="UT57" i="16"/>
  <c r="US57" i="16"/>
  <c r="UR57" i="16"/>
  <c r="UQ57" i="16"/>
  <c r="UP57" i="16"/>
  <c r="UO57" i="16"/>
  <c r="UN57" i="16"/>
  <c r="UM57" i="16"/>
  <c r="UL57" i="16"/>
  <c r="UK57" i="16"/>
  <c r="UJ57" i="16"/>
  <c r="UI57" i="16"/>
  <c r="UH57" i="16"/>
  <c r="UG57" i="16"/>
  <c r="UF57" i="16"/>
  <c r="UE57" i="16"/>
  <c r="UD57" i="16"/>
  <c r="UC57" i="16"/>
  <c r="UB57" i="16"/>
  <c r="UA57" i="16"/>
  <c r="TZ57" i="16"/>
  <c r="TY57" i="16"/>
  <c r="TX57" i="16"/>
  <c r="TW57" i="16"/>
  <c r="TV57" i="16"/>
  <c r="TU57" i="16"/>
  <c r="TT57" i="16"/>
  <c r="TS57" i="16"/>
  <c r="TR57" i="16"/>
  <c r="TQ57" i="16"/>
  <c r="TP57" i="16"/>
  <c r="TO57" i="16"/>
  <c r="TN57" i="16"/>
  <c r="TM57" i="16"/>
  <c r="TL57" i="16"/>
  <c r="TK57" i="16"/>
  <c r="TJ57" i="16"/>
  <c r="TI57" i="16"/>
  <c r="TH57" i="16"/>
  <c r="TG57" i="16"/>
  <c r="TF57" i="16"/>
  <c r="TE57" i="16"/>
  <c r="TD57" i="16"/>
  <c r="TC57" i="16"/>
  <c r="TB57" i="16"/>
  <c r="TA57" i="16"/>
  <c r="SZ57" i="16"/>
  <c r="SY57" i="16"/>
  <c r="SX57" i="16"/>
  <c r="SW57" i="16"/>
  <c r="SV57" i="16"/>
  <c r="SU57" i="16"/>
  <c r="ST57" i="16"/>
  <c r="SS57" i="16"/>
  <c r="SR57" i="16"/>
  <c r="SQ57" i="16"/>
  <c r="SP57" i="16"/>
  <c r="SO57" i="16"/>
  <c r="SN57" i="16"/>
  <c r="SM57" i="16"/>
  <c r="SL57" i="16"/>
  <c r="SK57" i="16"/>
  <c r="SJ57" i="16"/>
  <c r="SI57" i="16"/>
  <c r="SH57" i="16"/>
  <c r="SG57" i="16"/>
  <c r="SF57" i="16"/>
  <c r="SE57" i="16"/>
  <c r="SD57" i="16"/>
  <c r="SC57" i="16"/>
  <c r="SB57" i="16"/>
  <c r="RF57" i="16"/>
  <c r="RE57" i="16"/>
  <c r="RD57" i="16"/>
  <c r="RC57" i="16"/>
  <c r="RB57" i="16"/>
  <c r="RA57" i="16"/>
  <c r="QT57" i="16"/>
  <c r="QS57" i="16"/>
  <c r="QR57" i="16"/>
  <c r="QQ57" i="16"/>
  <c r="QP57" i="16"/>
  <c r="QO57" i="16"/>
  <c r="QN57" i="16"/>
  <c r="QM57" i="16"/>
  <c r="QL57" i="16"/>
  <c r="QK57" i="16"/>
  <c r="QJ57" i="16"/>
  <c r="QI57" i="16"/>
  <c r="QH57" i="16"/>
  <c r="QG57" i="16"/>
  <c r="QF57" i="16"/>
  <c r="QE57" i="16"/>
  <c r="QD57" i="16"/>
  <c r="QC57" i="16"/>
  <c r="QB57" i="16"/>
  <c r="QA57" i="16"/>
  <c r="PZ57" i="16"/>
  <c r="PY57" i="16"/>
  <c r="PX57" i="16"/>
  <c r="PW57" i="16"/>
  <c r="PV57" i="16"/>
  <c r="PU57" i="16"/>
  <c r="PT57" i="16"/>
  <c r="PS57" i="16"/>
  <c r="PR57" i="16"/>
  <c r="PQ57" i="16"/>
  <c r="PP57" i="16"/>
  <c r="PO57" i="16"/>
  <c r="PN57" i="16"/>
  <c r="PM57" i="16"/>
  <c r="PL57" i="16"/>
  <c r="PK57" i="16"/>
  <c r="PJ57" i="16"/>
  <c r="PI57" i="16"/>
  <c r="PH57" i="16"/>
  <c r="PG57" i="16"/>
  <c r="PF57" i="16"/>
  <c r="PE57" i="16"/>
  <c r="PD57" i="16"/>
  <c r="PC57" i="16"/>
  <c r="PB57" i="16"/>
  <c r="PA57" i="16"/>
  <c r="OZ57" i="16"/>
  <c r="OY57" i="16"/>
  <c r="OX57" i="16"/>
  <c r="OW57" i="16"/>
  <c r="OV57" i="16"/>
  <c r="OU57" i="16"/>
  <c r="OT57" i="16"/>
  <c r="OS57" i="16"/>
  <c r="OR57" i="16"/>
  <c r="OQ57" i="16"/>
  <c r="OP57" i="16"/>
  <c r="OO57" i="16"/>
  <c r="ON57" i="16"/>
  <c r="OM57" i="16"/>
  <c r="OL57" i="16"/>
  <c r="OK57" i="16"/>
  <c r="OJ57" i="16"/>
  <c r="OI57" i="16"/>
  <c r="OH57" i="16"/>
  <c r="OG57" i="16"/>
  <c r="OF57" i="16"/>
  <c r="OE57" i="16"/>
  <c r="OD57" i="16"/>
  <c r="OC57" i="16"/>
  <c r="OB57" i="16"/>
  <c r="OA57" i="16"/>
  <c r="NZ57" i="16"/>
  <c r="NY57" i="16"/>
  <c r="NX57" i="16"/>
  <c r="NW57" i="16"/>
  <c r="NV57" i="16"/>
  <c r="NU57" i="16"/>
  <c r="NT57" i="16"/>
  <c r="NS57" i="16"/>
  <c r="NR57" i="16"/>
  <c r="NQ57" i="16"/>
  <c r="NP57" i="16"/>
  <c r="NO57" i="16"/>
  <c r="NN57" i="16"/>
  <c r="NM57" i="16"/>
  <c r="NL57" i="16"/>
  <c r="NK57" i="16"/>
  <c r="NJ57" i="16"/>
  <c r="NI57" i="16"/>
  <c r="NH57" i="16"/>
  <c r="NG57" i="16"/>
  <c r="NF57" i="16"/>
  <c r="NE57" i="16"/>
  <c r="ND57" i="16"/>
  <c r="NC57" i="16"/>
  <c r="NB57" i="16"/>
  <c r="NA57" i="16"/>
  <c r="MZ57" i="16"/>
  <c r="MY57" i="16"/>
  <c r="MX57" i="16"/>
  <c r="MW57" i="16"/>
  <c r="MV57" i="16"/>
  <c r="MU57" i="16"/>
  <c r="MT57" i="16"/>
  <c r="MS57" i="16"/>
  <c r="MR57" i="16"/>
  <c r="MQ57" i="16"/>
  <c r="MP57" i="16"/>
  <c r="MO57" i="16"/>
  <c r="MN57" i="16"/>
  <c r="MM57" i="16"/>
  <c r="ML57" i="16"/>
  <c r="MK57" i="16"/>
  <c r="MJ57" i="16"/>
  <c r="MI57" i="16"/>
  <c r="MH57" i="16"/>
  <c r="MG57" i="16"/>
  <c r="MF57" i="16"/>
  <c r="ME57" i="16"/>
  <c r="MD57" i="16"/>
  <c r="MC57" i="16"/>
  <c r="MB57" i="16"/>
  <c r="MA57" i="16"/>
  <c r="LZ57" i="16"/>
  <c r="LY57" i="16"/>
  <c r="LX57" i="16"/>
  <c r="LW57" i="16"/>
  <c r="LV57" i="16"/>
  <c r="LU57" i="16"/>
  <c r="LT57" i="16"/>
  <c r="LS57" i="16"/>
  <c r="LR57" i="16"/>
  <c r="LQ57" i="16"/>
  <c r="LP57" i="16"/>
  <c r="LO57" i="16"/>
  <c r="LN57" i="16"/>
  <c r="LM57" i="16"/>
  <c r="LL57" i="16"/>
  <c r="LK57" i="16"/>
  <c r="LJ57" i="16"/>
  <c r="LI57" i="16"/>
  <c r="LH57" i="16"/>
  <c r="LG57" i="16"/>
  <c r="LF57" i="16"/>
  <c r="LE57" i="16"/>
  <c r="LD57" i="16"/>
  <c r="LC57" i="16"/>
  <c r="LB57" i="16"/>
  <c r="LA57" i="16"/>
  <c r="KZ57" i="16"/>
  <c r="KY57" i="16"/>
  <c r="KX57" i="16"/>
  <c r="KW57" i="16"/>
  <c r="KV57" i="16"/>
  <c r="KU57" i="16"/>
  <c r="KT57" i="16"/>
  <c r="KS57" i="16"/>
  <c r="KR57" i="16"/>
  <c r="KQ57" i="16"/>
  <c r="KP57" i="16"/>
  <c r="KO57" i="16"/>
  <c r="KN57" i="16"/>
  <c r="KM57" i="16"/>
  <c r="KL57" i="16"/>
  <c r="KK57" i="16"/>
  <c r="KJ57" i="16"/>
  <c r="KI57" i="16"/>
  <c r="KH57" i="16"/>
  <c r="KG57" i="16"/>
  <c r="KF57" i="16"/>
  <c r="KE57" i="16"/>
  <c r="KD57" i="16"/>
  <c r="KC57" i="16"/>
  <c r="KB57" i="16"/>
  <c r="KA57" i="16"/>
  <c r="JZ57" i="16"/>
  <c r="JY57" i="16"/>
  <c r="JX57" i="16"/>
  <c r="JW57" i="16"/>
  <c r="JV57" i="16"/>
  <c r="JU57" i="16"/>
  <c r="JT57" i="16"/>
  <c r="JS57" i="16"/>
  <c r="JR57" i="16"/>
  <c r="JQ57" i="16"/>
  <c r="JP57" i="16"/>
  <c r="JO57" i="16"/>
  <c r="JN57" i="16"/>
  <c r="JM57" i="16"/>
  <c r="JL57" i="16"/>
  <c r="JK57" i="16"/>
  <c r="JJ57" i="16"/>
  <c r="JI57" i="16"/>
  <c r="JH57" i="16"/>
  <c r="JG57" i="16"/>
  <c r="JF57" i="16"/>
  <c r="JE57" i="16"/>
  <c r="JD57" i="16"/>
  <c r="JC57" i="16"/>
  <c r="JB57" i="16"/>
  <c r="JA57" i="16"/>
  <c r="IZ57" i="16"/>
  <c r="IY57" i="16"/>
  <c r="IX57" i="16"/>
  <c r="IW57" i="16"/>
  <c r="IV57" i="16"/>
  <c r="IU57" i="16"/>
  <c r="IT57" i="16"/>
  <c r="IS57" i="16"/>
  <c r="IR57" i="16"/>
  <c r="IQ57" i="16"/>
  <c r="IP57" i="16"/>
  <c r="IO57" i="16"/>
  <c r="IN57" i="16"/>
  <c r="IM57" i="16"/>
  <c r="IL57" i="16"/>
  <c r="IK57" i="16"/>
  <c r="IJ57" i="16"/>
  <c r="II57" i="16"/>
  <c r="IH57" i="16"/>
  <c r="IG57" i="16"/>
  <c r="IF57" i="16"/>
  <c r="IE57" i="16"/>
  <c r="ID57" i="16"/>
  <c r="IC57" i="16"/>
  <c r="IB57" i="16"/>
  <c r="IA57" i="16"/>
  <c r="HZ57" i="16"/>
  <c r="HY57" i="16"/>
  <c r="HX57" i="16"/>
  <c r="HW57" i="16"/>
  <c r="HV57" i="16"/>
  <c r="HU57" i="16"/>
  <c r="HT57" i="16"/>
  <c r="HS57" i="16"/>
  <c r="HR57" i="16"/>
  <c r="HQ57" i="16"/>
  <c r="HP57" i="16"/>
  <c r="HO57" i="16"/>
  <c r="HN57" i="16"/>
  <c r="HM57" i="16"/>
  <c r="HL57" i="16"/>
  <c r="HK57" i="16"/>
  <c r="HJ57" i="16"/>
  <c r="HI57" i="16"/>
  <c r="HH57" i="16"/>
  <c r="HG57" i="16"/>
  <c r="HF57" i="16"/>
  <c r="HE57" i="16"/>
  <c r="HD57" i="16"/>
  <c r="HC57" i="16"/>
  <c r="HB57" i="16"/>
  <c r="GV57" i="16"/>
  <c r="GU57" i="16"/>
  <c r="GT57" i="16"/>
  <c r="GS57" i="16"/>
  <c r="GR57" i="16"/>
  <c r="GQ57" i="16"/>
  <c r="GP57" i="16"/>
  <c r="GO57" i="16"/>
  <c r="GN57" i="16"/>
  <c r="GM57" i="16"/>
  <c r="GL57" i="16"/>
  <c r="GK57" i="16"/>
  <c r="GJ57" i="16"/>
  <c r="GI57" i="16"/>
  <c r="GH57" i="16"/>
  <c r="GG57" i="16"/>
  <c r="GF57" i="16"/>
  <c r="GE57" i="16"/>
  <c r="GD57" i="16"/>
  <c r="GD15" i="16" s="1"/>
  <c r="GC57" i="16"/>
  <c r="GB57" i="16"/>
  <c r="GA57" i="16"/>
  <c r="FZ57" i="16"/>
  <c r="FY57" i="16"/>
  <c r="FX57" i="16"/>
  <c r="FW57" i="16"/>
  <c r="FV57" i="16"/>
  <c r="FU57" i="16"/>
  <c r="FT57" i="16"/>
  <c r="FS57" i="16"/>
  <c r="FR57" i="16"/>
  <c r="FQ57" i="16"/>
  <c r="FP57" i="16"/>
  <c r="FO57" i="16"/>
  <c r="FN57" i="16"/>
  <c r="FN15" i="16" s="1"/>
  <c r="FM57" i="16"/>
  <c r="FL57" i="16"/>
  <c r="FK57" i="16"/>
  <c r="FJ57" i="16"/>
  <c r="FI57" i="16"/>
  <c r="FH57" i="16"/>
  <c r="FG57" i="16"/>
  <c r="FF57" i="16"/>
  <c r="FE57" i="16"/>
  <c r="FD57" i="16"/>
  <c r="FC57" i="16"/>
  <c r="FB57" i="16"/>
  <c r="FA57" i="16"/>
  <c r="EZ57" i="16"/>
  <c r="EY57" i="16"/>
  <c r="EX57" i="16"/>
  <c r="EX15" i="16" s="1"/>
  <c r="EW57" i="16"/>
  <c r="EV57" i="16"/>
  <c r="EU57" i="16"/>
  <c r="ET57" i="16"/>
  <c r="ES57" i="16"/>
  <c r="ER57" i="16"/>
  <c r="EQ57" i="16"/>
  <c r="EP57" i="16"/>
  <c r="EO57" i="16"/>
  <c r="EN57" i="16"/>
  <c r="EM57" i="16"/>
  <c r="EL57" i="16"/>
  <c r="EK57" i="16"/>
  <c r="EJ57" i="16"/>
  <c r="EI57" i="16"/>
  <c r="EH57" i="16"/>
  <c r="EG57" i="16"/>
  <c r="EF57" i="16"/>
  <c r="EE57" i="16"/>
  <c r="ED57" i="16"/>
  <c r="EC57" i="16"/>
  <c r="EB57" i="16"/>
  <c r="EA57" i="16"/>
  <c r="DZ57" i="16"/>
  <c r="DY57" i="16"/>
  <c r="DX57" i="16"/>
  <c r="DW57" i="16"/>
  <c r="DV57" i="16"/>
  <c r="DU57" i="16"/>
  <c r="DT57" i="16"/>
  <c r="DS57" i="16"/>
  <c r="DR57" i="16"/>
  <c r="DR15" i="16" s="1"/>
  <c r="DQ57" i="16"/>
  <c r="DP57" i="16"/>
  <c r="DO57" i="16"/>
  <c r="DN57" i="16"/>
  <c r="DM57" i="16"/>
  <c r="DL57" i="16"/>
  <c r="DK57" i="16"/>
  <c r="DJ57" i="16"/>
  <c r="DI57" i="16"/>
  <c r="DH57" i="16"/>
  <c r="DG57" i="16"/>
  <c r="DF57" i="16"/>
  <c r="DE57" i="16"/>
  <c r="DD57" i="16"/>
  <c r="DC57" i="16"/>
  <c r="DB57" i="16"/>
  <c r="DB15" i="16" s="1"/>
  <c r="DA57" i="16"/>
  <c r="CZ57" i="16"/>
  <c r="CY57" i="16"/>
  <c r="CX57" i="16"/>
  <c r="CW57" i="16"/>
  <c r="CV57" i="16"/>
  <c r="CU57" i="16"/>
  <c r="CT57" i="16"/>
  <c r="CS57" i="16"/>
  <c r="CR57" i="16"/>
  <c r="CQ57" i="16"/>
  <c r="CP57" i="16"/>
  <c r="CO57" i="16"/>
  <c r="CN57" i="16"/>
  <c r="CM57" i="16"/>
  <c r="CL57" i="16"/>
  <c r="CL15" i="16" s="1"/>
  <c r="CK57" i="16"/>
  <c r="CJ57" i="16"/>
  <c r="CI57" i="16"/>
  <c r="CH57" i="16"/>
  <c r="CG57" i="16"/>
  <c r="CF57" i="16"/>
  <c r="CE57" i="16"/>
  <c r="CD57" i="16"/>
  <c r="CC57" i="16"/>
  <c r="CB57" i="16"/>
  <c r="CA57" i="16"/>
  <c r="BZ57" i="16"/>
  <c r="BY57" i="16"/>
  <c r="BX57" i="16"/>
  <c r="BW57" i="16"/>
  <c r="BV57" i="16"/>
  <c r="BU57" i="16"/>
  <c r="BT57" i="16"/>
  <c r="BS57" i="16"/>
  <c r="BR57" i="16"/>
  <c r="BQ57" i="16"/>
  <c r="BP57" i="16"/>
  <c r="BO57" i="16"/>
  <c r="BN57" i="16"/>
  <c r="BM57" i="16"/>
  <c r="BL57" i="16"/>
  <c r="BK57" i="16"/>
  <c r="BJ57" i="16"/>
  <c r="BI57" i="16"/>
  <c r="BH57" i="16"/>
  <c r="BG57" i="16"/>
  <c r="BF57" i="16"/>
  <c r="BE57" i="16"/>
  <c r="BD57" i="16"/>
  <c r="BC57" i="16"/>
  <c r="BB57" i="16"/>
  <c r="BA57" i="16"/>
  <c r="AZ57" i="16"/>
  <c r="AY57" i="16"/>
  <c r="AX57" i="16"/>
  <c r="AW57" i="16"/>
  <c r="AV57" i="16"/>
  <c r="AU57" i="16"/>
  <c r="AT57" i="16"/>
  <c r="AS57" i="16"/>
  <c r="AR57" i="16"/>
  <c r="AQ57" i="16"/>
  <c r="AP57" i="16"/>
  <c r="AO57" i="16"/>
  <c r="AN57" i="16"/>
  <c r="AM57" i="16"/>
  <c r="AL57" i="16"/>
  <c r="AK57" i="16"/>
  <c r="AJ57" i="16"/>
  <c r="AI57" i="16"/>
  <c r="AH57" i="16"/>
  <c r="AG57" i="16"/>
  <c r="AF57" i="16"/>
  <c r="AE57" i="16"/>
  <c r="AD57" i="16"/>
  <c r="AC57" i="16"/>
  <c r="AB57" i="16"/>
  <c r="AA57" i="16"/>
  <c r="Z57" i="16"/>
  <c r="Y57" i="16"/>
  <c r="X57" i="16"/>
  <c r="W57" i="16"/>
  <c r="V57" i="16"/>
  <c r="U57" i="16"/>
  <c r="T57" i="16"/>
  <c r="S57" i="16"/>
  <c r="R57" i="16"/>
  <c r="Q57" i="16"/>
  <c r="P57" i="16"/>
  <c r="O57" i="16"/>
  <c r="N57" i="16"/>
  <c r="WS56" i="16"/>
  <c r="WR56" i="16"/>
  <c r="WR12" i="16" s="1"/>
  <c r="WR21" i="16" s="1"/>
  <c r="WQ56" i="16"/>
  <c r="WQ12" i="16" s="1"/>
  <c r="WP56" i="16"/>
  <c r="WP12" i="16" s="1"/>
  <c r="WO56" i="16"/>
  <c r="WN56" i="16"/>
  <c r="WM56" i="16"/>
  <c r="WM12" i="16" s="1"/>
  <c r="WL56" i="16"/>
  <c r="WL12" i="16" s="1"/>
  <c r="WK56" i="16"/>
  <c r="WJ56" i="16"/>
  <c r="WI56" i="16"/>
  <c r="WI12" i="16" s="1"/>
  <c r="WI21" i="16" s="1"/>
  <c r="WI42" i="16" s="1"/>
  <c r="WH56" i="16"/>
  <c r="WH12" i="16" s="1"/>
  <c r="WG56" i="16"/>
  <c r="WF56" i="16"/>
  <c r="WE56" i="16"/>
  <c r="WE12" i="16" s="1"/>
  <c r="WD56" i="16"/>
  <c r="WD12" i="16" s="1"/>
  <c r="WC56" i="16"/>
  <c r="WB56" i="16"/>
  <c r="WB12" i="16" s="1"/>
  <c r="WB21" i="16" s="1"/>
  <c r="WA56" i="16"/>
  <c r="WA12" i="16" s="1"/>
  <c r="VZ56" i="16"/>
  <c r="VZ12" i="16" s="1"/>
  <c r="VY56" i="16"/>
  <c r="VX56" i="16"/>
  <c r="VW56" i="16"/>
  <c r="VW12" i="16" s="1"/>
  <c r="VV56" i="16"/>
  <c r="VV12" i="16" s="1"/>
  <c r="VU56" i="16"/>
  <c r="VT56" i="16"/>
  <c r="VT12" i="16" s="1"/>
  <c r="VS56" i="16"/>
  <c r="VS12" i="16" s="1"/>
  <c r="VS21" i="16" s="1"/>
  <c r="VS42" i="16" s="1"/>
  <c r="VR56" i="16"/>
  <c r="VR12" i="16" s="1"/>
  <c r="VQ56" i="16"/>
  <c r="VP56" i="16"/>
  <c r="VO56" i="16"/>
  <c r="VO12" i="16" s="1"/>
  <c r="VN56" i="16"/>
  <c r="VN12" i="16" s="1"/>
  <c r="VM56" i="16"/>
  <c r="VL56" i="16"/>
  <c r="VL12" i="16" s="1"/>
  <c r="VL21" i="16" s="1"/>
  <c r="VK56" i="16"/>
  <c r="VK12" i="16" s="1"/>
  <c r="VJ56" i="16"/>
  <c r="VJ12" i="16" s="1"/>
  <c r="VI56" i="16"/>
  <c r="VH56" i="16"/>
  <c r="VG56" i="16"/>
  <c r="VG12" i="16" s="1"/>
  <c r="VF56" i="16"/>
  <c r="VF12" i="16" s="1"/>
  <c r="VE56" i="16"/>
  <c r="VD56" i="16"/>
  <c r="VC56" i="16"/>
  <c r="VC12" i="16" s="1"/>
  <c r="VC21" i="16" s="1"/>
  <c r="VC42" i="16" s="1"/>
  <c r="VB56" i="16"/>
  <c r="VB12" i="16" s="1"/>
  <c r="VA56" i="16"/>
  <c r="UZ56" i="16"/>
  <c r="UY56" i="16"/>
  <c r="UY12" i="16" s="1"/>
  <c r="UX56" i="16"/>
  <c r="UX12" i="16" s="1"/>
  <c r="UW56" i="16"/>
  <c r="UV56" i="16"/>
  <c r="UV12" i="16" s="1"/>
  <c r="UV21" i="16" s="1"/>
  <c r="UU56" i="16"/>
  <c r="UU12" i="16" s="1"/>
  <c r="UT56" i="16"/>
  <c r="UT12" i="16" s="1"/>
  <c r="US56" i="16"/>
  <c r="UR56" i="16"/>
  <c r="UR12" i="16" s="1"/>
  <c r="UR21" i="16" s="1"/>
  <c r="UQ56" i="16"/>
  <c r="UQ12" i="16" s="1"/>
  <c r="UP56" i="16"/>
  <c r="UP12" i="16" s="1"/>
  <c r="UO56" i="16"/>
  <c r="UN56" i="16"/>
  <c r="UM56" i="16"/>
  <c r="UM12" i="16" s="1"/>
  <c r="UM21" i="16" s="1"/>
  <c r="UM42" i="16" s="1"/>
  <c r="UL56" i="16"/>
  <c r="UL12" i="16" s="1"/>
  <c r="UK56" i="16"/>
  <c r="UJ56" i="16"/>
  <c r="UJ12" i="16" s="1"/>
  <c r="UJ21" i="16" s="1"/>
  <c r="UI56" i="16"/>
  <c r="UI12" i="16" s="1"/>
  <c r="UH56" i="16"/>
  <c r="UH12" i="16" s="1"/>
  <c r="UG56" i="16"/>
  <c r="UF56" i="16"/>
  <c r="UF12" i="16" s="1"/>
  <c r="UF21" i="16" s="1"/>
  <c r="UE56" i="16"/>
  <c r="UE12" i="16" s="1"/>
  <c r="UD56" i="16"/>
  <c r="UD12" i="16" s="1"/>
  <c r="UC56" i="16"/>
  <c r="UB56" i="16"/>
  <c r="UA56" i="16"/>
  <c r="UA12" i="16" s="1"/>
  <c r="TZ56" i="16"/>
  <c r="TZ12" i="16" s="1"/>
  <c r="TY56" i="16"/>
  <c r="TX56" i="16"/>
  <c r="TW56" i="16"/>
  <c r="TW12" i="16" s="1"/>
  <c r="TW21" i="16" s="1"/>
  <c r="TW42" i="16" s="1"/>
  <c r="TV56" i="16"/>
  <c r="TV12" i="16" s="1"/>
  <c r="TU56" i="16"/>
  <c r="TT56" i="16"/>
  <c r="TS56" i="16"/>
  <c r="TS12" i="16" s="1"/>
  <c r="TR56" i="16"/>
  <c r="TR12" i="16" s="1"/>
  <c r="TQ56" i="16"/>
  <c r="TP56" i="16"/>
  <c r="TP12" i="16" s="1"/>
  <c r="TP21" i="16" s="1"/>
  <c r="TO56" i="16"/>
  <c r="TO12" i="16" s="1"/>
  <c r="TN56" i="16"/>
  <c r="TN12" i="16" s="1"/>
  <c r="TM56" i="16"/>
  <c r="TL56" i="16"/>
  <c r="TK56" i="16"/>
  <c r="TK12" i="16" s="1"/>
  <c r="TJ56" i="16"/>
  <c r="TJ12" i="16" s="1"/>
  <c r="TI56" i="16"/>
  <c r="TH56" i="16"/>
  <c r="TH12" i="16" s="1"/>
  <c r="TG56" i="16"/>
  <c r="TG12" i="16" s="1"/>
  <c r="TG21" i="16" s="1"/>
  <c r="TG42" i="16" s="1"/>
  <c r="TF56" i="16"/>
  <c r="TF12" i="16" s="1"/>
  <c r="TE56" i="16"/>
  <c r="TD56" i="16"/>
  <c r="TC56" i="16"/>
  <c r="TC12" i="16" s="1"/>
  <c r="TB56" i="16"/>
  <c r="TB12" i="16" s="1"/>
  <c r="TA56" i="16"/>
  <c r="SZ56" i="16"/>
  <c r="SZ12" i="16" s="1"/>
  <c r="SZ21" i="16" s="1"/>
  <c r="SY56" i="16"/>
  <c r="SY12" i="16" s="1"/>
  <c r="SX56" i="16"/>
  <c r="SX12" i="16" s="1"/>
  <c r="SW56" i="16"/>
  <c r="SV56" i="16"/>
  <c r="SU56" i="16"/>
  <c r="SU12" i="16" s="1"/>
  <c r="ST56" i="16"/>
  <c r="ST12" i="16" s="1"/>
  <c r="SS56" i="16"/>
  <c r="SR56" i="16"/>
  <c r="SR12" i="16" s="1"/>
  <c r="SQ56" i="16"/>
  <c r="SQ12" i="16" s="1"/>
  <c r="SP56" i="16"/>
  <c r="SP12" i="16" s="1"/>
  <c r="SO56" i="16"/>
  <c r="SN56" i="16"/>
  <c r="SM56" i="16"/>
  <c r="SM12" i="16" s="1"/>
  <c r="SL56" i="16"/>
  <c r="SL12" i="16" s="1"/>
  <c r="SK56" i="16"/>
  <c r="SJ56" i="16"/>
  <c r="SJ12" i="16" s="1"/>
  <c r="SJ21" i="16" s="1"/>
  <c r="SI56" i="16"/>
  <c r="SI12" i="16" s="1"/>
  <c r="SH56" i="16"/>
  <c r="SH12" i="16" s="1"/>
  <c r="SG56" i="16"/>
  <c r="SF56" i="16"/>
  <c r="SE56" i="16"/>
  <c r="SE12" i="16" s="1"/>
  <c r="SD56" i="16"/>
  <c r="SD12" i="16" s="1"/>
  <c r="SC56" i="16"/>
  <c r="SB56" i="16"/>
  <c r="RF56" i="16"/>
  <c r="RF12" i="16" s="1"/>
  <c r="RE56" i="16"/>
  <c r="RE12" i="16" s="1"/>
  <c r="RD56" i="16"/>
  <c r="RC56" i="16"/>
  <c r="RB56" i="16"/>
  <c r="RB12" i="16" s="1"/>
  <c r="RB21" i="16" s="1"/>
  <c r="RB42" i="16" s="1"/>
  <c r="RA56" i="16"/>
  <c r="RA12" i="16" s="1"/>
  <c r="QT56" i="16"/>
  <c r="QS56" i="16"/>
  <c r="QR56" i="16"/>
  <c r="QR12" i="16" s="1"/>
  <c r="QQ56" i="16"/>
  <c r="QQ12" i="16" s="1"/>
  <c r="QP56" i="16"/>
  <c r="QO56" i="16"/>
  <c r="QO12" i="16" s="1"/>
  <c r="QO21" i="16" s="1"/>
  <c r="QN56" i="16"/>
  <c r="QN12" i="16" s="1"/>
  <c r="QN21" i="16" s="1"/>
  <c r="QN42" i="16" s="1"/>
  <c r="QM56" i="16"/>
  <c r="QM12" i="16" s="1"/>
  <c r="QL56" i="16"/>
  <c r="QK56" i="16"/>
  <c r="QJ56" i="16"/>
  <c r="QJ12" i="16" s="1"/>
  <c r="QJ21" i="16" s="1"/>
  <c r="QJ42" i="16" s="1"/>
  <c r="QI56" i="16"/>
  <c r="QI12" i="16" s="1"/>
  <c r="QH56" i="16"/>
  <c r="QG56" i="16"/>
  <c r="QG12" i="16" s="1"/>
  <c r="QG21" i="16" s="1"/>
  <c r="QF56" i="16"/>
  <c r="QF12" i="16" s="1"/>
  <c r="QE56" i="16"/>
  <c r="QE12" i="16" s="1"/>
  <c r="QD56" i="16"/>
  <c r="QC56" i="16"/>
  <c r="QB56" i="16"/>
  <c r="QB12" i="16" s="1"/>
  <c r="QB21" i="16" s="1"/>
  <c r="QB42" i="16" s="1"/>
  <c r="QA56" i="16"/>
  <c r="QA12" i="16" s="1"/>
  <c r="PZ56" i="16"/>
  <c r="PY56" i="16"/>
  <c r="PX56" i="16"/>
  <c r="PX12" i="16" s="1"/>
  <c r="PX21" i="16" s="1"/>
  <c r="PX42" i="16" s="1"/>
  <c r="PW56" i="16"/>
  <c r="PW12" i="16" s="1"/>
  <c r="PV56" i="16"/>
  <c r="PU56" i="16"/>
  <c r="PT56" i="16"/>
  <c r="PT12" i="16" s="1"/>
  <c r="PT21" i="16" s="1"/>
  <c r="PT42" i="16" s="1"/>
  <c r="PS56" i="16"/>
  <c r="PS12" i="16" s="1"/>
  <c r="PR56" i="16"/>
  <c r="PQ56" i="16"/>
  <c r="PQ12" i="16" s="1"/>
  <c r="PQ21" i="16" s="1"/>
  <c r="PP56" i="16"/>
  <c r="PP12" i="16" s="1"/>
  <c r="PO56" i="16"/>
  <c r="PO12" i="16" s="1"/>
  <c r="PN56" i="16"/>
  <c r="PM56" i="16"/>
  <c r="PM12" i="16" s="1"/>
  <c r="PM21" i="16" s="1"/>
  <c r="PL56" i="16"/>
  <c r="PL12" i="16" s="1"/>
  <c r="PL21" i="16" s="1"/>
  <c r="PL42" i="16" s="1"/>
  <c r="PK56" i="16"/>
  <c r="PK12" i="16" s="1"/>
  <c r="PJ56" i="16"/>
  <c r="PI56" i="16"/>
  <c r="PH56" i="16"/>
  <c r="PH12" i="16" s="1"/>
  <c r="PH21" i="16" s="1"/>
  <c r="PH42" i="16" s="1"/>
  <c r="PG56" i="16"/>
  <c r="PG12" i="16" s="1"/>
  <c r="PF56" i="16"/>
  <c r="PE56" i="16"/>
  <c r="PE12" i="16" s="1"/>
  <c r="PE21" i="16" s="1"/>
  <c r="PD56" i="16"/>
  <c r="PD12" i="16" s="1"/>
  <c r="PD21" i="16" s="1"/>
  <c r="PD42" i="16" s="1"/>
  <c r="PC56" i="16"/>
  <c r="PC12" i="16" s="1"/>
  <c r="PB56" i="16"/>
  <c r="PA56" i="16"/>
  <c r="PA12" i="16" s="1"/>
  <c r="PA21" i="16" s="1"/>
  <c r="OZ56" i="16"/>
  <c r="OZ12" i="16" s="1"/>
  <c r="OY56" i="16"/>
  <c r="OY12" i="16" s="1"/>
  <c r="OX56" i="16"/>
  <c r="OW56" i="16"/>
  <c r="OV56" i="16"/>
  <c r="OV12" i="16" s="1"/>
  <c r="OV21" i="16" s="1"/>
  <c r="OV42" i="16" s="1"/>
  <c r="OU56" i="16"/>
  <c r="OU12" i="16" s="1"/>
  <c r="OT56" i="16"/>
  <c r="OS56" i="16"/>
  <c r="OR56" i="16"/>
  <c r="OR12" i="16" s="1"/>
  <c r="OR21" i="16" s="1"/>
  <c r="OR42" i="16" s="1"/>
  <c r="OQ56" i="16"/>
  <c r="OQ12" i="16" s="1"/>
  <c r="OP56" i="16"/>
  <c r="OO56" i="16"/>
  <c r="ON56" i="16"/>
  <c r="ON12" i="16" s="1"/>
  <c r="ON21" i="16" s="1"/>
  <c r="ON42" i="16" s="1"/>
  <c r="OM56" i="16"/>
  <c r="OM12" i="16" s="1"/>
  <c r="OL56" i="16"/>
  <c r="OK56" i="16"/>
  <c r="OK12" i="16" s="1"/>
  <c r="OK21" i="16" s="1"/>
  <c r="OJ56" i="16"/>
  <c r="OJ12" i="16" s="1"/>
  <c r="OI56" i="16"/>
  <c r="OI12" i="16" s="1"/>
  <c r="OH56" i="16"/>
  <c r="OG56" i="16"/>
  <c r="OF56" i="16"/>
  <c r="OF12" i="16" s="1"/>
  <c r="OF21" i="16" s="1"/>
  <c r="OF42" i="16" s="1"/>
  <c r="OE56" i="16"/>
  <c r="OE12" i="16" s="1"/>
  <c r="OD56" i="16"/>
  <c r="OC56" i="16"/>
  <c r="OC12" i="16" s="1"/>
  <c r="OC21" i="16" s="1"/>
  <c r="OB56" i="16"/>
  <c r="OB12" i="16" s="1"/>
  <c r="OB21" i="16" s="1"/>
  <c r="OB42" i="16" s="1"/>
  <c r="OA56" i="16"/>
  <c r="OA12" i="16" s="1"/>
  <c r="NZ56" i="16"/>
  <c r="NY56" i="16"/>
  <c r="NX56" i="16"/>
  <c r="NX12" i="16" s="1"/>
  <c r="NX21" i="16" s="1"/>
  <c r="NX42" i="16" s="1"/>
  <c r="NW56" i="16"/>
  <c r="NW12" i="16" s="1"/>
  <c r="NV56" i="16"/>
  <c r="NU56" i="16"/>
  <c r="NU12" i="16" s="1"/>
  <c r="NU21" i="16" s="1"/>
  <c r="NT56" i="16"/>
  <c r="NT12" i="16" s="1"/>
  <c r="NS56" i="16"/>
  <c r="NS12" i="16" s="1"/>
  <c r="NR56" i="16"/>
  <c r="NQ56" i="16"/>
  <c r="NP56" i="16"/>
  <c r="NP12" i="16" s="1"/>
  <c r="NP21" i="16" s="1"/>
  <c r="NP42" i="16" s="1"/>
  <c r="NO56" i="16"/>
  <c r="NO12" i="16" s="1"/>
  <c r="NN56" i="16"/>
  <c r="NM56" i="16"/>
  <c r="NL56" i="16"/>
  <c r="NL12" i="16" s="1"/>
  <c r="NL21" i="16" s="1"/>
  <c r="NL42" i="16" s="1"/>
  <c r="NK56" i="16"/>
  <c r="NK12" i="16" s="1"/>
  <c r="NJ56" i="16"/>
  <c r="NI56" i="16"/>
  <c r="NH56" i="16"/>
  <c r="NH12" i="16" s="1"/>
  <c r="NH21" i="16" s="1"/>
  <c r="NH42" i="16" s="1"/>
  <c r="NG56" i="16"/>
  <c r="NG12" i="16" s="1"/>
  <c r="NF56" i="16"/>
  <c r="NE56" i="16"/>
  <c r="NE12" i="16" s="1"/>
  <c r="NE21" i="16" s="1"/>
  <c r="ND56" i="16"/>
  <c r="ND12" i="16" s="1"/>
  <c r="NC56" i="16"/>
  <c r="NC12" i="16" s="1"/>
  <c r="NB56" i="16"/>
  <c r="NA56" i="16"/>
  <c r="NA12" i="16" s="1"/>
  <c r="NA21" i="16" s="1"/>
  <c r="MZ56" i="16"/>
  <c r="MZ12" i="16" s="1"/>
  <c r="MZ21" i="16" s="1"/>
  <c r="MZ42" i="16" s="1"/>
  <c r="MY56" i="16"/>
  <c r="MY12" i="16" s="1"/>
  <c r="MX56" i="16"/>
  <c r="MW56" i="16"/>
  <c r="MV56" i="16"/>
  <c r="MV12" i="16" s="1"/>
  <c r="MV21" i="16" s="1"/>
  <c r="MV42" i="16" s="1"/>
  <c r="MU56" i="16"/>
  <c r="MU12" i="16" s="1"/>
  <c r="MT56" i="16"/>
  <c r="MS56" i="16"/>
  <c r="MS12" i="16" s="1"/>
  <c r="MS21" i="16" s="1"/>
  <c r="MR56" i="16"/>
  <c r="MR12" i="16" s="1"/>
  <c r="MR21" i="16" s="1"/>
  <c r="MR42" i="16" s="1"/>
  <c r="MQ56" i="16"/>
  <c r="MQ12" i="16" s="1"/>
  <c r="MP56" i="16"/>
  <c r="MO56" i="16"/>
  <c r="MO12" i="16" s="1"/>
  <c r="MO21" i="16" s="1"/>
  <c r="MN56" i="16"/>
  <c r="MN12" i="16" s="1"/>
  <c r="MM56" i="16"/>
  <c r="MM12" i="16" s="1"/>
  <c r="ML56" i="16"/>
  <c r="MK56" i="16"/>
  <c r="MK12" i="16" s="1"/>
  <c r="MK21" i="16" s="1"/>
  <c r="MJ56" i="16"/>
  <c r="MJ12" i="16" s="1"/>
  <c r="MJ21" i="16" s="1"/>
  <c r="MJ42" i="16" s="1"/>
  <c r="MI56" i="16"/>
  <c r="MI12" i="16" s="1"/>
  <c r="MH56" i="16"/>
  <c r="MG56" i="16"/>
  <c r="MF56" i="16"/>
  <c r="MF12" i="16" s="1"/>
  <c r="MF21" i="16" s="1"/>
  <c r="MF42" i="16" s="1"/>
  <c r="ME56" i="16"/>
  <c r="ME12" i="16" s="1"/>
  <c r="MD56" i="16"/>
  <c r="MC56" i="16"/>
  <c r="MC12" i="16" s="1"/>
  <c r="MC21" i="16" s="1"/>
  <c r="MB56" i="16"/>
  <c r="MB12" i="16" s="1"/>
  <c r="MB21" i="16" s="1"/>
  <c r="MB42" i="16" s="1"/>
  <c r="MA56" i="16"/>
  <c r="MA12" i="16" s="1"/>
  <c r="LZ56" i="16"/>
  <c r="LY56" i="16"/>
  <c r="LY12" i="16" s="1"/>
  <c r="LY21" i="16" s="1"/>
  <c r="LX56" i="16"/>
  <c r="LX12" i="16" s="1"/>
  <c r="LW56" i="16"/>
  <c r="LW12" i="16" s="1"/>
  <c r="LV56" i="16"/>
  <c r="LU56" i="16"/>
  <c r="LT56" i="16"/>
  <c r="LT12" i="16" s="1"/>
  <c r="LT21" i="16" s="1"/>
  <c r="LT42" i="16" s="1"/>
  <c r="LS56" i="16"/>
  <c r="LS12" i="16" s="1"/>
  <c r="LR56" i="16"/>
  <c r="LQ56" i="16"/>
  <c r="LP56" i="16"/>
  <c r="LP12" i="16" s="1"/>
  <c r="LP21" i="16" s="1"/>
  <c r="LP42" i="16" s="1"/>
  <c r="LO56" i="16"/>
  <c r="LO12" i="16" s="1"/>
  <c r="LN56" i="16"/>
  <c r="LM56" i="16"/>
  <c r="LL56" i="16"/>
  <c r="LL12" i="16" s="1"/>
  <c r="LL21" i="16" s="1"/>
  <c r="LL42" i="16" s="1"/>
  <c r="LK56" i="16"/>
  <c r="LK12" i="16" s="1"/>
  <c r="LJ56" i="16"/>
  <c r="LI56" i="16"/>
  <c r="LI12" i="16" s="1"/>
  <c r="LI21" i="16" s="1"/>
  <c r="LH56" i="16"/>
  <c r="LH12" i="16" s="1"/>
  <c r="LG56" i="16"/>
  <c r="LG12" i="16" s="1"/>
  <c r="LF56" i="16"/>
  <c r="LE56" i="16"/>
  <c r="LD56" i="16"/>
  <c r="LD12" i="16" s="1"/>
  <c r="LD21" i="16" s="1"/>
  <c r="LD42" i="16" s="1"/>
  <c r="LC56" i="16"/>
  <c r="LC12" i="16" s="1"/>
  <c r="LB56" i="16"/>
  <c r="LA56" i="16"/>
  <c r="LA12" i="16" s="1"/>
  <c r="LA21" i="16" s="1"/>
  <c r="KZ56" i="16"/>
  <c r="KZ12" i="16" s="1"/>
  <c r="KZ21" i="16" s="1"/>
  <c r="KZ42" i="16" s="1"/>
  <c r="KY56" i="16"/>
  <c r="KY12" i="16" s="1"/>
  <c r="KX56" i="16"/>
  <c r="KW56" i="16"/>
  <c r="KV56" i="16"/>
  <c r="KV12" i="16" s="1"/>
  <c r="KU56" i="16"/>
  <c r="KU12" i="16" s="1"/>
  <c r="KT56" i="16"/>
  <c r="KS56" i="16"/>
  <c r="KS12" i="16" s="1"/>
  <c r="KS21" i="16" s="1"/>
  <c r="KR56" i="16"/>
  <c r="KR12" i="16" s="1"/>
  <c r="KQ56" i="16"/>
  <c r="KQ12" i="16" s="1"/>
  <c r="KP56" i="16"/>
  <c r="KO56" i="16"/>
  <c r="KN56" i="16"/>
  <c r="KN12" i="16" s="1"/>
  <c r="KM56" i="16"/>
  <c r="KM12" i="16" s="1"/>
  <c r="KL56" i="16"/>
  <c r="KK56" i="16"/>
  <c r="KJ56" i="16"/>
  <c r="KJ12" i="16" s="1"/>
  <c r="KI56" i="16"/>
  <c r="KI12" i="16" s="1"/>
  <c r="KH56" i="16"/>
  <c r="KG56" i="16"/>
  <c r="KF56" i="16"/>
  <c r="KF12" i="16" s="1"/>
  <c r="KE56" i="16"/>
  <c r="KE12" i="16" s="1"/>
  <c r="KD56" i="16"/>
  <c r="KC56" i="16"/>
  <c r="KC12" i="16" s="1"/>
  <c r="KC21" i="16" s="1"/>
  <c r="KB56" i="16"/>
  <c r="KB12" i="16" s="1"/>
  <c r="KA56" i="16"/>
  <c r="KA12" i="16" s="1"/>
  <c r="JZ56" i="16"/>
  <c r="JY56" i="16"/>
  <c r="JY12" i="16" s="1"/>
  <c r="JX56" i="16"/>
  <c r="JX12" i="16" s="1"/>
  <c r="JW56" i="16"/>
  <c r="JW12" i="16" s="1"/>
  <c r="JV56" i="16"/>
  <c r="JU56" i="16"/>
  <c r="JT56" i="16"/>
  <c r="JT12" i="16" s="1"/>
  <c r="JS56" i="16"/>
  <c r="JS12" i="16" s="1"/>
  <c r="JR56" i="16"/>
  <c r="JQ56" i="16"/>
  <c r="JQ12" i="16" s="1"/>
  <c r="JP56" i="16"/>
  <c r="JP12" i="16" s="1"/>
  <c r="JO56" i="16"/>
  <c r="JO12" i="16" s="1"/>
  <c r="JN56" i="16"/>
  <c r="JM56" i="16"/>
  <c r="JM12" i="16" s="1"/>
  <c r="JM21" i="16" s="1"/>
  <c r="JL56" i="16"/>
  <c r="JL12" i="16" s="1"/>
  <c r="JK56" i="16"/>
  <c r="JK12" i="16" s="1"/>
  <c r="JJ56" i="16"/>
  <c r="JI56" i="16"/>
  <c r="JH56" i="16"/>
  <c r="JH12" i="16" s="1"/>
  <c r="JH21" i="16" s="1"/>
  <c r="JH42" i="16" s="1"/>
  <c r="JG56" i="16"/>
  <c r="JG12" i="16" s="1"/>
  <c r="JF56" i="16"/>
  <c r="JE56" i="16"/>
  <c r="JD56" i="16"/>
  <c r="JD12" i="16" s="1"/>
  <c r="JD21" i="16" s="1"/>
  <c r="JD42" i="16" s="1"/>
  <c r="JC56" i="16"/>
  <c r="JC12" i="16" s="1"/>
  <c r="JB56" i="16"/>
  <c r="JA56" i="16"/>
  <c r="JA12" i="16" s="1"/>
  <c r="JA21" i="16" s="1"/>
  <c r="IZ56" i="16"/>
  <c r="IZ12" i="16" s="1"/>
  <c r="IZ21" i="16" s="1"/>
  <c r="IZ42" i="16" s="1"/>
  <c r="IY56" i="16"/>
  <c r="IY12" i="16" s="1"/>
  <c r="IX56" i="16"/>
  <c r="IW56" i="16"/>
  <c r="IW12" i="16" s="1"/>
  <c r="IW21" i="16" s="1"/>
  <c r="IV56" i="16"/>
  <c r="IV12" i="16" s="1"/>
  <c r="IU56" i="16"/>
  <c r="IU12" i="16" s="1"/>
  <c r="IT56" i="16"/>
  <c r="IS56" i="16"/>
  <c r="IS12" i="16" s="1"/>
  <c r="IS21" i="16" s="1"/>
  <c r="IR56" i="16"/>
  <c r="IR12" i="16" s="1"/>
  <c r="IR21" i="16" s="1"/>
  <c r="IR42" i="16" s="1"/>
  <c r="IQ56" i="16"/>
  <c r="IQ12" i="16" s="1"/>
  <c r="IP56" i="16"/>
  <c r="IO56" i="16"/>
  <c r="IN56" i="16"/>
  <c r="IN12" i="16" s="1"/>
  <c r="IN21" i="16" s="1"/>
  <c r="IN42" i="16" s="1"/>
  <c r="IM56" i="16"/>
  <c r="IM12" i="16" s="1"/>
  <c r="IL56" i="16"/>
  <c r="IK56" i="16"/>
  <c r="IK12" i="16" s="1"/>
  <c r="IK21" i="16" s="1"/>
  <c r="IJ56" i="16"/>
  <c r="IJ12" i="16" s="1"/>
  <c r="IJ21" i="16" s="1"/>
  <c r="IJ42" i="16" s="1"/>
  <c r="II56" i="16"/>
  <c r="II12" i="16" s="1"/>
  <c r="IH56" i="16"/>
  <c r="IG56" i="16"/>
  <c r="IG12" i="16" s="1"/>
  <c r="IG21" i="16" s="1"/>
  <c r="IF56" i="16"/>
  <c r="IF12" i="16" s="1"/>
  <c r="IE56" i="16"/>
  <c r="IE12" i="16" s="1"/>
  <c r="ID56" i="16"/>
  <c r="IC56" i="16"/>
  <c r="IB56" i="16"/>
  <c r="IB12" i="16" s="1"/>
  <c r="IA56" i="16"/>
  <c r="IA12" i="16" s="1"/>
  <c r="HZ56" i="16"/>
  <c r="HY56" i="16"/>
  <c r="HX56" i="16"/>
  <c r="HX12" i="16" s="1"/>
  <c r="HW56" i="16"/>
  <c r="HW12" i="16" s="1"/>
  <c r="HV56" i="16"/>
  <c r="HU56" i="16"/>
  <c r="HT56" i="16"/>
  <c r="HT12" i="16" s="1"/>
  <c r="HS56" i="16"/>
  <c r="HS12" i="16" s="1"/>
  <c r="HR56" i="16"/>
  <c r="HQ56" i="16"/>
  <c r="HQ12" i="16" s="1"/>
  <c r="HQ21" i="16" s="1"/>
  <c r="HP56" i="16"/>
  <c r="HP12" i="16" s="1"/>
  <c r="HO56" i="16"/>
  <c r="HO12" i="16" s="1"/>
  <c r="HN56" i="16"/>
  <c r="HM56" i="16"/>
  <c r="HL56" i="16"/>
  <c r="HL12" i="16" s="1"/>
  <c r="HK56" i="16"/>
  <c r="HK12" i="16" s="1"/>
  <c r="HJ56" i="16"/>
  <c r="HI56" i="16"/>
  <c r="HI12" i="16" s="1"/>
  <c r="HI21" i="16" s="1"/>
  <c r="HH56" i="16"/>
  <c r="HH12" i="16" s="1"/>
  <c r="HG56" i="16"/>
  <c r="HG12" i="16" s="1"/>
  <c r="HF56" i="16"/>
  <c r="HE56" i="16"/>
  <c r="HD56" i="16"/>
  <c r="HD12" i="16" s="1"/>
  <c r="HC56" i="16"/>
  <c r="HC12" i="16" s="1"/>
  <c r="HB56" i="16"/>
  <c r="HA56" i="16"/>
  <c r="HA12" i="16" s="1"/>
  <c r="HA21" i="16" s="1"/>
  <c r="GZ56" i="16"/>
  <c r="GZ12" i="16" s="1"/>
  <c r="GY56" i="16"/>
  <c r="GY12" i="16" s="1"/>
  <c r="GX56" i="16"/>
  <c r="GW56" i="16"/>
  <c r="EE56" i="16"/>
  <c r="EE12" i="16" s="1"/>
  <c r="ED56" i="16"/>
  <c r="ED12" i="16" s="1"/>
  <c r="EC56" i="16"/>
  <c r="EB56" i="16"/>
  <c r="EA56" i="16"/>
  <c r="EA12" i="16" s="1"/>
  <c r="DZ56" i="16"/>
  <c r="DZ12" i="16" s="1"/>
  <c r="DY56" i="16"/>
  <c r="DX56" i="16"/>
  <c r="DW56" i="16"/>
  <c r="DW12" i="16" s="1"/>
  <c r="DV56" i="16"/>
  <c r="DV12" i="16" s="1"/>
  <c r="DU56" i="16"/>
  <c r="DT56" i="16"/>
  <c r="DT12" i="16" s="1"/>
  <c r="DT21" i="16" s="1"/>
  <c r="DT42" i="16" s="1"/>
  <c r="DS56" i="16"/>
  <c r="DS12" i="16" s="1"/>
  <c r="DR56" i="16"/>
  <c r="DR12" i="16" s="1"/>
  <c r="DQ56" i="16"/>
  <c r="DP56" i="16"/>
  <c r="DP12" i="16" s="1"/>
  <c r="DP21" i="16" s="1"/>
  <c r="DP42" i="16" s="1"/>
  <c r="DO56" i="16"/>
  <c r="DO12" i="16" s="1"/>
  <c r="DN56" i="16"/>
  <c r="DN12" i="16" s="1"/>
  <c r="DM56" i="16"/>
  <c r="DL56" i="16"/>
  <c r="DK56" i="16"/>
  <c r="DK12" i="16" s="1"/>
  <c r="DJ56" i="16"/>
  <c r="DJ12" i="16" s="1"/>
  <c r="DI56" i="16"/>
  <c r="DH56" i="16"/>
  <c r="DH12" i="16" s="1"/>
  <c r="DG56" i="16"/>
  <c r="DG12" i="16" s="1"/>
  <c r="DF56" i="16"/>
  <c r="DF12" i="16" s="1"/>
  <c r="DE56" i="16"/>
  <c r="DD56" i="16"/>
  <c r="DD12" i="16" s="1"/>
  <c r="DD21" i="16" s="1"/>
  <c r="DD42" i="16" s="1"/>
  <c r="DC56" i="16"/>
  <c r="DC12" i="16" s="1"/>
  <c r="DB56" i="16"/>
  <c r="DB12" i="16" s="1"/>
  <c r="DA56" i="16"/>
  <c r="CZ56" i="16"/>
  <c r="CY56" i="16"/>
  <c r="CY12" i="16" s="1"/>
  <c r="CX56" i="16"/>
  <c r="CX12" i="16" s="1"/>
  <c r="CW56" i="16"/>
  <c r="CV56" i="16"/>
  <c r="CU56" i="16"/>
  <c r="CU12" i="16" s="1"/>
  <c r="CT56" i="16"/>
  <c r="CT12" i="16" s="1"/>
  <c r="CS56" i="16"/>
  <c r="CR56" i="16"/>
  <c r="CQ56" i="16"/>
  <c r="CQ12" i="16" s="1"/>
  <c r="CP56" i="16"/>
  <c r="CP12" i="16" s="1"/>
  <c r="CO56" i="16"/>
  <c r="CN56" i="16"/>
  <c r="CN12" i="16" s="1"/>
  <c r="CN21" i="16" s="1"/>
  <c r="CN42" i="16" s="1"/>
  <c r="CM56" i="16"/>
  <c r="CM12" i="16" s="1"/>
  <c r="CL56" i="16"/>
  <c r="CL12" i="16" s="1"/>
  <c r="CK56" i="16"/>
  <c r="CJ56" i="16"/>
  <c r="CI56" i="16"/>
  <c r="CI12" i="16" s="1"/>
  <c r="CH56" i="16"/>
  <c r="CH12" i="16" s="1"/>
  <c r="CG56" i="16"/>
  <c r="CF56" i="16"/>
  <c r="CE56" i="16"/>
  <c r="CE12" i="16" s="1"/>
  <c r="CD56" i="16"/>
  <c r="CD12" i="16" s="1"/>
  <c r="CC56" i="16"/>
  <c r="CB56" i="16"/>
  <c r="CA56" i="16"/>
  <c r="CA12" i="16" s="1"/>
  <c r="BZ56" i="16"/>
  <c r="BZ12" i="16" s="1"/>
  <c r="BY56" i="16"/>
  <c r="BX56" i="16"/>
  <c r="BX12" i="16" s="1"/>
  <c r="BW56" i="16"/>
  <c r="BW12" i="16" s="1"/>
  <c r="BV56" i="16"/>
  <c r="BV12" i="16" s="1"/>
  <c r="BU56" i="16"/>
  <c r="BT56" i="16"/>
  <c r="BS56" i="16"/>
  <c r="BS12" i="16" s="1"/>
  <c r="BR56" i="16"/>
  <c r="BR12" i="16" s="1"/>
  <c r="BQ56" i="16"/>
  <c r="BP56" i="16"/>
  <c r="BO56" i="16"/>
  <c r="BO12" i="16" s="1"/>
  <c r="BN56" i="16"/>
  <c r="BN12" i="16" s="1"/>
  <c r="BM56" i="16"/>
  <c r="BL56" i="16"/>
  <c r="BK56" i="16"/>
  <c r="BK12" i="16" s="1"/>
  <c r="BJ56" i="16"/>
  <c r="BJ12" i="16" s="1"/>
  <c r="BI56" i="16"/>
  <c r="BH56" i="16"/>
  <c r="BG56" i="16"/>
  <c r="BG12" i="16" s="1"/>
  <c r="BF56" i="16"/>
  <c r="BF12" i="16" s="1"/>
  <c r="BE56" i="16"/>
  <c r="BD56" i="16"/>
  <c r="BC56" i="16"/>
  <c r="BC12" i="16" s="1"/>
  <c r="BB56" i="16"/>
  <c r="BB12" i="16" s="1"/>
  <c r="BA56" i="16"/>
  <c r="AZ56" i="16"/>
  <c r="AY56" i="16"/>
  <c r="AY12" i="16" s="1"/>
  <c r="AX56" i="16"/>
  <c r="AX12" i="16" s="1"/>
  <c r="AW56" i="16"/>
  <c r="AV56" i="16"/>
  <c r="AU56" i="16"/>
  <c r="AU12" i="16" s="1"/>
  <c r="AT56" i="16"/>
  <c r="AT12" i="16" s="1"/>
  <c r="AS56" i="16"/>
  <c r="AR56" i="16"/>
  <c r="AQ56" i="16"/>
  <c r="AQ12" i="16" s="1"/>
  <c r="AP56" i="16"/>
  <c r="AP12" i="16" s="1"/>
  <c r="AO56" i="16"/>
  <c r="AN56" i="16"/>
  <c r="AM56" i="16"/>
  <c r="AM12" i="16" s="1"/>
  <c r="AL56" i="16"/>
  <c r="AL12" i="16" s="1"/>
  <c r="AK56" i="16"/>
  <c r="AJ56" i="16"/>
  <c r="AI56" i="16"/>
  <c r="AI12" i="16" s="1"/>
  <c r="AH56" i="16"/>
  <c r="AH12" i="16" s="1"/>
  <c r="AG56" i="16"/>
  <c r="AF56" i="16"/>
  <c r="AE56" i="16"/>
  <c r="AE12" i="16" s="1"/>
  <c r="AD56" i="16"/>
  <c r="AD12" i="16" s="1"/>
  <c r="AC56" i="16"/>
  <c r="AB56" i="16"/>
  <c r="AA56" i="16"/>
  <c r="AA12" i="16" s="1"/>
  <c r="Z56" i="16"/>
  <c r="Z12" i="16" s="1"/>
  <c r="Y56" i="16"/>
  <c r="X56" i="16"/>
  <c r="W56" i="16"/>
  <c r="W12" i="16" s="1"/>
  <c r="V56" i="16"/>
  <c r="V12" i="16" s="1"/>
  <c r="U56" i="16"/>
  <c r="T56" i="16"/>
  <c r="S56" i="16"/>
  <c r="S12" i="16" s="1"/>
  <c r="R56" i="16"/>
  <c r="R12" i="16" s="1"/>
  <c r="Q56" i="16"/>
  <c r="P56" i="16"/>
  <c r="O56" i="16"/>
  <c r="O12" i="16" s="1"/>
  <c r="N56" i="16"/>
  <c r="N12" i="16" s="1"/>
  <c r="WS55" i="16"/>
  <c r="WR55" i="16"/>
  <c r="WQ55" i="16"/>
  <c r="WP55" i="16"/>
  <c r="WO55" i="16"/>
  <c r="WN55" i="16"/>
  <c r="WM55" i="16"/>
  <c r="WL55" i="16"/>
  <c r="WK55" i="16"/>
  <c r="WJ55" i="16"/>
  <c r="WI55" i="16"/>
  <c r="WH55" i="16"/>
  <c r="WG55" i="16"/>
  <c r="WF55" i="16"/>
  <c r="WE55" i="16"/>
  <c r="WD55" i="16"/>
  <c r="WC55" i="16"/>
  <c r="WB55" i="16"/>
  <c r="WA55" i="16"/>
  <c r="VZ55" i="16"/>
  <c r="VY55" i="16"/>
  <c r="VX55" i="16"/>
  <c r="VW55" i="16"/>
  <c r="VV55" i="16"/>
  <c r="VU55" i="16"/>
  <c r="VT55" i="16"/>
  <c r="VS55" i="16"/>
  <c r="VR55" i="16"/>
  <c r="VQ55" i="16"/>
  <c r="VP55" i="16"/>
  <c r="VO55" i="16"/>
  <c r="VN55" i="16"/>
  <c r="VM55" i="16"/>
  <c r="VL55" i="16"/>
  <c r="VK55" i="16"/>
  <c r="VJ55" i="16"/>
  <c r="VI55" i="16"/>
  <c r="VH55" i="16"/>
  <c r="VG55" i="16"/>
  <c r="VF55" i="16"/>
  <c r="VE55" i="16"/>
  <c r="VD55" i="16"/>
  <c r="VC55" i="16"/>
  <c r="VB55" i="16"/>
  <c r="VA55" i="16"/>
  <c r="UZ55" i="16"/>
  <c r="UY55" i="16"/>
  <c r="UX55" i="16"/>
  <c r="UW55" i="16"/>
  <c r="UV55" i="16"/>
  <c r="UU55" i="16"/>
  <c r="UT55" i="16"/>
  <c r="US55" i="16"/>
  <c r="UR55" i="16"/>
  <c r="UQ55" i="16"/>
  <c r="UP55" i="16"/>
  <c r="UO55" i="16"/>
  <c r="UN55" i="16"/>
  <c r="UM55" i="16"/>
  <c r="UL55" i="16"/>
  <c r="UK55" i="16"/>
  <c r="UJ55" i="16"/>
  <c r="UI55" i="16"/>
  <c r="UH55" i="16"/>
  <c r="UG55" i="16"/>
  <c r="UF55" i="16"/>
  <c r="UE55" i="16"/>
  <c r="UD55" i="16"/>
  <c r="UC55" i="16"/>
  <c r="UB55" i="16"/>
  <c r="UA55" i="16"/>
  <c r="TZ55" i="16"/>
  <c r="TY55" i="16"/>
  <c r="TX55" i="16"/>
  <c r="TW55" i="16"/>
  <c r="TV55" i="16"/>
  <c r="TU55" i="16"/>
  <c r="TT55" i="16"/>
  <c r="TS55" i="16"/>
  <c r="TR55" i="16"/>
  <c r="TQ55" i="16"/>
  <c r="TP55" i="16"/>
  <c r="TO55" i="16"/>
  <c r="TN55" i="16"/>
  <c r="TM55" i="16"/>
  <c r="TL55" i="16"/>
  <c r="TK55" i="16"/>
  <c r="TJ55" i="16"/>
  <c r="TI55" i="16"/>
  <c r="TH55" i="16"/>
  <c r="TG55" i="16"/>
  <c r="TF55" i="16"/>
  <c r="TE55" i="16"/>
  <c r="TD55" i="16"/>
  <c r="TC55" i="16"/>
  <c r="TB55" i="16"/>
  <c r="TA55" i="16"/>
  <c r="SZ55" i="16"/>
  <c r="SY55" i="16"/>
  <c r="SX55" i="16"/>
  <c r="SW55" i="16"/>
  <c r="SV55" i="16"/>
  <c r="SU55" i="16"/>
  <c r="ST55" i="16"/>
  <c r="SS55" i="16"/>
  <c r="SR55" i="16"/>
  <c r="SQ55" i="16"/>
  <c r="SP55" i="16"/>
  <c r="SO55" i="16"/>
  <c r="SN55" i="16"/>
  <c r="SM55" i="16"/>
  <c r="SL55" i="16"/>
  <c r="SK55" i="16"/>
  <c r="SJ55" i="16"/>
  <c r="SI55" i="16"/>
  <c r="SH55" i="16"/>
  <c r="SG55" i="16"/>
  <c r="SF55" i="16"/>
  <c r="SE55" i="16"/>
  <c r="SD55" i="16"/>
  <c r="SC55" i="16"/>
  <c r="SB55" i="16"/>
  <c r="RF55" i="16"/>
  <c r="RE55" i="16"/>
  <c r="RD55" i="16"/>
  <c r="RC55" i="16"/>
  <c r="RB55" i="16"/>
  <c r="RA55" i="16"/>
  <c r="QT55" i="16"/>
  <c r="QS55" i="16"/>
  <c r="QR55" i="16"/>
  <c r="QR9" i="16" s="1"/>
  <c r="QR15" i="16" s="1"/>
  <c r="QR27" i="16" s="1"/>
  <c r="QQ55" i="16"/>
  <c r="QP55" i="16"/>
  <c r="QO55" i="16"/>
  <c r="QN55" i="16"/>
  <c r="QN9" i="16" s="1"/>
  <c r="QN15" i="16" s="1"/>
  <c r="QN27" i="16" s="1"/>
  <c r="QM55" i="16"/>
  <c r="QL55" i="16"/>
  <c r="QK55" i="16"/>
  <c r="QJ55" i="16"/>
  <c r="QJ9" i="16" s="1"/>
  <c r="QJ15" i="16" s="1"/>
  <c r="QJ27" i="16" s="1"/>
  <c r="QI55" i="16"/>
  <c r="QH55" i="16"/>
  <c r="QG55" i="16"/>
  <c r="QF55" i="16"/>
  <c r="QE55" i="16"/>
  <c r="QD55" i="16"/>
  <c r="QC55" i="16"/>
  <c r="QB55" i="16"/>
  <c r="QB9" i="16" s="1"/>
  <c r="QB15" i="16" s="1"/>
  <c r="QB27" i="16" s="1"/>
  <c r="QA55" i="16"/>
  <c r="PZ55" i="16"/>
  <c r="PY55" i="16"/>
  <c r="PX55" i="16"/>
  <c r="PX9" i="16" s="1"/>
  <c r="PX15" i="16" s="1"/>
  <c r="PX27" i="16" s="1"/>
  <c r="PW55" i="16"/>
  <c r="PV55" i="16"/>
  <c r="PU55" i="16"/>
  <c r="PT55" i="16"/>
  <c r="PT9" i="16" s="1"/>
  <c r="PT15" i="16" s="1"/>
  <c r="PT27" i="16" s="1"/>
  <c r="PS55" i="16"/>
  <c r="PR55" i="16"/>
  <c r="PQ55" i="16"/>
  <c r="PP55" i="16"/>
  <c r="PO55" i="16"/>
  <c r="PN55" i="16"/>
  <c r="PM55" i="16"/>
  <c r="PL55" i="16"/>
  <c r="PL9" i="16" s="1"/>
  <c r="PL15" i="16" s="1"/>
  <c r="PL27" i="16" s="1"/>
  <c r="PK55" i="16"/>
  <c r="PJ55" i="16"/>
  <c r="PI55" i="16"/>
  <c r="PH55" i="16"/>
  <c r="PH9" i="16" s="1"/>
  <c r="PH15" i="16" s="1"/>
  <c r="PH27" i="16" s="1"/>
  <c r="PG55" i="16"/>
  <c r="PF55" i="16"/>
  <c r="PE55" i="16"/>
  <c r="PD55" i="16"/>
  <c r="PD9" i="16" s="1"/>
  <c r="PD15" i="16" s="1"/>
  <c r="PD27" i="16" s="1"/>
  <c r="PC55" i="16"/>
  <c r="PB55" i="16"/>
  <c r="PA55" i="16"/>
  <c r="OZ55" i="16"/>
  <c r="OY55" i="16"/>
  <c r="OX55" i="16"/>
  <c r="OW55" i="16"/>
  <c r="OV55" i="16"/>
  <c r="OV9" i="16" s="1"/>
  <c r="OV15" i="16" s="1"/>
  <c r="OV27" i="16" s="1"/>
  <c r="OU55" i="16"/>
  <c r="OT55" i="16"/>
  <c r="OS55" i="16"/>
  <c r="OR55" i="16"/>
  <c r="OR9" i="16" s="1"/>
  <c r="OQ55" i="16"/>
  <c r="OP55" i="16"/>
  <c r="OO55" i="16"/>
  <c r="ON55" i="16"/>
  <c r="ON9" i="16" s="1"/>
  <c r="ON15" i="16" s="1"/>
  <c r="ON27" i="16" s="1"/>
  <c r="OM55" i="16"/>
  <c r="OL55" i="16"/>
  <c r="OK55" i="16"/>
  <c r="OJ55" i="16"/>
  <c r="OI55" i="16"/>
  <c r="OH55" i="16"/>
  <c r="OG55" i="16"/>
  <c r="OF55" i="16"/>
  <c r="OF9" i="16" s="1"/>
  <c r="OF15" i="16" s="1"/>
  <c r="OF27" i="16" s="1"/>
  <c r="OE55" i="16"/>
  <c r="OD55" i="16"/>
  <c r="OC55" i="16"/>
  <c r="OB55" i="16"/>
  <c r="OB9" i="16" s="1"/>
  <c r="OB15" i="16" s="1"/>
  <c r="OB27" i="16" s="1"/>
  <c r="OA55" i="16"/>
  <c r="NZ55" i="16"/>
  <c r="NY55" i="16"/>
  <c r="NX55" i="16"/>
  <c r="NX9" i="16" s="1"/>
  <c r="NX15" i="16" s="1"/>
  <c r="NX27" i="16" s="1"/>
  <c r="NW55" i="16"/>
  <c r="NV55" i="16"/>
  <c r="NU55" i="16"/>
  <c r="NT55" i="16"/>
  <c r="NS55" i="16"/>
  <c r="NR55" i="16"/>
  <c r="NQ55" i="16"/>
  <c r="NP55" i="16"/>
  <c r="NP9" i="16" s="1"/>
  <c r="NP15" i="16" s="1"/>
  <c r="NP27" i="16" s="1"/>
  <c r="NO55" i="16"/>
  <c r="NN55" i="16"/>
  <c r="NM55" i="16"/>
  <c r="NL55" i="16"/>
  <c r="NL9" i="16" s="1"/>
  <c r="NL15" i="16" s="1"/>
  <c r="NL27" i="16" s="1"/>
  <c r="NK55" i="16"/>
  <c r="NJ55" i="16"/>
  <c r="NI55" i="16"/>
  <c r="NH55" i="16"/>
  <c r="NH9" i="16" s="1"/>
  <c r="NH15" i="16" s="1"/>
  <c r="NH27" i="16" s="1"/>
  <c r="NG55" i="16"/>
  <c r="NF55" i="16"/>
  <c r="NF9" i="16" s="1"/>
  <c r="NF15" i="16" s="1"/>
  <c r="NE55" i="16"/>
  <c r="ND55" i="16"/>
  <c r="NC55" i="16"/>
  <c r="NB55" i="16"/>
  <c r="NA55" i="16"/>
  <c r="MZ55" i="16"/>
  <c r="MZ9" i="16" s="1"/>
  <c r="MZ15" i="16" s="1"/>
  <c r="MY55" i="16"/>
  <c r="MX55" i="16"/>
  <c r="MW55" i="16"/>
  <c r="MV55" i="16"/>
  <c r="MV9" i="16" s="1"/>
  <c r="MV15" i="16" s="1"/>
  <c r="MU55" i="16"/>
  <c r="MT55" i="16"/>
  <c r="MS55" i="16"/>
  <c r="MR55" i="16"/>
  <c r="MR9" i="16" s="1"/>
  <c r="MR15" i="16" s="1"/>
  <c r="MQ55" i="16"/>
  <c r="MP55" i="16"/>
  <c r="MO55" i="16"/>
  <c r="MN55" i="16"/>
  <c r="MM55" i="16"/>
  <c r="ML55" i="16"/>
  <c r="MK55" i="16"/>
  <c r="MJ55" i="16"/>
  <c r="MJ9" i="16" s="1"/>
  <c r="MJ15" i="16" s="1"/>
  <c r="MJ27" i="16" s="1"/>
  <c r="MI55" i="16"/>
  <c r="MH55" i="16"/>
  <c r="MG55" i="16"/>
  <c r="MF55" i="16"/>
  <c r="MF9" i="16" s="1"/>
  <c r="MF15" i="16" s="1"/>
  <c r="MF27" i="16" s="1"/>
  <c r="ME55" i="16"/>
  <c r="MD55" i="16"/>
  <c r="MC55" i="16"/>
  <c r="MB55" i="16"/>
  <c r="MB9" i="16" s="1"/>
  <c r="MB15" i="16" s="1"/>
  <c r="MB27" i="16" s="1"/>
  <c r="MA55" i="16"/>
  <c r="LZ55" i="16"/>
  <c r="LY55" i="16"/>
  <c r="LX55" i="16"/>
  <c r="LW55" i="16"/>
  <c r="LV55" i="16"/>
  <c r="LU55" i="16"/>
  <c r="LT55" i="16"/>
  <c r="LT9" i="16" s="1"/>
  <c r="LT15" i="16" s="1"/>
  <c r="LT27" i="16" s="1"/>
  <c r="LS55" i="16"/>
  <c r="LR55" i="16"/>
  <c r="LQ55" i="16"/>
  <c r="LP55" i="16"/>
  <c r="LP9" i="16" s="1"/>
  <c r="LP15" i="16" s="1"/>
  <c r="LP27" i="16" s="1"/>
  <c r="LO55" i="16"/>
  <c r="LN55" i="16"/>
  <c r="LM55" i="16"/>
  <c r="LL55" i="16"/>
  <c r="LL9" i="16" s="1"/>
  <c r="LL15" i="16" s="1"/>
  <c r="LL27" i="16" s="1"/>
  <c r="LK55" i="16"/>
  <c r="LJ55" i="16"/>
  <c r="LI55" i="16"/>
  <c r="LH55" i="16"/>
  <c r="LG55" i="16"/>
  <c r="LF55" i="16"/>
  <c r="LE55" i="16"/>
  <c r="LD55" i="16"/>
  <c r="LD9" i="16" s="1"/>
  <c r="LD15" i="16" s="1"/>
  <c r="LD27" i="16" s="1"/>
  <c r="LC55" i="16"/>
  <c r="LB55" i="16"/>
  <c r="LA55" i="16"/>
  <c r="KZ55" i="16"/>
  <c r="KZ9" i="16" s="1"/>
  <c r="KZ15" i="16" s="1"/>
  <c r="KZ27" i="16" s="1"/>
  <c r="KY55" i="16"/>
  <c r="KX55" i="16"/>
  <c r="KW55" i="16"/>
  <c r="KV55" i="16"/>
  <c r="KV9" i="16" s="1"/>
  <c r="KV15" i="16" s="1"/>
  <c r="KV27" i="16" s="1"/>
  <c r="KU55" i="16"/>
  <c r="KT55" i="16"/>
  <c r="KT9" i="16" s="1"/>
  <c r="KT15" i="16" s="1"/>
  <c r="KS55" i="16"/>
  <c r="KR55" i="16"/>
  <c r="KR9" i="16" s="1"/>
  <c r="KR15" i="16" s="1"/>
  <c r="KR27" i="16" s="1"/>
  <c r="KQ55" i="16"/>
  <c r="KP55" i="16"/>
  <c r="KO55" i="16"/>
  <c r="KN55" i="16"/>
  <c r="KN9" i="16" s="1"/>
  <c r="KN15" i="16" s="1"/>
  <c r="KN27" i="16" s="1"/>
  <c r="KM55" i="16"/>
  <c r="KL55" i="16"/>
  <c r="KK55" i="16"/>
  <c r="KJ55" i="16"/>
  <c r="KJ9" i="16" s="1"/>
  <c r="KJ15" i="16" s="1"/>
  <c r="KJ27" i="16" s="1"/>
  <c r="KI55" i="16"/>
  <c r="KH55" i="16"/>
  <c r="KG55" i="16"/>
  <c r="KF55" i="16"/>
  <c r="KF9" i="16" s="1"/>
  <c r="KF15" i="16" s="1"/>
  <c r="KF27" i="16" s="1"/>
  <c r="KE55" i="16"/>
  <c r="KD55" i="16"/>
  <c r="KC55" i="16"/>
  <c r="KB55" i="16"/>
  <c r="KB9" i="16" s="1"/>
  <c r="KB15" i="16" s="1"/>
  <c r="KB27" i="16" s="1"/>
  <c r="KA55" i="16"/>
  <c r="JZ55" i="16"/>
  <c r="JY55" i="16"/>
  <c r="JX55" i="16"/>
  <c r="JW55" i="16"/>
  <c r="JV55" i="16"/>
  <c r="JU55" i="16"/>
  <c r="JT55" i="16"/>
  <c r="JT9" i="16" s="1"/>
  <c r="JT15" i="16" s="1"/>
  <c r="JT27" i="16" s="1"/>
  <c r="JS55" i="16"/>
  <c r="JR55" i="16"/>
  <c r="JQ55" i="16"/>
  <c r="JP55" i="16"/>
  <c r="JP9" i="16" s="1"/>
  <c r="JP15" i="16" s="1"/>
  <c r="JP27" i="16" s="1"/>
  <c r="JO55" i="16"/>
  <c r="JN55" i="16"/>
  <c r="JM55" i="16"/>
  <c r="JL55" i="16"/>
  <c r="JL9" i="16" s="1"/>
  <c r="JL15" i="16" s="1"/>
  <c r="JL27" i="16" s="1"/>
  <c r="JK55" i="16"/>
  <c r="JJ55" i="16"/>
  <c r="JI55" i="16"/>
  <c r="JH55" i="16"/>
  <c r="JH9" i="16" s="1"/>
  <c r="JH15" i="16" s="1"/>
  <c r="JH27" i="16" s="1"/>
  <c r="JG55" i="16"/>
  <c r="JF55" i="16"/>
  <c r="JE55" i="16"/>
  <c r="JD55" i="16"/>
  <c r="JC55" i="16"/>
  <c r="JB55" i="16"/>
  <c r="JA55" i="16"/>
  <c r="IZ55" i="16"/>
  <c r="IZ9" i="16" s="1"/>
  <c r="IZ15" i="16" s="1"/>
  <c r="IZ27" i="16" s="1"/>
  <c r="IY55" i="16"/>
  <c r="IX55" i="16"/>
  <c r="IW55" i="16"/>
  <c r="IV55" i="16"/>
  <c r="IV9" i="16" s="1"/>
  <c r="IV15" i="16" s="1"/>
  <c r="IV27" i="16" s="1"/>
  <c r="IU55" i="16"/>
  <c r="IT55" i="16"/>
  <c r="IS55" i="16"/>
  <c r="IR55" i="16"/>
  <c r="IR9" i="16" s="1"/>
  <c r="IR15" i="16" s="1"/>
  <c r="IR27" i="16" s="1"/>
  <c r="IQ55" i="16"/>
  <c r="IP55" i="16"/>
  <c r="IO55" i="16"/>
  <c r="IN55" i="16"/>
  <c r="IM55" i="16"/>
  <c r="IL55" i="16"/>
  <c r="IK55" i="16"/>
  <c r="IJ55" i="16"/>
  <c r="IJ9" i="16" s="1"/>
  <c r="IJ15" i="16" s="1"/>
  <c r="IJ27" i="16" s="1"/>
  <c r="II55" i="16"/>
  <c r="IH55" i="16"/>
  <c r="IG55" i="16"/>
  <c r="IF55" i="16"/>
  <c r="IF9" i="16" s="1"/>
  <c r="IF15" i="16" s="1"/>
  <c r="IF27" i="16" s="1"/>
  <c r="IE55" i="16"/>
  <c r="ID55" i="16"/>
  <c r="IC55" i="16"/>
  <c r="IB55" i="16"/>
  <c r="IB9" i="16" s="1"/>
  <c r="IB15" i="16" s="1"/>
  <c r="IB27" i="16" s="1"/>
  <c r="IA55" i="16"/>
  <c r="HZ55" i="16"/>
  <c r="HY55" i="16"/>
  <c r="HX55" i="16"/>
  <c r="HX9" i="16" s="1"/>
  <c r="HX15" i="16" s="1"/>
  <c r="HX27" i="16" s="1"/>
  <c r="HW55" i="16"/>
  <c r="HV55" i="16"/>
  <c r="HU55" i="16"/>
  <c r="HT55" i="16"/>
  <c r="HT9" i="16" s="1"/>
  <c r="HT15" i="16" s="1"/>
  <c r="HT27" i="16" s="1"/>
  <c r="HS55" i="16"/>
  <c r="HR55" i="16"/>
  <c r="HR9" i="16" s="1"/>
  <c r="HR15" i="16" s="1"/>
  <c r="HQ55" i="16"/>
  <c r="HP55" i="16"/>
  <c r="HP9" i="16" s="1"/>
  <c r="HP15" i="16" s="1"/>
  <c r="HP27" i="16" s="1"/>
  <c r="HO55" i="16"/>
  <c r="HN55" i="16"/>
  <c r="HM55" i="16"/>
  <c r="HL55" i="16"/>
  <c r="HL9" i="16" s="1"/>
  <c r="HL15" i="16" s="1"/>
  <c r="HL27" i="16" s="1"/>
  <c r="HK55" i="16"/>
  <c r="HJ55" i="16"/>
  <c r="HI55" i="16"/>
  <c r="HH55" i="16"/>
  <c r="HH9" i="16" s="1"/>
  <c r="HH15" i="16" s="1"/>
  <c r="HH27" i="16" s="1"/>
  <c r="HG55" i="16"/>
  <c r="HF55" i="16"/>
  <c r="HE55" i="16"/>
  <c r="HD55" i="16"/>
  <c r="HD9" i="16" s="1"/>
  <c r="HD15" i="16" s="1"/>
  <c r="HD27" i="16" s="1"/>
  <c r="HC55" i="16"/>
  <c r="HB55" i="16"/>
  <c r="HA55" i="16"/>
  <c r="GZ55" i="16"/>
  <c r="GZ9" i="16" s="1"/>
  <c r="GY55" i="16"/>
  <c r="GX55" i="16"/>
  <c r="GW55" i="16"/>
  <c r="GV55" i="16"/>
  <c r="GV9" i="16" s="1"/>
  <c r="GV15" i="16" s="1"/>
  <c r="GV27" i="16" s="1"/>
  <c r="GU55" i="16"/>
  <c r="GT55" i="16"/>
  <c r="GS55" i="16"/>
  <c r="GR55" i="16"/>
  <c r="GR9" i="16" s="1"/>
  <c r="GR15" i="16" s="1"/>
  <c r="GR27" i="16" s="1"/>
  <c r="GQ55" i="16"/>
  <c r="GP55" i="16"/>
  <c r="GO55" i="16"/>
  <c r="GN55" i="16"/>
  <c r="GM55" i="16"/>
  <c r="GL55" i="16"/>
  <c r="GK55" i="16"/>
  <c r="GJ55" i="16"/>
  <c r="GJ9" i="16" s="1"/>
  <c r="GJ15" i="16" s="1"/>
  <c r="GJ27" i="16" s="1"/>
  <c r="GI55" i="16"/>
  <c r="GH55" i="16"/>
  <c r="GG55" i="16"/>
  <c r="GF55" i="16"/>
  <c r="GF9" i="16" s="1"/>
  <c r="GF15" i="16" s="1"/>
  <c r="GF27" i="16" s="1"/>
  <c r="GE55" i="16"/>
  <c r="GD55" i="16"/>
  <c r="GC55" i="16"/>
  <c r="GB55" i="16"/>
  <c r="GB9" i="16" s="1"/>
  <c r="GB15" i="16" s="1"/>
  <c r="GB27" i="16" s="1"/>
  <c r="GA55" i="16"/>
  <c r="FZ55" i="16"/>
  <c r="FY55" i="16"/>
  <c r="FX55" i="16"/>
  <c r="FW55" i="16"/>
  <c r="FV55" i="16"/>
  <c r="FU55" i="16"/>
  <c r="FT55" i="16"/>
  <c r="FT9" i="16" s="1"/>
  <c r="FT15" i="16" s="1"/>
  <c r="FT27" i="16" s="1"/>
  <c r="FS55" i="16"/>
  <c r="FR55" i="16"/>
  <c r="FQ55" i="16"/>
  <c r="FP55" i="16"/>
  <c r="FP9" i="16" s="1"/>
  <c r="FP15" i="16" s="1"/>
  <c r="FP27" i="16" s="1"/>
  <c r="FO55" i="16"/>
  <c r="FN55" i="16"/>
  <c r="FM55" i="16"/>
  <c r="FL55" i="16"/>
  <c r="FL9" i="16" s="1"/>
  <c r="FL15" i="16" s="1"/>
  <c r="FL27" i="16" s="1"/>
  <c r="FK55" i="16"/>
  <c r="FJ55" i="16"/>
  <c r="FI55" i="16"/>
  <c r="FH55" i="16"/>
  <c r="FG55" i="16"/>
  <c r="FF55" i="16"/>
  <c r="FE55" i="16"/>
  <c r="FD55" i="16"/>
  <c r="FD9" i="16" s="1"/>
  <c r="FD15" i="16" s="1"/>
  <c r="FD27" i="16" s="1"/>
  <c r="FC55" i="16"/>
  <c r="FB55" i="16"/>
  <c r="FA55" i="16"/>
  <c r="EZ55" i="16"/>
  <c r="EZ9" i="16" s="1"/>
  <c r="EZ15" i="16" s="1"/>
  <c r="EZ27" i="16" s="1"/>
  <c r="EY55" i="16"/>
  <c r="EX55" i="16"/>
  <c r="EW55" i="16"/>
  <c r="EV55" i="16"/>
  <c r="EV9" i="16" s="1"/>
  <c r="EV15" i="16" s="1"/>
  <c r="EV27" i="16" s="1"/>
  <c r="EU55" i="16"/>
  <c r="ET55" i="16"/>
  <c r="ES55" i="16"/>
  <c r="ER55" i="16"/>
  <c r="EQ55" i="16"/>
  <c r="EP55" i="16"/>
  <c r="EO55" i="16"/>
  <c r="EN55" i="16"/>
  <c r="EN9" i="16" s="1"/>
  <c r="EN15" i="16" s="1"/>
  <c r="EN27" i="16" s="1"/>
  <c r="EM55" i="16"/>
  <c r="EL55" i="16"/>
  <c r="EK55" i="16"/>
  <c r="EJ55" i="16"/>
  <c r="EJ9" i="16" s="1"/>
  <c r="EJ15" i="16" s="1"/>
  <c r="EJ27" i="16" s="1"/>
  <c r="EI55" i="16"/>
  <c r="EH55" i="16"/>
  <c r="EG55" i="16"/>
  <c r="EF55" i="16"/>
  <c r="EF9" i="16" s="1"/>
  <c r="EF15" i="16" s="1"/>
  <c r="EF27" i="16" s="1"/>
  <c r="CI55" i="16"/>
  <c r="CH55" i="16"/>
  <c r="CG55" i="16"/>
  <c r="CF55" i="16"/>
  <c r="CF9" i="16" s="1"/>
  <c r="CF15" i="16" s="1"/>
  <c r="CF27" i="16" s="1"/>
  <c r="CE55" i="16"/>
  <c r="CD55" i="16"/>
  <c r="CD9" i="16" s="1"/>
  <c r="CC55" i="16"/>
  <c r="CB55" i="16"/>
  <c r="CB9" i="16" s="1"/>
  <c r="CB15" i="16" s="1"/>
  <c r="CB27" i="16" s="1"/>
  <c r="CA55" i="16"/>
  <c r="BZ55" i="16"/>
  <c r="BY55" i="16"/>
  <c r="BX55" i="16"/>
  <c r="BX9" i="16" s="1"/>
  <c r="BX15" i="16" s="1"/>
  <c r="BX27" i="16" s="1"/>
  <c r="BW55" i="16"/>
  <c r="BV55" i="16"/>
  <c r="BU55" i="16"/>
  <c r="BT55" i="16"/>
  <c r="BT9" i="16" s="1"/>
  <c r="BT15" i="16" s="1"/>
  <c r="BT27" i="16" s="1"/>
  <c r="BS55" i="16"/>
  <c r="BR55" i="16"/>
  <c r="BQ55" i="16"/>
  <c r="BP55" i="16"/>
  <c r="BP9" i="16" s="1"/>
  <c r="BP15" i="16" s="1"/>
  <c r="BP27" i="16" s="1"/>
  <c r="BO55" i="16"/>
  <c r="BN55" i="16"/>
  <c r="BM55" i="16"/>
  <c r="BL55" i="16"/>
  <c r="BL9" i="16" s="1"/>
  <c r="BL15" i="16" s="1"/>
  <c r="BL27" i="16" s="1"/>
  <c r="BK55" i="16"/>
  <c r="BJ55" i="16"/>
  <c r="BI55" i="16"/>
  <c r="BH55" i="16"/>
  <c r="BH9" i="16" s="1"/>
  <c r="BH15" i="16" s="1"/>
  <c r="BH27" i="16" s="1"/>
  <c r="BG55" i="16"/>
  <c r="BF55" i="16"/>
  <c r="BE55" i="16"/>
  <c r="BD55" i="16"/>
  <c r="BD9" i="16" s="1"/>
  <c r="BD15" i="16" s="1"/>
  <c r="BD27" i="16" s="1"/>
  <c r="BC55" i="16"/>
  <c r="BB55" i="16"/>
  <c r="BA55" i="16"/>
  <c r="AZ55" i="16"/>
  <c r="AZ9" i="16" s="1"/>
  <c r="AZ15" i="16" s="1"/>
  <c r="AZ27" i="16" s="1"/>
  <c r="AY55" i="16"/>
  <c r="AX55" i="16"/>
  <c r="AW55" i="16"/>
  <c r="AV55" i="16"/>
  <c r="AV9" i="16" s="1"/>
  <c r="AV15" i="16" s="1"/>
  <c r="AV27" i="16" s="1"/>
  <c r="AU55" i="16"/>
  <c r="AT55" i="16"/>
  <c r="AS55" i="16"/>
  <c r="AR55" i="16"/>
  <c r="AR9" i="16" s="1"/>
  <c r="AR15" i="16" s="1"/>
  <c r="AR27" i="16" s="1"/>
  <c r="AQ55" i="16"/>
  <c r="AP55" i="16"/>
  <c r="AO55" i="16"/>
  <c r="AN55" i="16"/>
  <c r="AN9" i="16" s="1"/>
  <c r="AN15" i="16" s="1"/>
  <c r="AN27" i="16" s="1"/>
  <c r="AM55" i="16"/>
  <c r="AL55" i="16"/>
  <c r="AK55" i="16"/>
  <c r="AJ55" i="16"/>
  <c r="AJ9" i="16" s="1"/>
  <c r="AJ15" i="16" s="1"/>
  <c r="AJ27" i="16" s="1"/>
  <c r="AI55" i="16"/>
  <c r="AH55" i="16"/>
  <c r="AG55" i="16"/>
  <c r="AF55" i="16"/>
  <c r="AF9" i="16" s="1"/>
  <c r="AF15" i="16" s="1"/>
  <c r="AF27" i="16" s="1"/>
  <c r="AE55" i="16"/>
  <c r="AD55" i="16"/>
  <c r="AC55" i="16"/>
  <c r="AB55" i="16"/>
  <c r="AB9" i="16" s="1"/>
  <c r="AB15" i="16" s="1"/>
  <c r="AB27" i="16" s="1"/>
  <c r="AA55" i="16"/>
  <c r="Z55" i="16"/>
  <c r="Y55" i="16"/>
  <c r="X55" i="16"/>
  <c r="X9" i="16" s="1"/>
  <c r="X15" i="16" s="1"/>
  <c r="X27" i="16" s="1"/>
  <c r="W55" i="16"/>
  <c r="V55" i="16"/>
  <c r="U55" i="16"/>
  <c r="T55" i="16"/>
  <c r="T9" i="16" s="1"/>
  <c r="T15" i="16" s="1"/>
  <c r="T27" i="16" s="1"/>
  <c r="S55" i="16"/>
  <c r="R55" i="16"/>
  <c r="R9" i="16" s="1"/>
  <c r="Q55" i="16"/>
  <c r="P55" i="16"/>
  <c r="P9" i="16" s="1"/>
  <c r="P15" i="16" s="1"/>
  <c r="P27" i="16" s="1"/>
  <c r="O55" i="16"/>
  <c r="N55" i="16"/>
  <c r="PY15" i="16"/>
  <c r="PY27" i="16" s="1"/>
  <c r="PR9" i="16"/>
  <c r="PR15" i="16" s="1"/>
  <c r="QO54" i="16"/>
  <c r="QO6" i="16" s="1"/>
  <c r="QR54" i="16"/>
  <c r="TS54" i="16"/>
  <c r="WS54" i="16"/>
  <c r="WS6" i="16" s="1"/>
  <c r="WS9" i="16" s="1"/>
  <c r="WS15" i="16" s="1"/>
  <c r="WS27" i="16" s="1"/>
  <c r="WR54" i="16"/>
  <c r="WR6" i="16" s="1"/>
  <c r="WQ54" i="16"/>
  <c r="WP54" i="16"/>
  <c r="WO54" i="16"/>
  <c r="WO6" i="16" s="1"/>
  <c r="WO9" i="16" s="1"/>
  <c r="WO15" i="16" s="1"/>
  <c r="WO27" i="16" s="1"/>
  <c r="WN54" i="16"/>
  <c r="WN6" i="16" s="1"/>
  <c r="WM54" i="16"/>
  <c r="WL54" i="16"/>
  <c r="WK54" i="16"/>
  <c r="WK6" i="16" s="1"/>
  <c r="WK9" i="16" s="1"/>
  <c r="WK15" i="16" s="1"/>
  <c r="WK27" i="16" s="1"/>
  <c r="WJ54" i="16"/>
  <c r="WJ6" i="16" s="1"/>
  <c r="WI54" i="16"/>
  <c r="WH54" i="16"/>
  <c r="WG54" i="16"/>
  <c r="WG6" i="16" s="1"/>
  <c r="WG9" i="16" s="1"/>
  <c r="WG15" i="16" s="1"/>
  <c r="WG27" i="16" s="1"/>
  <c r="WF54" i="16"/>
  <c r="WF6" i="16" s="1"/>
  <c r="WE54" i="16"/>
  <c r="WD54" i="16"/>
  <c r="WC54" i="16"/>
  <c r="WC6" i="16" s="1"/>
  <c r="WC9" i="16" s="1"/>
  <c r="WC15" i="16" s="1"/>
  <c r="WC27" i="16" s="1"/>
  <c r="WB54" i="16"/>
  <c r="WB6" i="16" s="1"/>
  <c r="WA54" i="16"/>
  <c r="VZ54" i="16"/>
  <c r="VY54" i="16"/>
  <c r="VY6" i="16" s="1"/>
  <c r="VY9" i="16" s="1"/>
  <c r="VY15" i="16" s="1"/>
  <c r="VY27" i="16" s="1"/>
  <c r="VX54" i="16"/>
  <c r="VX6" i="16" s="1"/>
  <c r="VW54" i="16"/>
  <c r="VV54" i="16"/>
  <c r="VU54" i="16"/>
  <c r="VU6" i="16" s="1"/>
  <c r="VU9" i="16" s="1"/>
  <c r="VU15" i="16" s="1"/>
  <c r="VU27" i="16" s="1"/>
  <c r="VT54" i="16"/>
  <c r="VT6" i="16" s="1"/>
  <c r="VS54" i="16"/>
  <c r="VR54" i="16"/>
  <c r="VQ54" i="16"/>
  <c r="VQ6" i="16" s="1"/>
  <c r="VQ9" i="16" s="1"/>
  <c r="VQ15" i="16" s="1"/>
  <c r="VQ27" i="16" s="1"/>
  <c r="VP54" i="16"/>
  <c r="VP6" i="16" s="1"/>
  <c r="VO54" i="16"/>
  <c r="VN54" i="16"/>
  <c r="VM54" i="16"/>
  <c r="VM6" i="16" s="1"/>
  <c r="VM9" i="16" s="1"/>
  <c r="VM15" i="16" s="1"/>
  <c r="VM27" i="16" s="1"/>
  <c r="VL54" i="16"/>
  <c r="VL6" i="16" s="1"/>
  <c r="VK54" i="16"/>
  <c r="VJ54" i="16"/>
  <c r="VI54" i="16"/>
  <c r="VI6" i="16" s="1"/>
  <c r="VI9" i="16" s="1"/>
  <c r="VI15" i="16" s="1"/>
  <c r="VI27" i="16" s="1"/>
  <c r="VH54" i="16"/>
  <c r="VH6" i="16" s="1"/>
  <c r="VG54" i="16"/>
  <c r="VF54" i="16"/>
  <c r="VE54" i="16"/>
  <c r="VE6" i="16" s="1"/>
  <c r="VE9" i="16" s="1"/>
  <c r="VE15" i="16" s="1"/>
  <c r="VE27" i="16" s="1"/>
  <c r="VD54" i="16"/>
  <c r="VD6" i="16" s="1"/>
  <c r="VC54" i="16"/>
  <c r="VB54" i="16"/>
  <c r="VA54" i="16"/>
  <c r="VA6" i="16" s="1"/>
  <c r="VA9" i="16" s="1"/>
  <c r="VA15" i="16" s="1"/>
  <c r="VA27" i="16" s="1"/>
  <c r="UZ54" i="16"/>
  <c r="UZ6" i="16" s="1"/>
  <c r="UY54" i="16"/>
  <c r="UX54" i="16"/>
  <c r="UW54" i="16"/>
  <c r="UW6" i="16" s="1"/>
  <c r="UW9" i="16" s="1"/>
  <c r="UW15" i="16" s="1"/>
  <c r="UW27" i="16" s="1"/>
  <c r="UV54" i="16"/>
  <c r="UV6" i="16" s="1"/>
  <c r="UU54" i="16"/>
  <c r="UT54" i="16"/>
  <c r="US54" i="16"/>
  <c r="US6" i="16" s="1"/>
  <c r="US9" i="16" s="1"/>
  <c r="US15" i="16" s="1"/>
  <c r="US27" i="16" s="1"/>
  <c r="UR54" i="16"/>
  <c r="UR6" i="16" s="1"/>
  <c r="UQ54" i="16"/>
  <c r="UP54" i="16"/>
  <c r="UO54" i="16"/>
  <c r="UO6" i="16" s="1"/>
  <c r="UO9" i="16" s="1"/>
  <c r="UO15" i="16" s="1"/>
  <c r="UO27" i="16" s="1"/>
  <c r="UN54" i="16"/>
  <c r="UN6" i="16" s="1"/>
  <c r="UM54" i="16"/>
  <c r="UL54" i="16"/>
  <c r="UK54" i="16"/>
  <c r="UK6" i="16" s="1"/>
  <c r="UK9" i="16" s="1"/>
  <c r="UK15" i="16" s="1"/>
  <c r="UK27" i="16" s="1"/>
  <c r="UJ54" i="16"/>
  <c r="UJ6" i="16" s="1"/>
  <c r="UI54" i="16"/>
  <c r="UH54" i="16"/>
  <c r="UG54" i="16"/>
  <c r="UG6" i="16" s="1"/>
  <c r="UG9" i="16" s="1"/>
  <c r="UG15" i="16" s="1"/>
  <c r="UG27" i="16" s="1"/>
  <c r="UF54" i="16"/>
  <c r="UF6" i="16" s="1"/>
  <c r="UE54" i="16"/>
  <c r="UD54" i="16"/>
  <c r="UC54" i="16"/>
  <c r="UC6" i="16" s="1"/>
  <c r="UC9" i="16" s="1"/>
  <c r="UC15" i="16" s="1"/>
  <c r="UC27" i="16" s="1"/>
  <c r="UB54" i="16"/>
  <c r="UB6" i="16" s="1"/>
  <c r="UA54" i="16"/>
  <c r="TZ54" i="16"/>
  <c r="TY54" i="16"/>
  <c r="TY6" i="16" s="1"/>
  <c r="TY9" i="16" s="1"/>
  <c r="TY15" i="16" s="1"/>
  <c r="TY27" i="16" s="1"/>
  <c r="TX54" i="16"/>
  <c r="TX6" i="16" s="1"/>
  <c r="TW54" i="16"/>
  <c r="TV54" i="16"/>
  <c r="TU54" i="16"/>
  <c r="TU6" i="16" s="1"/>
  <c r="TU9" i="16" s="1"/>
  <c r="TU15" i="16" s="1"/>
  <c r="TU27" i="16" s="1"/>
  <c r="TT54" i="16"/>
  <c r="TT6" i="16" s="1"/>
  <c r="TR54" i="16"/>
  <c r="TQ54" i="16"/>
  <c r="TP54" i="16"/>
  <c r="TP6" i="16" s="1"/>
  <c r="TO54" i="16"/>
  <c r="TO6" i="16" s="1"/>
  <c r="TN54" i="16"/>
  <c r="TM54" i="16"/>
  <c r="TL54" i="16"/>
  <c r="TL6" i="16" s="1"/>
  <c r="TK54" i="16"/>
  <c r="TK6" i="16" s="1"/>
  <c r="TJ54" i="16"/>
  <c r="TI54" i="16"/>
  <c r="TH54" i="16"/>
  <c r="TH6" i="16" s="1"/>
  <c r="TG54" i="16"/>
  <c r="TG6" i="16" s="1"/>
  <c r="TF54" i="16"/>
  <c r="TE54" i="16"/>
  <c r="TD54" i="16"/>
  <c r="TD6" i="16" s="1"/>
  <c r="TC54" i="16"/>
  <c r="TC6" i="16" s="1"/>
  <c r="TB54" i="16"/>
  <c r="TA54" i="16"/>
  <c r="SZ54" i="16"/>
  <c r="SZ6" i="16" s="1"/>
  <c r="SY54" i="16"/>
  <c r="SY6" i="16" s="1"/>
  <c r="SX54" i="16"/>
  <c r="SW54" i="16"/>
  <c r="SV54" i="16"/>
  <c r="SV6" i="16" s="1"/>
  <c r="SU54" i="16"/>
  <c r="SU6" i="16" s="1"/>
  <c r="ST54" i="16"/>
  <c r="SS54" i="16"/>
  <c r="SR54" i="16"/>
  <c r="SR6" i="16" s="1"/>
  <c r="SQ54" i="16"/>
  <c r="SQ6" i="16" s="1"/>
  <c r="SP54" i="16"/>
  <c r="SO54" i="16"/>
  <c r="SN54" i="16"/>
  <c r="SN6" i="16" s="1"/>
  <c r="SM54" i="16"/>
  <c r="SM6" i="16" s="1"/>
  <c r="SL54" i="16"/>
  <c r="SK54" i="16"/>
  <c r="SJ54" i="16"/>
  <c r="SJ6" i="16" s="1"/>
  <c r="SI54" i="16"/>
  <c r="SI6" i="16" s="1"/>
  <c r="SH54" i="16"/>
  <c r="SG54" i="16"/>
  <c r="SF54" i="16"/>
  <c r="SF6" i="16" s="1"/>
  <c r="SE54" i="16"/>
  <c r="SE6" i="16" s="1"/>
  <c r="SD54" i="16"/>
  <c r="SC54" i="16"/>
  <c r="SB54" i="16"/>
  <c r="SB6" i="16" s="1"/>
  <c r="RF54" i="16"/>
  <c r="RF6" i="16" s="1"/>
  <c r="RE54" i="16"/>
  <c r="RD54" i="16"/>
  <c r="RC54" i="16"/>
  <c r="RC6" i="16" s="1"/>
  <c r="RB54" i="16"/>
  <c r="RB6" i="16" s="1"/>
  <c r="RA54" i="16"/>
  <c r="QT54" i="16"/>
  <c r="QS54" i="16"/>
  <c r="QS6" i="16" s="1"/>
  <c r="QS9" i="16" s="1"/>
  <c r="QS15" i="16" s="1"/>
  <c r="QS27" i="16" s="1"/>
  <c r="QQ54" i="16"/>
  <c r="QQ6" i="16" s="1"/>
  <c r="QP54" i="16"/>
  <c r="QN54" i="16"/>
  <c r="QM54" i="16"/>
  <c r="QM6" i="16" s="1"/>
  <c r="QL54" i="16"/>
  <c r="QL6" i="16" s="1"/>
  <c r="QL9" i="16" s="1"/>
  <c r="QL15" i="16" s="1"/>
  <c r="QL27" i="16" s="1"/>
  <c r="QK54" i="16"/>
  <c r="QK6" i="16" s="1"/>
  <c r="QJ54" i="16"/>
  <c r="QI54" i="16"/>
  <c r="QI6" i="16" s="1"/>
  <c r="QH54" i="16"/>
  <c r="QH6" i="16" s="1"/>
  <c r="QH9" i="16" s="1"/>
  <c r="QH15" i="16" s="1"/>
  <c r="QH27" i="16" s="1"/>
  <c r="QG54" i="16"/>
  <c r="QG6" i="16" s="1"/>
  <c r="QF54" i="16"/>
  <c r="QE54" i="16"/>
  <c r="QE6" i="16" s="1"/>
  <c r="QD54" i="16"/>
  <c r="QD6" i="16" s="1"/>
  <c r="QD9" i="16" s="1"/>
  <c r="QD15" i="16" s="1"/>
  <c r="QD27" i="16" s="1"/>
  <c r="QC54" i="16"/>
  <c r="QC6" i="16" s="1"/>
  <c r="QB54" i="16"/>
  <c r="QA54" i="16"/>
  <c r="QA6" i="16" s="1"/>
  <c r="PZ54" i="16"/>
  <c r="PZ6" i="16" s="1"/>
  <c r="PZ9" i="16" s="1"/>
  <c r="PZ15" i="16" s="1"/>
  <c r="PZ27" i="16" s="1"/>
  <c r="PY54" i="16"/>
  <c r="PY6" i="16" s="1"/>
  <c r="PX54" i="16"/>
  <c r="PW54" i="16"/>
  <c r="PW6" i="16" s="1"/>
  <c r="PV54" i="16"/>
  <c r="PV6" i="16" s="1"/>
  <c r="PV9" i="16" s="1"/>
  <c r="PV15" i="16" s="1"/>
  <c r="PV27" i="16" s="1"/>
  <c r="PU54" i="16"/>
  <c r="PU6" i="16" s="1"/>
  <c r="PT54" i="16"/>
  <c r="PS54" i="16"/>
  <c r="PS6" i="16" s="1"/>
  <c r="PR54" i="16"/>
  <c r="PR6" i="16" s="1"/>
  <c r="PQ54" i="16"/>
  <c r="PQ6" i="16" s="1"/>
  <c r="PP54" i="16"/>
  <c r="PO54" i="16"/>
  <c r="PO6" i="16" s="1"/>
  <c r="PN54" i="16"/>
  <c r="PN6" i="16" s="1"/>
  <c r="PN9" i="16" s="1"/>
  <c r="PN15" i="16" s="1"/>
  <c r="PN27" i="16" s="1"/>
  <c r="PM54" i="16"/>
  <c r="PM6" i="16" s="1"/>
  <c r="PL54" i="16"/>
  <c r="PK54" i="16"/>
  <c r="PK6" i="16" s="1"/>
  <c r="PJ54" i="16"/>
  <c r="PJ6" i="16" s="1"/>
  <c r="PJ9" i="16" s="1"/>
  <c r="PJ15" i="16" s="1"/>
  <c r="PJ27" i="16" s="1"/>
  <c r="PI54" i="16"/>
  <c r="PI6" i="16" s="1"/>
  <c r="PH54" i="16"/>
  <c r="PG54" i="16"/>
  <c r="PG6" i="16" s="1"/>
  <c r="PF54" i="16"/>
  <c r="PF6" i="16" s="1"/>
  <c r="PF9" i="16" s="1"/>
  <c r="PF15" i="16" s="1"/>
  <c r="PF27" i="16" s="1"/>
  <c r="PE54" i="16"/>
  <c r="PE6" i="16" s="1"/>
  <c r="PD54" i="16"/>
  <c r="PC54" i="16"/>
  <c r="PC6" i="16" s="1"/>
  <c r="PB54" i="16"/>
  <c r="PB6" i="16" s="1"/>
  <c r="PB9" i="16" s="1"/>
  <c r="PB15" i="16" s="1"/>
  <c r="PB27" i="16" s="1"/>
  <c r="PA54" i="16"/>
  <c r="PA6" i="16" s="1"/>
  <c r="OZ54" i="16"/>
  <c r="OY54" i="16"/>
  <c r="OY6" i="16" s="1"/>
  <c r="OX54" i="16"/>
  <c r="OX6" i="16" s="1"/>
  <c r="OX9" i="16" s="1"/>
  <c r="OX15" i="16" s="1"/>
  <c r="OX27" i="16" s="1"/>
  <c r="OW54" i="16"/>
  <c r="OW6" i="16" s="1"/>
  <c r="OV54" i="16"/>
  <c r="OU54" i="16"/>
  <c r="OU6" i="16" s="1"/>
  <c r="OT54" i="16"/>
  <c r="OT6" i="16" s="1"/>
  <c r="OT9" i="16" s="1"/>
  <c r="OT15" i="16" s="1"/>
  <c r="OT27" i="16" s="1"/>
  <c r="OS54" i="16"/>
  <c r="OS6" i="16" s="1"/>
  <c r="OR54" i="16"/>
  <c r="OQ54" i="16"/>
  <c r="OQ6" i="16" s="1"/>
  <c r="OP54" i="16"/>
  <c r="OP6" i="16" s="1"/>
  <c r="OP9" i="16" s="1"/>
  <c r="OP15" i="16" s="1"/>
  <c r="OP27" i="16" s="1"/>
  <c r="OO54" i="16"/>
  <c r="OO6" i="16" s="1"/>
  <c r="ON54" i="16"/>
  <c r="OM54" i="16"/>
  <c r="OM6" i="16" s="1"/>
  <c r="OL54" i="16"/>
  <c r="OL6" i="16" s="1"/>
  <c r="OL9" i="16" s="1"/>
  <c r="OL15" i="16" s="1"/>
  <c r="OL27" i="16" s="1"/>
  <c r="OK54" i="16"/>
  <c r="OK6" i="16" s="1"/>
  <c r="OJ54" i="16"/>
  <c r="OI54" i="16"/>
  <c r="OI6" i="16" s="1"/>
  <c r="OH54" i="16"/>
  <c r="OH6" i="16" s="1"/>
  <c r="OH9" i="16" s="1"/>
  <c r="OH15" i="16" s="1"/>
  <c r="OH27" i="16" s="1"/>
  <c r="OG54" i="16"/>
  <c r="OG6" i="16" s="1"/>
  <c r="OF54" i="16"/>
  <c r="OE54" i="16"/>
  <c r="OE6" i="16" s="1"/>
  <c r="OD54" i="16"/>
  <c r="OD6" i="16" s="1"/>
  <c r="OD9" i="16" s="1"/>
  <c r="OD15" i="16" s="1"/>
  <c r="OD27" i="16" s="1"/>
  <c r="OC54" i="16"/>
  <c r="OC6" i="16" s="1"/>
  <c r="OB54" i="16"/>
  <c r="OA54" i="16"/>
  <c r="OA6" i="16" s="1"/>
  <c r="NZ54" i="16"/>
  <c r="NZ6" i="16" s="1"/>
  <c r="NZ9" i="16" s="1"/>
  <c r="NZ15" i="16" s="1"/>
  <c r="NZ27" i="16" s="1"/>
  <c r="NY54" i="16"/>
  <c r="NY6" i="16" s="1"/>
  <c r="NX54" i="16"/>
  <c r="NW54" i="16"/>
  <c r="NW6" i="16" s="1"/>
  <c r="NV54" i="16"/>
  <c r="NV6" i="16" s="1"/>
  <c r="NV9" i="16" s="1"/>
  <c r="NV15" i="16" s="1"/>
  <c r="NV27" i="16" s="1"/>
  <c r="NU54" i="16"/>
  <c r="NU6" i="16" s="1"/>
  <c r="NT54" i="16"/>
  <c r="NS54" i="16"/>
  <c r="NS6" i="16" s="1"/>
  <c r="NR54" i="16"/>
  <c r="NR6" i="16" s="1"/>
  <c r="NR9" i="16" s="1"/>
  <c r="NR15" i="16" s="1"/>
  <c r="NR27" i="16" s="1"/>
  <c r="NQ54" i="16"/>
  <c r="NQ6" i="16" s="1"/>
  <c r="NP54" i="16"/>
  <c r="NO54" i="16"/>
  <c r="NO6" i="16" s="1"/>
  <c r="NN54" i="16"/>
  <c r="NN6" i="16" s="1"/>
  <c r="NN9" i="16" s="1"/>
  <c r="NN15" i="16" s="1"/>
  <c r="NN27" i="16" s="1"/>
  <c r="NM54" i="16"/>
  <c r="NM6" i="16" s="1"/>
  <c r="NL54" i="16"/>
  <c r="NK54" i="16"/>
  <c r="NK6" i="16" s="1"/>
  <c r="NJ54" i="16"/>
  <c r="NJ6" i="16" s="1"/>
  <c r="NJ9" i="16" s="1"/>
  <c r="NJ15" i="16" s="1"/>
  <c r="NJ27" i="16" s="1"/>
  <c r="NI54" i="16"/>
  <c r="NI6" i="16" s="1"/>
  <c r="NH54" i="16"/>
  <c r="NG54" i="16"/>
  <c r="NG6" i="16" s="1"/>
  <c r="NF54" i="16"/>
  <c r="NF6" i="16" s="1"/>
  <c r="NE54" i="16"/>
  <c r="NE6" i="16" s="1"/>
  <c r="ND54" i="16"/>
  <c r="NC54" i="16"/>
  <c r="NC6" i="16" s="1"/>
  <c r="NB54" i="16"/>
  <c r="NB6" i="16" s="1"/>
  <c r="NB9" i="16" s="1"/>
  <c r="NB15" i="16" s="1"/>
  <c r="NA54" i="16"/>
  <c r="NA6" i="16" s="1"/>
  <c r="MZ54" i="16"/>
  <c r="MY54" i="16"/>
  <c r="MY6" i="16" s="1"/>
  <c r="MX54" i="16"/>
  <c r="MX6" i="16" s="1"/>
  <c r="MX9" i="16" s="1"/>
  <c r="MX15" i="16" s="1"/>
  <c r="MW54" i="16"/>
  <c r="MW6" i="16" s="1"/>
  <c r="MV54" i="16"/>
  <c r="MU54" i="16"/>
  <c r="MU6" i="16" s="1"/>
  <c r="MT54" i="16"/>
  <c r="MT6" i="16" s="1"/>
  <c r="MT9" i="16" s="1"/>
  <c r="MT15" i="16" s="1"/>
  <c r="MS54" i="16"/>
  <c r="MS6" i="16" s="1"/>
  <c r="MR54" i="16"/>
  <c r="MQ54" i="16"/>
  <c r="MQ6" i="16" s="1"/>
  <c r="MP54" i="16"/>
  <c r="MP6" i="16" s="1"/>
  <c r="MP9" i="16" s="1"/>
  <c r="MP15" i="16" s="1"/>
  <c r="MO54" i="16"/>
  <c r="MO6" i="16" s="1"/>
  <c r="MN54" i="16"/>
  <c r="MM54" i="16"/>
  <c r="MM6" i="16" s="1"/>
  <c r="ML54" i="16"/>
  <c r="ML6" i="16" s="1"/>
  <c r="ML9" i="16" s="1"/>
  <c r="ML15" i="16" s="1"/>
  <c r="MK54" i="16"/>
  <c r="MK6" i="16" s="1"/>
  <c r="MJ54" i="16"/>
  <c r="MI54" i="16"/>
  <c r="MI6" i="16" s="1"/>
  <c r="MH54" i="16"/>
  <c r="MH6" i="16" s="1"/>
  <c r="MH9" i="16" s="1"/>
  <c r="MH15" i="16" s="1"/>
  <c r="MG54" i="16"/>
  <c r="MG6" i="16" s="1"/>
  <c r="MF54" i="16"/>
  <c r="ME54" i="16"/>
  <c r="ME6" i="16" s="1"/>
  <c r="MD54" i="16"/>
  <c r="MD6" i="16" s="1"/>
  <c r="MD9" i="16" s="1"/>
  <c r="MD15" i="16" s="1"/>
  <c r="MC54" i="16"/>
  <c r="MC6" i="16" s="1"/>
  <c r="MB54" i="16"/>
  <c r="MA54" i="16"/>
  <c r="MA6" i="16" s="1"/>
  <c r="LZ54" i="16"/>
  <c r="LZ6" i="16" s="1"/>
  <c r="LZ9" i="16" s="1"/>
  <c r="LZ15" i="16" s="1"/>
  <c r="LY54" i="16"/>
  <c r="LY6" i="16" s="1"/>
  <c r="LX54" i="16"/>
  <c r="LW54" i="16"/>
  <c r="LW6" i="16" s="1"/>
  <c r="LV54" i="16"/>
  <c r="LV6" i="16" s="1"/>
  <c r="LV9" i="16" s="1"/>
  <c r="LV15" i="16" s="1"/>
  <c r="LU54" i="16"/>
  <c r="LU6" i="16" s="1"/>
  <c r="LT54" i="16"/>
  <c r="LS54" i="16"/>
  <c r="LS6" i="16" s="1"/>
  <c r="LR54" i="16"/>
  <c r="LR6" i="16" s="1"/>
  <c r="LR9" i="16" s="1"/>
  <c r="LR15" i="16" s="1"/>
  <c r="LQ54" i="16"/>
  <c r="LQ6" i="16" s="1"/>
  <c r="LP54" i="16"/>
  <c r="LO54" i="16"/>
  <c r="LO6" i="16" s="1"/>
  <c r="LN54" i="16"/>
  <c r="LN6" i="16" s="1"/>
  <c r="LN9" i="16" s="1"/>
  <c r="LN15" i="16" s="1"/>
  <c r="LM54" i="16"/>
  <c r="LM6" i="16" s="1"/>
  <c r="LL54" i="16"/>
  <c r="LK54" i="16"/>
  <c r="LK6" i="16" s="1"/>
  <c r="LJ54" i="16"/>
  <c r="LJ6" i="16" s="1"/>
  <c r="LJ9" i="16" s="1"/>
  <c r="LJ15" i="16" s="1"/>
  <c r="LI54" i="16"/>
  <c r="LI6" i="16" s="1"/>
  <c r="LH54" i="16"/>
  <c r="LG54" i="16"/>
  <c r="LG6" i="16" s="1"/>
  <c r="LF54" i="16"/>
  <c r="LF6" i="16" s="1"/>
  <c r="LF9" i="16" s="1"/>
  <c r="LF15" i="16" s="1"/>
  <c r="LE54" i="16"/>
  <c r="LE6" i="16" s="1"/>
  <c r="LD54" i="16"/>
  <c r="LC54" i="16"/>
  <c r="LC6" i="16" s="1"/>
  <c r="LB54" i="16"/>
  <c r="LB6" i="16" s="1"/>
  <c r="LB9" i="16" s="1"/>
  <c r="LB15" i="16" s="1"/>
  <c r="LA54" i="16"/>
  <c r="LA6" i="16" s="1"/>
  <c r="KZ54" i="16"/>
  <c r="KY54" i="16"/>
  <c r="KY6" i="16" s="1"/>
  <c r="KX54" i="16"/>
  <c r="KX6" i="16" s="1"/>
  <c r="KX9" i="16" s="1"/>
  <c r="KX15" i="16" s="1"/>
  <c r="KW54" i="16"/>
  <c r="KV54" i="16"/>
  <c r="KV6" i="16" s="1"/>
  <c r="KU54" i="16"/>
  <c r="KU6" i="16" s="1"/>
  <c r="KT54" i="16"/>
  <c r="KT6" i="16" s="1"/>
  <c r="KS54" i="16"/>
  <c r="KR54" i="16"/>
  <c r="KR6" i="16" s="1"/>
  <c r="KQ54" i="16"/>
  <c r="KQ6" i="16" s="1"/>
  <c r="KP54" i="16"/>
  <c r="KP6" i="16" s="1"/>
  <c r="KP9" i="16" s="1"/>
  <c r="KP15" i="16" s="1"/>
  <c r="KO54" i="16"/>
  <c r="KN54" i="16"/>
  <c r="KN6" i="16" s="1"/>
  <c r="KM54" i="16"/>
  <c r="KM6" i="16" s="1"/>
  <c r="KL54" i="16"/>
  <c r="KL6" i="16" s="1"/>
  <c r="KL9" i="16" s="1"/>
  <c r="KL15" i="16" s="1"/>
  <c r="KK54" i="16"/>
  <c r="KJ54" i="16"/>
  <c r="KJ6" i="16" s="1"/>
  <c r="KI54" i="16"/>
  <c r="KI6" i="16" s="1"/>
  <c r="KH54" i="16"/>
  <c r="KH6" i="16" s="1"/>
  <c r="KH9" i="16" s="1"/>
  <c r="KH15" i="16" s="1"/>
  <c r="KG54" i="16"/>
  <c r="KF54" i="16"/>
  <c r="KF6" i="16" s="1"/>
  <c r="KE54" i="16"/>
  <c r="KE6" i="16" s="1"/>
  <c r="KD54" i="16"/>
  <c r="KD6" i="16" s="1"/>
  <c r="KD9" i="16" s="1"/>
  <c r="KD15" i="16" s="1"/>
  <c r="KC54" i="16"/>
  <c r="KB54" i="16"/>
  <c r="KB6" i="16" s="1"/>
  <c r="KA54" i="16"/>
  <c r="KA6" i="16" s="1"/>
  <c r="JZ54" i="16"/>
  <c r="JZ6" i="16" s="1"/>
  <c r="JZ9" i="16" s="1"/>
  <c r="JZ15" i="16" s="1"/>
  <c r="JY54" i="16"/>
  <c r="JX54" i="16"/>
  <c r="JW54" i="16"/>
  <c r="JW6" i="16" s="1"/>
  <c r="JV54" i="16"/>
  <c r="JV6" i="16" s="1"/>
  <c r="JU54" i="16"/>
  <c r="JT54" i="16"/>
  <c r="JS54" i="16"/>
  <c r="JS6" i="16" s="1"/>
  <c r="JR54" i="16"/>
  <c r="JR6" i="16" s="1"/>
  <c r="JR9" i="16" s="1"/>
  <c r="JR15" i="16" s="1"/>
  <c r="JQ54" i="16"/>
  <c r="JP54" i="16"/>
  <c r="JP6" i="16" s="1"/>
  <c r="JO54" i="16"/>
  <c r="JO6" i="16" s="1"/>
  <c r="JN54" i="16"/>
  <c r="JN6" i="16" s="1"/>
  <c r="JN9" i="16" s="1"/>
  <c r="JN15" i="16" s="1"/>
  <c r="JM54" i="16"/>
  <c r="JL54" i="16"/>
  <c r="JK54" i="16"/>
  <c r="JK6" i="16" s="1"/>
  <c r="JJ54" i="16"/>
  <c r="JJ6" i="16" s="1"/>
  <c r="JI54" i="16"/>
  <c r="JH54" i="16"/>
  <c r="JG54" i="16"/>
  <c r="JG6" i="16" s="1"/>
  <c r="JF54" i="16"/>
  <c r="JF6" i="16" s="1"/>
  <c r="JE54" i="16"/>
  <c r="JD54" i="16"/>
  <c r="JC54" i="16"/>
  <c r="JC6" i="16" s="1"/>
  <c r="JB54" i="16"/>
  <c r="JB6" i="16" s="1"/>
  <c r="JA54" i="16"/>
  <c r="IZ54" i="16"/>
  <c r="IY54" i="16"/>
  <c r="IY6" i="16" s="1"/>
  <c r="IX54" i="16"/>
  <c r="IX6" i="16" s="1"/>
  <c r="IW54" i="16"/>
  <c r="IV54" i="16"/>
  <c r="IU54" i="16"/>
  <c r="IU6" i="16" s="1"/>
  <c r="IT54" i="16"/>
  <c r="IT6" i="16" s="1"/>
  <c r="IS54" i="16"/>
  <c r="IR54" i="16"/>
  <c r="IQ54" i="16"/>
  <c r="IQ6" i="16" s="1"/>
  <c r="IP54" i="16"/>
  <c r="IP6" i="16" s="1"/>
  <c r="IO54" i="16"/>
  <c r="IN54" i="16"/>
  <c r="IM54" i="16"/>
  <c r="IM6" i="16" s="1"/>
  <c r="IL54" i="16"/>
  <c r="IL6" i="16" s="1"/>
  <c r="IK54" i="16"/>
  <c r="IJ54" i="16"/>
  <c r="II54" i="16"/>
  <c r="II6" i="16" s="1"/>
  <c r="IH54" i="16"/>
  <c r="IH6" i="16" s="1"/>
  <c r="IH9" i="16" s="1"/>
  <c r="IH15" i="16" s="1"/>
  <c r="IG54" i="16"/>
  <c r="IF54" i="16"/>
  <c r="IF6" i="16" s="1"/>
  <c r="IE54" i="16"/>
  <c r="IE6" i="16" s="1"/>
  <c r="ID54" i="16"/>
  <c r="ID6" i="16" s="1"/>
  <c r="ID9" i="16" s="1"/>
  <c r="ID15" i="16" s="1"/>
  <c r="IC54" i="16"/>
  <c r="IB54" i="16"/>
  <c r="IB6" i="16" s="1"/>
  <c r="IA54" i="16"/>
  <c r="IA6" i="16" s="1"/>
  <c r="HZ54" i="16"/>
  <c r="HZ6" i="16" s="1"/>
  <c r="HZ9" i="16" s="1"/>
  <c r="HZ15" i="16" s="1"/>
  <c r="HY54" i="16"/>
  <c r="HX54" i="16"/>
  <c r="HX6" i="16" s="1"/>
  <c r="HW54" i="16"/>
  <c r="HW6" i="16" s="1"/>
  <c r="HV54" i="16"/>
  <c r="HV6" i="16" s="1"/>
  <c r="HV9" i="16" s="1"/>
  <c r="HV15" i="16" s="1"/>
  <c r="HU54" i="16"/>
  <c r="HT54" i="16"/>
  <c r="HT6" i="16" s="1"/>
  <c r="HS54" i="16"/>
  <c r="HS6" i="16" s="1"/>
  <c r="HR54" i="16"/>
  <c r="HR6" i="16" s="1"/>
  <c r="HQ54" i="16"/>
  <c r="HP54" i="16"/>
  <c r="HP6" i="16" s="1"/>
  <c r="HO54" i="16"/>
  <c r="HO6" i="16" s="1"/>
  <c r="HN54" i="16"/>
  <c r="HN6" i="16" s="1"/>
  <c r="HN9" i="16" s="1"/>
  <c r="HN15" i="16" s="1"/>
  <c r="HM54" i="16"/>
  <c r="HL54" i="16"/>
  <c r="HL6" i="16" s="1"/>
  <c r="HK54" i="16"/>
  <c r="HK6" i="16" s="1"/>
  <c r="HJ54" i="16"/>
  <c r="HJ6" i="16" s="1"/>
  <c r="HJ9" i="16" s="1"/>
  <c r="HJ15" i="16" s="1"/>
  <c r="HI54" i="16"/>
  <c r="HH54" i="16"/>
  <c r="HH6" i="16" s="1"/>
  <c r="HG54" i="16"/>
  <c r="HG6" i="16" s="1"/>
  <c r="HF54" i="16"/>
  <c r="HF6" i="16" s="1"/>
  <c r="HF9" i="16" s="1"/>
  <c r="HF15" i="16" s="1"/>
  <c r="HE54" i="16"/>
  <c r="HD54" i="16"/>
  <c r="HD6" i="16" s="1"/>
  <c r="HC54" i="16"/>
  <c r="HC6" i="16" s="1"/>
  <c r="HB54" i="16"/>
  <c r="HB6" i="16" s="1"/>
  <c r="HB9" i="16" s="1"/>
  <c r="HB15" i="16" s="1"/>
  <c r="HA54" i="16"/>
  <c r="GZ54" i="16"/>
  <c r="GY54" i="16"/>
  <c r="GY6" i="16" s="1"/>
  <c r="GX54" i="16"/>
  <c r="GX6" i="16" s="1"/>
  <c r="GW54" i="16"/>
  <c r="GV54" i="16"/>
  <c r="GU54" i="16"/>
  <c r="GU6" i="16" s="1"/>
  <c r="GT54" i="16"/>
  <c r="GT6" i="16" s="1"/>
  <c r="GS54" i="16"/>
  <c r="GR54" i="16"/>
  <c r="GQ54" i="16"/>
  <c r="GQ6" i="16" s="1"/>
  <c r="GP54" i="16"/>
  <c r="GP6" i="16" s="1"/>
  <c r="GO54" i="16"/>
  <c r="GN54" i="16"/>
  <c r="GM54" i="16"/>
  <c r="GM6" i="16" s="1"/>
  <c r="GL54" i="16"/>
  <c r="GL6" i="16" s="1"/>
  <c r="GK54" i="16"/>
  <c r="GJ54" i="16"/>
  <c r="GI54" i="16"/>
  <c r="GI6" i="16" s="1"/>
  <c r="GH54" i="16"/>
  <c r="GH6" i="16" s="1"/>
  <c r="GG54" i="16"/>
  <c r="GF54" i="16"/>
  <c r="GE54" i="16"/>
  <c r="GE6" i="16" s="1"/>
  <c r="GD54" i="16"/>
  <c r="GD6" i="16" s="1"/>
  <c r="GC54" i="16"/>
  <c r="GB54" i="16"/>
  <c r="GA54" i="16"/>
  <c r="GA6" i="16" s="1"/>
  <c r="FZ54" i="16"/>
  <c r="FZ6" i="16" s="1"/>
  <c r="FY54" i="16"/>
  <c r="FX54" i="16"/>
  <c r="FW54" i="16"/>
  <c r="FW6" i="16" s="1"/>
  <c r="FV54" i="16"/>
  <c r="FV6" i="16" s="1"/>
  <c r="FU54" i="16"/>
  <c r="FT54" i="16"/>
  <c r="FS54" i="16"/>
  <c r="FS6" i="16" s="1"/>
  <c r="FR54" i="16"/>
  <c r="FR6" i="16" s="1"/>
  <c r="FQ54" i="16"/>
  <c r="FP54" i="16"/>
  <c r="FO54" i="16"/>
  <c r="FO6" i="16" s="1"/>
  <c r="FN54" i="16"/>
  <c r="FN6" i="16" s="1"/>
  <c r="FM54" i="16"/>
  <c r="FL54" i="16"/>
  <c r="FK54" i="16"/>
  <c r="FK6" i="16" s="1"/>
  <c r="FJ54" i="16"/>
  <c r="FJ6" i="16" s="1"/>
  <c r="FI54" i="16"/>
  <c r="FH54" i="16"/>
  <c r="FG54" i="16"/>
  <c r="FG6" i="16" s="1"/>
  <c r="FF54" i="16"/>
  <c r="FF6" i="16" s="1"/>
  <c r="FE54" i="16"/>
  <c r="FD54" i="16"/>
  <c r="FC54" i="16"/>
  <c r="FC6" i="16" s="1"/>
  <c r="FB54" i="16"/>
  <c r="FB6" i="16" s="1"/>
  <c r="FA54" i="16"/>
  <c r="EZ54" i="16"/>
  <c r="EY54" i="16"/>
  <c r="EY6" i="16" s="1"/>
  <c r="EX54" i="16"/>
  <c r="EX6" i="16" s="1"/>
  <c r="EW54" i="16"/>
  <c r="EV54" i="16"/>
  <c r="EU54" i="16"/>
  <c r="EU6" i="16" s="1"/>
  <c r="ET54" i="16"/>
  <c r="ET6" i="16" s="1"/>
  <c r="ES54" i="16"/>
  <c r="ER54" i="16"/>
  <c r="EQ54" i="16"/>
  <c r="EQ6" i="16" s="1"/>
  <c r="EP54" i="16"/>
  <c r="EP6" i="16" s="1"/>
  <c r="EO54" i="16"/>
  <c r="EN54" i="16"/>
  <c r="EM54" i="16"/>
  <c r="EM6" i="16" s="1"/>
  <c r="EL54" i="16"/>
  <c r="EL6" i="16" s="1"/>
  <c r="EK54" i="16"/>
  <c r="EJ54" i="16"/>
  <c r="EI54" i="16"/>
  <c r="EI6" i="16" s="1"/>
  <c r="EH54" i="16"/>
  <c r="EH6" i="16" s="1"/>
  <c r="EG54" i="16"/>
  <c r="EF54" i="16"/>
  <c r="EE54" i="16"/>
  <c r="EE6" i="16" s="1"/>
  <c r="ED54" i="16"/>
  <c r="ED6" i="16" s="1"/>
  <c r="EC54" i="16"/>
  <c r="EB54" i="16"/>
  <c r="EA54" i="16"/>
  <c r="EA6" i="16" s="1"/>
  <c r="DZ54" i="16"/>
  <c r="DZ6" i="16" s="1"/>
  <c r="DY54" i="16"/>
  <c r="DX54" i="16"/>
  <c r="DW54" i="16"/>
  <c r="DW6" i="16" s="1"/>
  <c r="DV54" i="16"/>
  <c r="DV6" i="16" s="1"/>
  <c r="DU54" i="16"/>
  <c r="DT54" i="16"/>
  <c r="DS54" i="16"/>
  <c r="DS6" i="16" s="1"/>
  <c r="DR54" i="16"/>
  <c r="DR6" i="16" s="1"/>
  <c r="DQ54" i="16"/>
  <c r="DP54" i="16"/>
  <c r="DO54" i="16"/>
  <c r="DO6" i="16" s="1"/>
  <c r="DN54" i="16"/>
  <c r="DN6" i="16" s="1"/>
  <c r="DM54" i="16"/>
  <c r="DL54" i="16"/>
  <c r="DK54" i="16"/>
  <c r="DK6" i="16" s="1"/>
  <c r="DJ54" i="16"/>
  <c r="DJ6" i="16" s="1"/>
  <c r="DI54" i="16"/>
  <c r="DH54" i="16"/>
  <c r="DG54" i="16"/>
  <c r="DG6" i="16" s="1"/>
  <c r="DF54" i="16"/>
  <c r="DF6" i="16" s="1"/>
  <c r="DE54" i="16"/>
  <c r="DD54" i="16"/>
  <c r="DC54" i="16"/>
  <c r="DC6" i="16" s="1"/>
  <c r="DB54" i="16"/>
  <c r="DB6" i="16" s="1"/>
  <c r="DA54" i="16"/>
  <c r="CZ54" i="16"/>
  <c r="CY54" i="16"/>
  <c r="CY6" i="16" s="1"/>
  <c r="CX54" i="16"/>
  <c r="CX6" i="16" s="1"/>
  <c r="CW54" i="16"/>
  <c r="CV54" i="16"/>
  <c r="CU54" i="16"/>
  <c r="CU6" i="16" s="1"/>
  <c r="CT54" i="16"/>
  <c r="CT6" i="16" s="1"/>
  <c r="CS54" i="16"/>
  <c r="CR54" i="16"/>
  <c r="CQ54" i="16"/>
  <c r="CQ6" i="16" s="1"/>
  <c r="CP54" i="16"/>
  <c r="CP6" i="16" s="1"/>
  <c r="CO54" i="16"/>
  <c r="CN54" i="16"/>
  <c r="CM54" i="16"/>
  <c r="CM6" i="16" s="1"/>
  <c r="CL54" i="16"/>
  <c r="CL6" i="16" s="1"/>
  <c r="CK54" i="16"/>
  <c r="CJ54" i="16"/>
  <c r="S54" i="16"/>
  <c r="S6" i="16" s="1"/>
  <c r="R54" i="16"/>
  <c r="R6" i="16" s="1"/>
  <c r="Q54" i="16"/>
  <c r="P54" i="16"/>
  <c r="P6" i="16" s="1"/>
  <c r="O54" i="16"/>
  <c r="O6" i="16" s="1"/>
  <c r="N54" i="16"/>
  <c r="N6" i="16" s="1"/>
  <c r="AEW42" i="16"/>
  <c r="AEV42" i="16"/>
  <c r="AEU42" i="16"/>
  <c r="AET42" i="16"/>
  <c r="AES42" i="16"/>
  <c r="AER42" i="16"/>
  <c r="AEQ42" i="16"/>
  <c r="AEP42" i="16"/>
  <c r="AEO42" i="16"/>
  <c r="AEN42" i="16"/>
  <c r="AEM42" i="16"/>
  <c r="AEL42" i="16"/>
  <c r="AEK42" i="16"/>
  <c r="AEJ42" i="16"/>
  <c r="AEI42" i="16"/>
  <c r="AEH42" i="16"/>
  <c r="AEG42" i="16"/>
  <c r="AEF42" i="16"/>
  <c r="AEE42" i="16"/>
  <c r="AED42" i="16"/>
  <c r="AEC42" i="16"/>
  <c r="AEB42" i="16"/>
  <c r="AEA42" i="16"/>
  <c r="ADZ42" i="16"/>
  <c r="ADY42" i="16"/>
  <c r="ADX42" i="16"/>
  <c r="ADW42" i="16"/>
  <c r="ADV42" i="16"/>
  <c r="ADU42" i="16"/>
  <c r="ADT42" i="16"/>
  <c r="ADS42" i="16"/>
  <c r="ADR42" i="16"/>
  <c r="ADQ42" i="16"/>
  <c r="ADP42" i="16"/>
  <c r="ADO42" i="16"/>
  <c r="ADN42" i="16"/>
  <c r="ADM42" i="16"/>
  <c r="ADL42" i="16"/>
  <c r="ADK42" i="16"/>
  <c r="ADJ42" i="16"/>
  <c r="ADI42" i="16"/>
  <c r="ADH42" i="16"/>
  <c r="ADG42" i="16"/>
  <c r="ADF42" i="16"/>
  <c r="ADE42" i="16"/>
  <c r="ADD42" i="16"/>
  <c r="ADC42" i="16"/>
  <c r="ADB42" i="16"/>
  <c r="ADA42" i="16"/>
  <c r="ACZ42" i="16"/>
  <c r="ACY42" i="16"/>
  <c r="ACX42" i="16"/>
  <c r="ACW42" i="16"/>
  <c r="ACV42" i="16"/>
  <c r="ACU42" i="16"/>
  <c r="ACT42" i="16"/>
  <c r="ACS42" i="16"/>
  <c r="ACR42" i="16"/>
  <c r="ACQ42" i="16"/>
  <c r="ACP42" i="16"/>
  <c r="ACO42" i="16"/>
  <c r="ACN42" i="16"/>
  <c r="ACM42" i="16"/>
  <c r="ACL42" i="16"/>
  <c r="ACK42" i="16"/>
  <c r="ACJ42" i="16"/>
  <c r="ACI42" i="16"/>
  <c r="ACH42" i="16"/>
  <c r="ACG42" i="16"/>
  <c r="ACF42" i="16"/>
  <c r="ACE42" i="16"/>
  <c r="ACD42" i="16"/>
  <c r="ACC42" i="16"/>
  <c r="ACB42" i="16"/>
  <c r="ACA42" i="16"/>
  <c r="ABZ42" i="16"/>
  <c r="ABY42" i="16"/>
  <c r="ABX42" i="16"/>
  <c r="ABW42" i="16"/>
  <c r="ABV42" i="16"/>
  <c r="ABU42" i="16"/>
  <c r="ABT42" i="16"/>
  <c r="ABS42" i="16"/>
  <c r="ABR42" i="16"/>
  <c r="ABQ42" i="16"/>
  <c r="ABP42" i="16"/>
  <c r="ABO42" i="16"/>
  <c r="ABN42" i="16"/>
  <c r="ABM42" i="16"/>
  <c r="ABL42" i="16"/>
  <c r="ABK42" i="16"/>
  <c r="ABJ42" i="16"/>
  <c r="ABI42" i="16"/>
  <c r="ABH42" i="16"/>
  <c r="ABG42" i="16"/>
  <c r="ABF42" i="16"/>
  <c r="ABE42" i="16"/>
  <c r="ABD42" i="16"/>
  <c r="ABC42" i="16"/>
  <c r="ABB42" i="16"/>
  <c r="ABA42" i="16"/>
  <c r="AAZ42" i="16"/>
  <c r="AAY42" i="16"/>
  <c r="AAX42" i="16"/>
  <c r="AAW42" i="16"/>
  <c r="AAV42" i="16"/>
  <c r="AAU42" i="16"/>
  <c r="AAT42" i="16"/>
  <c r="AAS42" i="16"/>
  <c r="AAR42" i="16"/>
  <c r="AAQ42" i="16"/>
  <c r="AAP42" i="16"/>
  <c r="AAO42" i="16"/>
  <c r="AAN42" i="16"/>
  <c r="AAM42" i="16"/>
  <c r="AAL42" i="16"/>
  <c r="AAK42" i="16"/>
  <c r="AAJ42" i="16"/>
  <c r="AAI42" i="16"/>
  <c r="AAH42" i="16"/>
  <c r="AAG42" i="16"/>
  <c r="AAF42" i="16"/>
  <c r="AAE42" i="16"/>
  <c r="AAD42" i="16"/>
  <c r="AAC42" i="16"/>
  <c r="AAB42" i="16"/>
  <c r="AAA42" i="16"/>
  <c r="ZZ42" i="16"/>
  <c r="ZY42" i="16"/>
  <c r="ZX42" i="16"/>
  <c r="ZW42" i="16"/>
  <c r="ZV42" i="16"/>
  <c r="ZU42" i="16"/>
  <c r="ZT42" i="16"/>
  <c r="ZS42" i="16"/>
  <c r="ZR42" i="16"/>
  <c r="ZQ42" i="16"/>
  <c r="ZP42" i="16"/>
  <c r="ZO42" i="16"/>
  <c r="ZN42" i="16"/>
  <c r="ZM42" i="16"/>
  <c r="ZL42" i="16"/>
  <c r="ZK42" i="16"/>
  <c r="ZJ42" i="16"/>
  <c r="ZI42" i="16"/>
  <c r="ZH42" i="16"/>
  <c r="ZG42" i="16"/>
  <c r="ZF42" i="16"/>
  <c r="ZE42" i="16"/>
  <c r="ZD42" i="16"/>
  <c r="ZC42" i="16"/>
  <c r="ZB42" i="16"/>
  <c r="ZA42" i="16"/>
  <c r="YZ42" i="16"/>
  <c r="YY42" i="16"/>
  <c r="YX42" i="16"/>
  <c r="YW42" i="16"/>
  <c r="YV42" i="16"/>
  <c r="YU42" i="16"/>
  <c r="YT42" i="16"/>
  <c r="YS42" i="16"/>
  <c r="YR42" i="16"/>
  <c r="YQ42" i="16"/>
  <c r="YP42" i="16"/>
  <c r="YO42" i="16"/>
  <c r="YN42" i="16"/>
  <c r="YM42" i="16"/>
  <c r="YL42" i="16"/>
  <c r="YK42" i="16"/>
  <c r="YJ42" i="16"/>
  <c r="YI42" i="16"/>
  <c r="YH42" i="16"/>
  <c r="YG42" i="16"/>
  <c r="YF42" i="16"/>
  <c r="YE42" i="16"/>
  <c r="YD42" i="16"/>
  <c r="YC42" i="16"/>
  <c r="YB42" i="16"/>
  <c r="YA42" i="16"/>
  <c r="XZ42" i="16"/>
  <c r="XY42" i="16"/>
  <c r="XX42" i="16"/>
  <c r="XW42" i="16"/>
  <c r="XV42" i="16"/>
  <c r="XU42" i="16"/>
  <c r="XT42" i="16"/>
  <c r="XS42" i="16"/>
  <c r="XR42" i="16"/>
  <c r="XQ42" i="16"/>
  <c r="XP42" i="16"/>
  <c r="XO42" i="16"/>
  <c r="XN42" i="16"/>
  <c r="XM42" i="16"/>
  <c r="XL42" i="16"/>
  <c r="XK42" i="16"/>
  <c r="XJ42" i="16"/>
  <c r="XI42" i="16"/>
  <c r="XH42" i="16"/>
  <c r="XG42" i="16"/>
  <c r="XF42" i="16"/>
  <c r="XE42" i="16"/>
  <c r="XD42" i="16"/>
  <c r="XC42" i="16"/>
  <c r="XB42" i="16"/>
  <c r="XA42" i="16"/>
  <c r="WZ42" i="16"/>
  <c r="WY42" i="16"/>
  <c r="WX42" i="16"/>
  <c r="WW42" i="16"/>
  <c r="WV42" i="16"/>
  <c r="WU42" i="16"/>
  <c r="WT42" i="16"/>
  <c r="SA42" i="16"/>
  <c r="RZ42" i="16"/>
  <c r="RY42" i="16"/>
  <c r="RX42" i="16"/>
  <c r="RW42" i="16"/>
  <c r="RV42" i="16"/>
  <c r="RU42" i="16"/>
  <c r="RT42" i="16"/>
  <c r="RS42" i="16"/>
  <c r="RR42" i="16"/>
  <c r="RQ42" i="16"/>
  <c r="RP42" i="16"/>
  <c r="RO42" i="16"/>
  <c r="RN42" i="16"/>
  <c r="RM42" i="16"/>
  <c r="RL42" i="16"/>
  <c r="RK42" i="16"/>
  <c r="RJ42" i="16"/>
  <c r="RI42" i="16"/>
  <c r="RH42" i="16"/>
  <c r="RG42" i="16"/>
  <c r="QZ42" i="16"/>
  <c r="QY42" i="16"/>
  <c r="QX42" i="16"/>
  <c r="QW42" i="16"/>
  <c r="QV42" i="16"/>
  <c r="QU42" i="16"/>
  <c r="AEW39" i="16"/>
  <c r="AEV39" i="16"/>
  <c r="AEU39" i="16"/>
  <c r="AET39" i="16"/>
  <c r="AES39" i="16"/>
  <c r="AER39" i="16"/>
  <c r="AEQ39" i="16"/>
  <c r="AEP39" i="16"/>
  <c r="AEO39" i="16"/>
  <c r="AEN39" i="16"/>
  <c r="AEM39" i="16"/>
  <c r="AEL39" i="16"/>
  <c r="AEK39" i="16"/>
  <c r="AEJ39" i="16"/>
  <c r="AEI39" i="16"/>
  <c r="AEH39" i="16"/>
  <c r="AEG39" i="16"/>
  <c r="AEF39" i="16"/>
  <c r="AEE39" i="16"/>
  <c r="AED39" i="16"/>
  <c r="AEC39" i="16"/>
  <c r="AEB39" i="16"/>
  <c r="AEA39" i="16"/>
  <c r="ADZ39" i="16"/>
  <c r="ADY39" i="16"/>
  <c r="ADX39" i="16"/>
  <c r="ADW39" i="16"/>
  <c r="ADV39" i="16"/>
  <c r="ADU39" i="16"/>
  <c r="ADT39" i="16"/>
  <c r="ADS39" i="16"/>
  <c r="ADR39" i="16"/>
  <c r="ADQ39" i="16"/>
  <c r="ADP39" i="16"/>
  <c r="ADO39" i="16"/>
  <c r="ADN39" i="16"/>
  <c r="ADM39" i="16"/>
  <c r="ADL39" i="16"/>
  <c r="ADK39" i="16"/>
  <c r="ADJ39" i="16"/>
  <c r="ADI39" i="16"/>
  <c r="ADH39" i="16"/>
  <c r="ADG39" i="16"/>
  <c r="ADF39" i="16"/>
  <c r="ADE39" i="16"/>
  <c r="ADD39" i="16"/>
  <c r="ADC39" i="16"/>
  <c r="ADB39" i="16"/>
  <c r="ADA39" i="16"/>
  <c r="ACZ39" i="16"/>
  <c r="ACY39" i="16"/>
  <c r="ACX39" i="16"/>
  <c r="ACW39" i="16"/>
  <c r="ACV39" i="16"/>
  <c r="ACU39" i="16"/>
  <c r="ACT39" i="16"/>
  <c r="ACS39" i="16"/>
  <c r="ACR39" i="16"/>
  <c r="ACQ39" i="16"/>
  <c r="ACP39" i="16"/>
  <c r="ACO39" i="16"/>
  <c r="ACN39" i="16"/>
  <c r="ACM39" i="16"/>
  <c r="ACL39" i="16"/>
  <c r="ACK39" i="16"/>
  <c r="ACJ39" i="16"/>
  <c r="ACI39" i="16"/>
  <c r="ACH39" i="16"/>
  <c r="ACG39" i="16"/>
  <c r="ACF39" i="16"/>
  <c r="ACE39" i="16"/>
  <c r="ACD39" i="16"/>
  <c r="ACC39" i="16"/>
  <c r="ACB39" i="16"/>
  <c r="ACA39" i="16"/>
  <c r="ABZ39" i="16"/>
  <c r="ABY39" i="16"/>
  <c r="ABX39" i="16"/>
  <c r="ABW39" i="16"/>
  <c r="ABV39" i="16"/>
  <c r="ABU39" i="16"/>
  <c r="ABT39" i="16"/>
  <c r="ABS39" i="16"/>
  <c r="ABR39" i="16"/>
  <c r="ABQ39" i="16"/>
  <c r="ABP39" i="16"/>
  <c r="ABO39" i="16"/>
  <c r="ABN39" i="16"/>
  <c r="ABM39" i="16"/>
  <c r="ABL39" i="16"/>
  <c r="ABK39" i="16"/>
  <c r="ABJ39" i="16"/>
  <c r="ABI39" i="16"/>
  <c r="ABH39" i="16"/>
  <c r="ABG39" i="16"/>
  <c r="ABF39" i="16"/>
  <c r="ABE39" i="16"/>
  <c r="ABD39" i="16"/>
  <c r="ABC39" i="16"/>
  <c r="ABB39" i="16"/>
  <c r="ABA39" i="16"/>
  <c r="AAZ39" i="16"/>
  <c r="AAY39" i="16"/>
  <c r="AAX39" i="16"/>
  <c r="AAW39" i="16"/>
  <c r="AAV39" i="16"/>
  <c r="AAU39" i="16"/>
  <c r="AAT39" i="16"/>
  <c r="AAS39" i="16"/>
  <c r="AAR39" i="16"/>
  <c r="AAQ39" i="16"/>
  <c r="AAP39" i="16"/>
  <c r="AAO39" i="16"/>
  <c r="AAN39" i="16"/>
  <c r="AAM39" i="16"/>
  <c r="AAL39" i="16"/>
  <c r="AAK39" i="16"/>
  <c r="AAJ39" i="16"/>
  <c r="AAI39" i="16"/>
  <c r="AAH39" i="16"/>
  <c r="AAG39" i="16"/>
  <c r="AAF39" i="16"/>
  <c r="AAE39" i="16"/>
  <c r="AAD39" i="16"/>
  <c r="AAC39" i="16"/>
  <c r="AAB39" i="16"/>
  <c r="AAA39" i="16"/>
  <c r="ZZ39" i="16"/>
  <c r="ZY39" i="16"/>
  <c r="ZX39" i="16"/>
  <c r="ZW39" i="16"/>
  <c r="ZV39" i="16"/>
  <c r="ZU39" i="16"/>
  <c r="ZT39" i="16"/>
  <c r="ZS39" i="16"/>
  <c r="ZR39" i="16"/>
  <c r="ZQ39" i="16"/>
  <c r="ZP39" i="16"/>
  <c r="ZO39" i="16"/>
  <c r="ZN39" i="16"/>
  <c r="ZM39" i="16"/>
  <c r="ZL39" i="16"/>
  <c r="ZK39" i="16"/>
  <c r="ZJ39" i="16"/>
  <c r="ZI39" i="16"/>
  <c r="ZH39" i="16"/>
  <c r="ZG39" i="16"/>
  <c r="ZF39" i="16"/>
  <c r="ZE39" i="16"/>
  <c r="ZD39" i="16"/>
  <c r="ZC39" i="16"/>
  <c r="ZB39" i="16"/>
  <c r="ZA39" i="16"/>
  <c r="YZ39" i="16"/>
  <c r="YY39" i="16"/>
  <c r="YX39" i="16"/>
  <c r="YW39" i="16"/>
  <c r="YV39" i="16"/>
  <c r="YU39" i="16"/>
  <c r="YT39" i="16"/>
  <c r="YS39" i="16"/>
  <c r="YR39" i="16"/>
  <c r="YQ39" i="16"/>
  <c r="YP39" i="16"/>
  <c r="YO39" i="16"/>
  <c r="YN39" i="16"/>
  <c r="YM39" i="16"/>
  <c r="YL39" i="16"/>
  <c r="YK39" i="16"/>
  <c r="YJ39" i="16"/>
  <c r="YI39" i="16"/>
  <c r="YH39" i="16"/>
  <c r="YG39" i="16"/>
  <c r="YF39" i="16"/>
  <c r="YE39" i="16"/>
  <c r="YD39" i="16"/>
  <c r="YC39" i="16"/>
  <c r="YB39" i="16"/>
  <c r="YA39" i="16"/>
  <c r="XZ39" i="16"/>
  <c r="XY39" i="16"/>
  <c r="XX39" i="16"/>
  <c r="XW39" i="16"/>
  <c r="XV39" i="16"/>
  <c r="XU39" i="16"/>
  <c r="XT39" i="16"/>
  <c r="XS39" i="16"/>
  <c r="XR39" i="16"/>
  <c r="XQ39" i="16"/>
  <c r="XP39" i="16"/>
  <c r="XO39" i="16"/>
  <c r="XN39" i="16"/>
  <c r="XM39" i="16"/>
  <c r="XL39" i="16"/>
  <c r="XK39" i="16"/>
  <c r="XJ39" i="16"/>
  <c r="XI39" i="16"/>
  <c r="XH39" i="16"/>
  <c r="XG39" i="16"/>
  <c r="XF39" i="16"/>
  <c r="XE39" i="16"/>
  <c r="XD39" i="16"/>
  <c r="XC39" i="16"/>
  <c r="XB39" i="16"/>
  <c r="XA39" i="16"/>
  <c r="WZ39" i="16"/>
  <c r="WY39" i="16"/>
  <c r="WX39" i="16"/>
  <c r="WW39" i="16"/>
  <c r="WV39" i="16"/>
  <c r="WU39" i="16"/>
  <c r="WT39" i="16"/>
  <c r="WS39" i="16"/>
  <c r="WR39" i="16"/>
  <c r="WQ39" i="16"/>
  <c r="WP39" i="16"/>
  <c r="WO39" i="16"/>
  <c r="WN39" i="16"/>
  <c r="WM39" i="16"/>
  <c r="WL39" i="16"/>
  <c r="WK39" i="16"/>
  <c r="WJ39" i="16"/>
  <c r="WI39" i="16"/>
  <c r="WH39" i="16"/>
  <c r="WG39" i="16"/>
  <c r="WF39" i="16"/>
  <c r="WE39" i="16"/>
  <c r="WD39" i="16"/>
  <c r="WC39" i="16"/>
  <c r="WB39" i="16"/>
  <c r="WA39" i="16"/>
  <c r="VZ39" i="16"/>
  <c r="VY39" i="16"/>
  <c r="VX39" i="16"/>
  <c r="VW39" i="16"/>
  <c r="VV39" i="16"/>
  <c r="VU39" i="16"/>
  <c r="VT39" i="16"/>
  <c r="VS39" i="16"/>
  <c r="VR39" i="16"/>
  <c r="VQ39" i="16"/>
  <c r="VP39" i="16"/>
  <c r="VO39" i="16"/>
  <c r="VN39" i="16"/>
  <c r="VM39" i="16"/>
  <c r="VL39" i="16"/>
  <c r="VK39" i="16"/>
  <c r="VJ39" i="16"/>
  <c r="VI39" i="16"/>
  <c r="VH39" i="16"/>
  <c r="VG39" i="16"/>
  <c r="VF39" i="16"/>
  <c r="VE39" i="16"/>
  <c r="VD39" i="16"/>
  <c r="VC39" i="16"/>
  <c r="VB39" i="16"/>
  <c r="VA39" i="16"/>
  <c r="UZ39" i="16"/>
  <c r="UY39" i="16"/>
  <c r="UX39" i="16"/>
  <c r="UW39" i="16"/>
  <c r="UV39" i="16"/>
  <c r="UU39" i="16"/>
  <c r="UT39" i="16"/>
  <c r="US39" i="16"/>
  <c r="UR39" i="16"/>
  <c r="UQ39" i="16"/>
  <c r="UP39" i="16"/>
  <c r="UO39" i="16"/>
  <c r="UN39" i="16"/>
  <c r="UM39" i="16"/>
  <c r="UL39" i="16"/>
  <c r="UK39" i="16"/>
  <c r="UJ39" i="16"/>
  <c r="UI39" i="16"/>
  <c r="UH39" i="16"/>
  <c r="UG39" i="16"/>
  <c r="UF39" i="16"/>
  <c r="UE39" i="16"/>
  <c r="UD39" i="16"/>
  <c r="UC39" i="16"/>
  <c r="UB39" i="16"/>
  <c r="UA39" i="16"/>
  <c r="TZ39" i="16"/>
  <c r="TY39" i="16"/>
  <c r="TX39" i="16"/>
  <c r="TW39" i="16"/>
  <c r="TV39" i="16"/>
  <c r="TU39" i="16"/>
  <c r="TT39" i="16"/>
  <c r="TS39" i="16"/>
  <c r="TR39" i="16"/>
  <c r="TQ39" i="16"/>
  <c r="TP39" i="16"/>
  <c r="TO39" i="16"/>
  <c r="TN39" i="16"/>
  <c r="TM39" i="16"/>
  <c r="TL39" i="16"/>
  <c r="TK39" i="16"/>
  <c r="TJ39" i="16"/>
  <c r="TI39" i="16"/>
  <c r="TH39" i="16"/>
  <c r="TG39" i="16"/>
  <c r="TF39" i="16"/>
  <c r="TE39" i="16"/>
  <c r="TD39" i="16"/>
  <c r="TC39" i="16"/>
  <c r="TB39" i="16"/>
  <c r="TA39" i="16"/>
  <c r="SZ39" i="16"/>
  <c r="SY39" i="16"/>
  <c r="SX39" i="16"/>
  <c r="SW39" i="16"/>
  <c r="SV39" i="16"/>
  <c r="SU39" i="16"/>
  <c r="ST39" i="16"/>
  <c r="SS39" i="16"/>
  <c r="SR39" i="16"/>
  <c r="SQ39" i="16"/>
  <c r="SP39" i="16"/>
  <c r="SO39" i="16"/>
  <c r="SN39" i="16"/>
  <c r="SM39" i="16"/>
  <c r="SL39" i="16"/>
  <c r="SK39" i="16"/>
  <c r="SJ39" i="16"/>
  <c r="SI39" i="16"/>
  <c r="SH39" i="16"/>
  <c r="SG39" i="16"/>
  <c r="SF39" i="16"/>
  <c r="SE39" i="16"/>
  <c r="SD39" i="16"/>
  <c r="SC39" i="16"/>
  <c r="SB39" i="16"/>
  <c r="SA39" i="16"/>
  <c r="RZ39" i="16"/>
  <c r="RY39" i="16"/>
  <c r="RX39" i="16"/>
  <c r="RW39" i="16"/>
  <c r="RV39" i="16"/>
  <c r="RU39" i="16"/>
  <c r="RT39" i="16"/>
  <c r="RS39" i="16"/>
  <c r="RR39" i="16"/>
  <c r="RQ39" i="16"/>
  <c r="RP39" i="16"/>
  <c r="RO39" i="16"/>
  <c r="RN39" i="16"/>
  <c r="RM39" i="16"/>
  <c r="RL39" i="16"/>
  <c r="RK39" i="16"/>
  <c r="RJ39" i="16"/>
  <c r="RI39" i="16"/>
  <c r="RH39" i="16"/>
  <c r="RG39" i="16"/>
  <c r="QZ39" i="16"/>
  <c r="QY39" i="16"/>
  <c r="QX39" i="16"/>
  <c r="QW39" i="16"/>
  <c r="QV39" i="16"/>
  <c r="QU39" i="16"/>
  <c r="DO39" i="16"/>
  <c r="DK39" i="16"/>
  <c r="DG39" i="16"/>
  <c r="DC39" i="16"/>
  <c r="CY39" i="16"/>
  <c r="CX39" i="16"/>
  <c r="CU39" i="16"/>
  <c r="CQ39" i="16"/>
  <c r="CP39" i="16"/>
  <c r="CM39" i="16"/>
  <c r="CI39" i="16"/>
  <c r="CE39" i="16"/>
  <c r="CA39" i="16"/>
  <c r="BW39" i="16"/>
  <c r="BS39" i="16"/>
  <c r="BO39" i="16"/>
  <c r="BK39" i="16"/>
  <c r="BJ39" i="16"/>
  <c r="BG39" i="16"/>
  <c r="BC39" i="16"/>
  <c r="AY39" i="16"/>
  <c r="AU39" i="16"/>
  <c r="AQ39" i="16"/>
  <c r="AM39" i="16"/>
  <c r="AL39" i="16"/>
  <c r="AI39" i="16"/>
  <c r="AE39" i="16"/>
  <c r="AD39" i="16"/>
  <c r="AA39" i="16"/>
  <c r="W39" i="16"/>
  <c r="S39" i="16"/>
  <c r="O39" i="16"/>
  <c r="AEW33" i="16"/>
  <c r="AEV33" i="16"/>
  <c r="AEU33" i="16"/>
  <c r="AET33" i="16"/>
  <c r="AES33" i="16"/>
  <c r="AER33" i="16"/>
  <c r="AEQ33" i="16"/>
  <c r="AEP33" i="16"/>
  <c r="AEO33" i="16"/>
  <c r="AEN33" i="16"/>
  <c r="AEM33" i="16"/>
  <c r="AEL33" i="16"/>
  <c r="AEK33" i="16"/>
  <c r="AEJ33" i="16"/>
  <c r="AEI33" i="16"/>
  <c r="AEH33" i="16"/>
  <c r="AEG33" i="16"/>
  <c r="AEF33" i="16"/>
  <c r="AEE33" i="16"/>
  <c r="AED33" i="16"/>
  <c r="AEC33" i="16"/>
  <c r="AEB33" i="16"/>
  <c r="AEA33" i="16"/>
  <c r="ADZ33" i="16"/>
  <c r="ADY33" i="16"/>
  <c r="ADX33" i="16"/>
  <c r="ADW33" i="16"/>
  <c r="ADV33" i="16"/>
  <c r="ADU33" i="16"/>
  <c r="ADT33" i="16"/>
  <c r="ADS33" i="16"/>
  <c r="ADR33" i="16"/>
  <c r="ADQ33" i="16"/>
  <c r="ADP33" i="16"/>
  <c r="ADO33" i="16"/>
  <c r="ADN33" i="16"/>
  <c r="ADM33" i="16"/>
  <c r="ADL33" i="16"/>
  <c r="ADK33" i="16"/>
  <c r="ADJ33" i="16"/>
  <c r="ADI33" i="16"/>
  <c r="ADH33" i="16"/>
  <c r="ADG33" i="16"/>
  <c r="ADF33" i="16"/>
  <c r="ADE33" i="16"/>
  <c r="ADD33" i="16"/>
  <c r="ADC33" i="16"/>
  <c r="ADB33" i="16"/>
  <c r="ADA33" i="16"/>
  <c r="ACZ33" i="16"/>
  <c r="ACY33" i="16"/>
  <c r="ACX33" i="16"/>
  <c r="ACW33" i="16"/>
  <c r="ACV33" i="16"/>
  <c r="ACU33" i="16"/>
  <c r="ACT33" i="16"/>
  <c r="ACS33" i="16"/>
  <c r="ACR33" i="16"/>
  <c r="ACQ33" i="16"/>
  <c r="ACP33" i="16"/>
  <c r="ACO33" i="16"/>
  <c r="ACN33" i="16"/>
  <c r="ACM33" i="16"/>
  <c r="ACL33" i="16"/>
  <c r="ACK33" i="16"/>
  <c r="ACJ33" i="16"/>
  <c r="ACI33" i="16"/>
  <c r="ACH33" i="16"/>
  <c r="ACG33" i="16"/>
  <c r="ACF33" i="16"/>
  <c r="ACE33" i="16"/>
  <c r="ACD33" i="16"/>
  <c r="ACC33" i="16"/>
  <c r="ACB33" i="16"/>
  <c r="ACA33" i="16"/>
  <c r="ABZ33" i="16"/>
  <c r="ABY33" i="16"/>
  <c r="ABX33" i="16"/>
  <c r="ABW33" i="16"/>
  <c r="ABV33" i="16"/>
  <c r="ABU33" i="16"/>
  <c r="ABT33" i="16"/>
  <c r="ABS33" i="16"/>
  <c r="ABR33" i="16"/>
  <c r="ABQ33" i="16"/>
  <c r="ABP33" i="16"/>
  <c r="ABO33" i="16"/>
  <c r="ABN33" i="16"/>
  <c r="ABM33" i="16"/>
  <c r="ABL33" i="16"/>
  <c r="ABK33" i="16"/>
  <c r="ABJ33" i="16"/>
  <c r="ABI33" i="16"/>
  <c r="ABH33" i="16"/>
  <c r="ABG33" i="16"/>
  <c r="ABF33" i="16"/>
  <c r="ABE33" i="16"/>
  <c r="ABD33" i="16"/>
  <c r="ABC33" i="16"/>
  <c r="ABB33" i="16"/>
  <c r="ABA33" i="16"/>
  <c r="AAZ33" i="16"/>
  <c r="AAY33" i="16"/>
  <c r="AAX33" i="16"/>
  <c r="AAW33" i="16"/>
  <c r="AAV33" i="16"/>
  <c r="AAU33" i="16"/>
  <c r="AAT33" i="16"/>
  <c r="AAS33" i="16"/>
  <c r="AAR33" i="16"/>
  <c r="AAQ33" i="16"/>
  <c r="AAP33" i="16"/>
  <c r="AAO33" i="16"/>
  <c r="AAN33" i="16"/>
  <c r="AAM33" i="16"/>
  <c r="AAL33" i="16"/>
  <c r="AAK33" i="16"/>
  <c r="AAJ33" i="16"/>
  <c r="AAI33" i="16"/>
  <c r="AAH33" i="16"/>
  <c r="AAG33" i="16"/>
  <c r="AAF33" i="16"/>
  <c r="AAE33" i="16"/>
  <c r="AAD33" i="16"/>
  <c r="AAC33" i="16"/>
  <c r="AAB33" i="16"/>
  <c r="AAA33" i="16"/>
  <c r="ZZ33" i="16"/>
  <c r="ZY33" i="16"/>
  <c r="ZX33" i="16"/>
  <c r="ZW33" i="16"/>
  <c r="ZV33" i="16"/>
  <c r="ZU33" i="16"/>
  <c r="ZT33" i="16"/>
  <c r="ZS33" i="16"/>
  <c r="ZR33" i="16"/>
  <c r="ZQ33" i="16"/>
  <c r="ZP33" i="16"/>
  <c r="ZO33" i="16"/>
  <c r="ZN33" i="16"/>
  <c r="ZM33" i="16"/>
  <c r="ZL33" i="16"/>
  <c r="ZK33" i="16"/>
  <c r="ZJ33" i="16"/>
  <c r="ZI33" i="16"/>
  <c r="ZH33" i="16"/>
  <c r="ZG33" i="16"/>
  <c r="ZF33" i="16"/>
  <c r="ZE33" i="16"/>
  <c r="ZD33" i="16"/>
  <c r="ZC33" i="16"/>
  <c r="ZB33" i="16"/>
  <c r="ZA33" i="16"/>
  <c r="YZ33" i="16"/>
  <c r="YY33" i="16"/>
  <c r="YX33" i="16"/>
  <c r="YW33" i="16"/>
  <c r="YV33" i="16"/>
  <c r="YU33" i="16"/>
  <c r="YT33" i="16"/>
  <c r="YS33" i="16"/>
  <c r="YR33" i="16"/>
  <c r="YQ33" i="16"/>
  <c r="YP33" i="16"/>
  <c r="YO33" i="16"/>
  <c r="YN33" i="16"/>
  <c r="YM33" i="16"/>
  <c r="YL33" i="16"/>
  <c r="YK33" i="16"/>
  <c r="YJ33" i="16"/>
  <c r="YI33" i="16"/>
  <c r="YH33" i="16"/>
  <c r="YG33" i="16"/>
  <c r="YF33" i="16"/>
  <c r="YE33" i="16"/>
  <c r="YD33" i="16"/>
  <c r="YC33" i="16"/>
  <c r="YB33" i="16"/>
  <c r="YA33" i="16"/>
  <c r="XZ33" i="16"/>
  <c r="XY33" i="16"/>
  <c r="XX33" i="16"/>
  <c r="XW33" i="16"/>
  <c r="XV33" i="16"/>
  <c r="XU33" i="16"/>
  <c r="XT33" i="16"/>
  <c r="XS33" i="16"/>
  <c r="XR33" i="16"/>
  <c r="XQ33" i="16"/>
  <c r="XP33" i="16"/>
  <c r="XO33" i="16"/>
  <c r="XN33" i="16"/>
  <c r="XM33" i="16"/>
  <c r="XL33" i="16"/>
  <c r="XK33" i="16"/>
  <c r="XJ33" i="16"/>
  <c r="XI33" i="16"/>
  <c r="XH33" i="16"/>
  <c r="XG33" i="16"/>
  <c r="XF33" i="16"/>
  <c r="XE33" i="16"/>
  <c r="XD33" i="16"/>
  <c r="XC33" i="16"/>
  <c r="XB33" i="16"/>
  <c r="XA33" i="16"/>
  <c r="WZ33" i="16"/>
  <c r="WY33" i="16"/>
  <c r="WX33" i="16"/>
  <c r="WW33" i="16"/>
  <c r="WV33" i="16"/>
  <c r="WU33" i="16"/>
  <c r="WT33" i="16"/>
  <c r="SA33" i="16"/>
  <c r="RZ33" i="16"/>
  <c r="RY33" i="16"/>
  <c r="RX33" i="16"/>
  <c r="RW33" i="16"/>
  <c r="RV33" i="16"/>
  <c r="RU33" i="16"/>
  <c r="RT33" i="16"/>
  <c r="RS33" i="16"/>
  <c r="RR33" i="16"/>
  <c r="RQ33" i="16"/>
  <c r="RP33" i="16"/>
  <c r="RO33" i="16"/>
  <c r="RN33" i="16"/>
  <c r="RM33" i="16"/>
  <c r="RL33" i="16"/>
  <c r="RK33" i="16"/>
  <c r="RJ33" i="16"/>
  <c r="RI33" i="16"/>
  <c r="RH33" i="16"/>
  <c r="RG33" i="16"/>
  <c r="QZ33" i="16"/>
  <c r="QY33" i="16"/>
  <c r="QX33" i="16"/>
  <c r="QW33" i="16"/>
  <c r="QV33" i="16"/>
  <c r="NV33" i="16"/>
  <c r="AEW30" i="16"/>
  <c r="AEV30" i="16"/>
  <c r="AEU30" i="16"/>
  <c r="AET30" i="16"/>
  <c r="AES30" i="16"/>
  <c r="AER30" i="16"/>
  <c r="AEQ30" i="16"/>
  <c r="AEP30" i="16"/>
  <c r="AEO30" i="16"/>
  <c r="AEN30" i="16"/>
  <c r="AEM30" i="16"/>
  <c r="AEL30" i="16"/>
  <c r="AEK30" i="16"/>
  <c r="AEJ30" i="16"/>
  <c r="AEI30" i="16"/>
  <c r="AEH30" i="16"/>
  <c r="AEG30" i="16"/>
  <c r="AEF30" i="16"/>
  <c r="AEE30" i="16"/>
  <c r="AED30" i="16"/>
  <c r="AEC30" i="16"/>
  <c r="AEB30" i="16"/>
  <c r="AEA30" i="16"/>
  <c r="ADZ30" i="16"/>
  <c r="ADY30" i="16"/>
  <c r="ADX30" i="16"/>
  <c r="ADW30" i="16"/>
  <c r="ADV30" i="16"/>
  <c r="ADU30" i="16"/>
  <c r="ADT30" i="16"/>
  <c r="ADS30" i="16"/>
  <c r="ADR30" i="16"/>
  <c r="ADQ30" i="16"/>
  <c r="ADP30" i="16"/>
  <c r="ADO30" i="16"/>
  <c r="ADN30" i="16"/>
  <c r="ADM30" i="16"/>
  <c r="ADL30" i="16"/>
  <c r="ADK30" i="16"/>
  <c r="ADJ30" i="16"/>
  <c r="ADI30" i="16"/>
  <c r="ADH30" i="16"/>
  <c r="ADG30" i="16"/>
  <c r="ADF30" i="16"/>
  <c r="ADE30" i="16"/>
  <c r="ADD30" i="16"/>
  <c r="ADC30" i="16"/>
  <c r="ADB30" i="16"/>
  <c r="ADA30" i="16"/>
  <c r="ACZ30" i="16"/>
  <c r="ACY30" i="16"/>
  <c r="ACX30" i="16"/>
  <c r="ACW30" i="16"/>
  <c r="ACV30" i="16"/>
  <c r="ACU30" i="16"/>
  <c r="ACT30" i="16"/>
  <c r="ACS30" i="16"/>
  <c r="ACR30" i="16"/>
  <c r="ACQ30" i="16"/>
  <c r="ACP30" i="16"/>
  <c r="ACO30" i="16"/>
  <c r="ACN30" i="16"/>
  <c r="ACM30" i="16"/>
  <c r="ACL30" i="16"/>
  <c r="ACK30" i="16"/>
  <c r="ACJ30" i="16"/>
  <c r="ACI30" i="16"/>
  <c r="ACH30" i="16"/>
  <c r="ACG30" i="16"/>
  <c r="ACF30" i="16"/>
  <c r="ACE30" i="16"/>
  <c r="ACD30" i="16"/>
  <c r="ACC30" i="16"/>
  <c r="ACB30" i="16"/>
  <c r="ACA30" i="16"/>
  <c r="ABZ30" i="16"/>
  <c r="ABY30" i="16"/>
  <c r="ABX30" i="16"/>
  <c r="ABW30" i="16"/>
  <c r="ABV30" i="16"/>
  <c r="ABU30" i="16"/>
  <c r="ABT30" i="16"/>
  <c r="ABS30" i="16"/>
  <c r="ABR30" i="16"/>
  <c r="ABQ30" i="16"/>
  <c r="ABP30" i="16"/>
  <c r="ABO30" i="16"/>
  <c r="ABN30" i="16"/>
  <c r="ABM30" i="16"/>
  <c r="ABL30" i="16"/>
  <c r="ABK30" i="16"/>
  <c r="ABJ30" i="16"/>
  <c r="ABI30" i="16"/>
  <c r="ABH30" i="16"/>
  <c r="ABG30" i="16"/>
  <c r="ABF30" i="16"/>
  <c r="ABE30" i="16"/>
  <c r="ABD30" i="16"/>
  <c r="ABC30" i="16"/>
  <c r="ABB30" i="16"/>
  <c r="ABA30" i="16"/>
  <c r="AAZ30" i="16"/>
  <c r="AAY30" i="16"/>
  <c r="AAX30" i="16"/>
  <c r="AAW30" i="16"/>
  <c r="AAV30" i="16"/>
  <c r="AAU30" i="16"/>
  <c r="AAT30" i="16"/>
  <c r="AAS30" i="16"/>
  <c r="AAR30" i="16"/>
  <c r="AAQ30" i="16"/>
  <c r="AAP30" i="16"/>
  <c r="AAO30" i="16"/>
  <c r="AAN30" i="16"/>
  <c r="AAM30" i="16"/>
  <c r="AAL30" i="16"/>
  <c r="AAK30" i="16"/>
  <c r="AAJ30" i="16"/>
  <c r="AAI30" i="16"/>
  <c r="AAH30" i="16"/>
  <c r="AAG30" i="16"/>
  <c r="AAF30" i="16"/>
  <c r="AAE30" i="16"/>
  <c r="AAD30" i="16"/>
  <c r="AAC30" i="16"/>
  <c r="AAB30" i="16"/>
  <c r="AAA30" i="16"/>
  <c r="ZZ30" i="16"/>
  <c r="ZY30" i="16"/>
  <c r="ZX30" i="16"/>
  <c r="ZW30" i="16"/>
  <c r="ZV30" i="16"/>
  <c r="ZU30" i="16"/>
  <c r="ZT30" i="16"/>
  <c r="ZS30" i="16"/>
  <c r="ZR30" i="16"/>
  <c r="ZQ30" i="16"/>
  <c r="ZP30" i="16"/>
  <c r="ZO30" i="16"/>
  <c r="ZN30" i="16"/>
  <c r="ZM30" i="16"/>
  <c r="ZL30" i="16"/>
  <c r="ZK30" i="16"/>
  <c r="ZJ30" i="16"/>
  <c r="ZI30" i="16"/>
  <c r="ZH30" i="16"/>
  <c r="ZG30" i="16"/>
  <c r="ZF30" i="16"/>
  <c r="ZE30" i="16"/>
  <c r="ZD30" i="16"/>
  <c r="ZC30" i="16"/>
  <c r="ZB30" i="16"/>
  <c r="ZA30" i="16"/>
  <c r="YZ30" i="16"/>
  <c r="YY30" i="16"/>
  <c r="YX30" i="16"/>
  <c r="YW30" i="16"/>
  <c r="YV30" i="16"/>
  <c r="YU30" i="16"/>
  <c r="YT30" i="16"/>
  <c r="YS30" i="16"/>
  <c r="YR30" i="16"/>
  <c r="YQ30" i="16"/>
  <c r="YP30" i="16"/>
  <c r="YO30" i="16"/>
  <c r="YN30" i="16"/>
  <c r="YM30" i="16"/>
  <c r="YL30" i="16"/>
  <c r="YK30" i="16"/>
  <c r="YJ30" i="16"/>
  <c r="YI30" i="16"/>
  <c r="YH30" i="16"/>
  <c r="YG30" i="16"/>
  <c r="YF30" i="16"/>
  <c r="YE30" i="16"/>
  <c r="YD30" i="16"/>
  <c r="YC30" i="16"/>
  <c r="YB30" i="16"/>
  <c r="YA30" i="16"/>
  <c r="XZ30" i="16"/>
  <c r="XY30" i="16"/>
  <c r="XX30" i="16"/>
  <c r="XW30" i="16"/>
  <c r="XV30" i="16"/>
  <c r="XU30" i="16"/>
  <c r="XT30" i="16"/>
  <c r="XS30" i="16"/>
  <c r="XR30" i="16"/>
  <c r="XQ30" i="16"/>
  <c r="XP30" i="16"/>
  <c r="XO30" i="16"/>
  <c r="XN30" i="16"/>
  <c r="XM30" i="16"/>
  <c r="XL30" i="16"/>
  <c r="XK30" i="16"/>
  <c r="XJ30" i="16"/>
  <c r="XI30" i="16"/>
  <c r="XH30" i="16"/>
  <c r="XG30" i="16"/>
  <c r="XF30" i="16"/>
  <c r="XE30" i="16"/>
  <c r="XD30" i="16"/>
  <c r="XC30" i="16"/>
  <c r="XB30" i="16"/>
  <c r="XA30" i="16"/>
  <c r="WZ30" i="16"/>
  <c r="WY30" i="16"/>
  <c r="WX30" i="16"/>
  <c r="WW30" i="16"/>
  <c r="WV30" i="16"/>
  <c r="WU30" i="16"/>
  <c r="WT30" i="16"/>
  <c r="WR30" i="16"/>
  <c r="WP30" i="16"/>
  <c r="WN30" i="16"/>
  <c r="WM30" i="16"/>
  <c r="WJ30" i="16"/>
  <c r="WH30" i="16"/>
  <c r="WF30" i="16"/>
  <c r="WE30" i="16"/>
  <c r="WB30" i="16"/>
  <c r="VX30" i="16"/>
  <c r="VW30" i="16"/>
  <c r="VV30" i="16"/>
  <c r="VT30" i="16"/>
  <c r="VP30" i="16"/>
  <c r="VO30" i="16"/>
  <c r="VN30" i="16"/>
  <c r="VL30" i="16"/>
  <c r="VH30" i="16"/>
  <c r="VG30" i="16"/>
  <c r="VD30" i="16"/>
  <c r="UZ30" i="16"/>
  <c r="UY30" i="16"/>
  <c r="UV30" i="16"/>
  <c r="UR30" i="16"/>
  <c r="UQ30" i="16"/>
  <c r="UN30" i="16"/>
  <c r="UJ30" i="16"/>
  <c r="UI30" i="16"/>
  <c r="UF30" i="16"/>
  <c r="UD30" i="16"/>
  <c r="UB30" i="16"/>
  <c r="UA30" i="16"/>
  <c r="TX30" i="16"/>
  <c r="TV30" i="16"/>
  <c r="TT30" i="16"/>
  <c r="TS30" i="16"/>
  <c r="TP30" i="16"/>
  <c r="TL30" i="16"/>
  <c r="TK30" i="16"/>
  <c r="TJ30" i="16"/>
  <c r="TH30" i="16"/>
  <c r="TD30" i="16"/>
  <c r="TC30" i="16"/>
  <c r="TB30" i="16"/>
  <c r="SZ30" i="16"/>
  <c r="SV30" i="16"/>
  <c r="SU30" i="16"/>
  <c r="SR30" i="16"/>
  <c r="SN30" i="16"/>
  <c r="SM30" i="16"/>
  <c r="SJ30" i="16"/>
  <c r="SF30" i="16"/>
  <c r="SE30" i="16"/>
  <c r="SB30" i="16"/>
  <c r="SA30" i="16"/>
  <c r="RZ30" i="16"/>
  <c r="RY30" i="16"/>
  <c r="RX30" i="16"/>
  <c r="RW30" i="16"/>
  <c r="RV30" i="16"/>
  <c r="RU30" i="16"/>
  <c r="RT30" i="16"/>
  <c r="RS30" i="16"/>
  <c r="RR30" i="16"/>
  <c r="RQ30" i="16"/>
  <c r="RP30" i="16"/>
  <c r="RO30" i="16"/>
  <c r="RN30" i="16"/>
  <c r="RM30" i="16"/>
  <c r="RL30" i="16"/>
  <c r="RK30" i="16"/>
  <c r="RJ30" i="16"/>
  <c r="RI30" i="16"/>
  <c r="RH30" i="16"/>
  <c r="RG30" i="16"/>
  <c r="RF30" i="16"/>
  <c r="RC30" i="16"/>
  <c r="RB30" i="16"/>
  <c r="QZ30" i="16"/>
  <c r="QY30" i="16"/>
  <c r="QX30" i="16"/>
  <c r="QW30" i="16"/>
  <c r="QV30" i="16"/>
  <c r="QU30" i="16"/>
  <c r="QT30" i="16"/>
  <c r="QS30" i="16"/>
  <c r="QO30" i="16"/>
  <c r="QK30" i="16"/>
  <c r="QG30" i="16"/>
  <c r="QD30" i="16"/>
  <c r="QC30" i="16"/>
  <c r="QB30" i="16"/>
  <c r="PY30" i="16"/>
  <c r="PX30" i="16"/>
  <c r="PU30" i="16"/>
  <c r="PT30" i="16"/>
  <c r="PQ30" i="16"/>
  <c r="PP30" i="16"/>
  <c r="PN30" i="16"/>
  <c r="PM30" i="16"/>
  <c r="PI30" i="16"/>
  <c r="PE30" i="16"/>
  <c r="PA30" i="16"/>
  <c r="OX30" i="16"/>
  <c r="OW30" i="16"/>
  <c r="OV30" i="16"/>
  <c r="OS30" i="16"/>
  <c r="OR30" i="16"/>
  <c r="OO30" i="16"/>
  <c r="ON30" i="16"/>
  <c r="OK30" i="16"/>
  <c r="OJ30" i="16"/>
  <c r="OH30" i="16"/>
  <c r="OG30" i="16"/>
  <c r="OC30" i="16"/>
  <c r="NY30" i="16"/>
  <c r="NU30" i="16"/>
  <c r="NE30" i="16"/>
  <c r="ND30" i="16"/>
  <c r="MZ30" i="16"/>
  <c r="MV30" i="16"/>
  <c r="MT30" i="16"/>
  <c r="MR30" i="16"/>
  <c r="MO30" i="16"/>
  <c r="MN30" i="16"/>
  <c r="ML30" i="16"/>
  <c r="MJ30" i="16"/>
  <c r="MF30" i="16"/>
  <c r="MD30" i="16"/>
  <c r="MB30" i="16"/>
  <c r="LY30" i="16"/>
  <c r="LX30" i="16"/>
  <c r="LT30" i="16"/>
  <c r="LP30" i="16"/>
  <c r="LL30" i="16"/>
  <c r="LI30" i="16"/>
  <c r="LH30" i="16"/>
  <c r="LD30" i="16"/>
  <c r="KZ30" i="16"/>
  <c r="KV30" i="16"/>
  <c r="KS30" i="16"/>
  <c r="KR30" i="16"/>
  <c r="KN30" i="16"/>
  <c r="KJ30" i="16"/>
  <c r="KF30" i="16"/>
  <c r="KC30" i="16"/>
  <c r="KB30" i="16"/>
  <c r="JX30" i="16"/>
  <c r="JV30" i="16"/>
  <c r="JT30" i="16"/>
  <c r="JP30" i="16"/>
  <c r="JN30" i="16"/>
  <c r="JM30" i="16"/>
  <c r="JL30" i="16"/>
  <c r="JH30" i="16"/>
  <c r="JF30" i="16"/>
  <c r="JD30" i="16"/>
  <c r="IZ30" i="16"/>
  <c r="IW30" i="16"/>
  <c r="IV30" i="16"/>
  <c r="IR30" i="16"/>
  <c r="IN30" i="16"/>
  <c r="IJ30" i="16"/>
  <c r="IG30" i="16"/>
  <c r="IF30" i="16"/>
  <c r="IB30" i="16"/>
  <c r="HX30" i="16"/>
  <c r="HV30" i="16"/>
  <c r="HT30" i="16"/>
  <c r="HQ30" i="16"/>
  <c r="HP30" i="16"/>
  <c r="HN30" i="16"/>
  <c r="HL30" i="16"/>
  <c r="HH30" i="16"/>
  <c r="HF30" i="16"/>
  <c r="HD30" i="16"/>
  <c r="HA30" i="16"/>
  <c r="GZ30" i="16"/>
  <c r="GV30" i="16"/>
  <c r="GR30" i="16"/>
  <c r="GN30" i="16"/>
  <c r="GK30" i="16"/>
  <c r="GJ30" i="16"/>
  <c r="GF30" i="16"/>
  <c r="GB30" i="16"/>
  <c r="FX30" i="16"/>
  <c r="FU30" i="16"/>
  <c r="FT30" i="16"/>
  <c r="FP30" i="16"/>
  <c r="FL30" i="16"/>
  <c r="FH30" i="16"/>
  <c r="FE30" i="16"/>
  <c r="FD30" i="16"/>
  <c r="EZ30" i="16"/>
  <c r="EX30" i="16"/>
  <c r="EV30" i="16"/>
  <c r="ER30" i="16"/>
  <c r="EP30" i="16"/>
  <c r="EO30" i="16"/>
  <c r="EN30" i="16"/>
  <c r="EJ30" i="16"/>
  <c r="EH30" i="16"/>
  <c r="EF30" i="16"/>
  <c r="EB30" i="16"/>
  <c r="DY30" i="16"/>
  <c r="DX30" i="16"/>
  <c r="DT30" i="16"/>
  <c r="DP30" i="16"/>
  <c r="DL30" i="16"/>
  <c r="DK30" i="16"/>
  <c r="DH30" i="16"/>
  <c r="DD30" i="16"/>
  <c r="DC30" i="16"/>
  <c r="DB30" i="16"/>
  <c r="CZ30" i="16"/>
  <c r="CV30" i="16"/>
  <c r="CU30" i="16"/>
  <c r="CT30" i="16"/>
  <c r="CR30" i="16"/>
  <c r="CN30" i="16"/>
  <c r="CM30" i="16"/>
  <c r="CL30" i="16"/>
  <c r="CJ30" i="16"/>
  <c r="CF30" i="16"/>
  <c r="CE30" i="16"/>
  <c r="CB30" i="16"/>
  <c r="BX30" i="16"/>
  <c r="BW30" i="16"/>
  <c r="BT30" i="16"/>
  <c r="BP30" i="16"/>
  <c r="BO30" i="16"/>
  <c r="BL30" i="16"/>
  <c r="BH30" i="16"/>
  <c r="BG30" i="16"/>
  <c r="BD30" i="16"/>
  <c r="AZ30" i="16"/>
  <c r="AY30" i="16"/>
  <c r="AV30" i="16"/>
  <c r="AR30" i="16"/>
  <c r="AQ30" i="16"/>
  <c r="AN30" i="16"/>
  <c r="AJ30" i="16"/>
  <c r="AI30" i="16"/>
  <c r="AF30" i="16"/>
  <c r="AB30" i="16"/>
  <c r="AA30" i="16"/>
  <c r="X30" i="16"/>
  <c r="V30" i="16"/>
  <c r="T30" i="16"/>
  <c r="S30" i="16"/>
  <c r="P30" i="16"/>
  <c r="AEW27" i="16"/>
  <c r="AEV27" i="16"/>
  <c r="AEU27" i="16"/>
  <c r="AET27" i="16"/>
  <c r="AES27" i="16"/>
  <c r="AER27" i="16"/>
  <c r="AEQ27" i="16"/>
  <c r="AEP27" i="16"/>
  <c r="AEO27" i="16"/>
  <c r="AEN27" i="16"/>
  <c r="AEM27" i="16"/>
  <c r="AEL27" i="16"/>
  <c r="AEK27" i="16"/>
  <c r="AEJ27" i="16"/>
  <c r="AEI27" i="16"/>
  <c r="AEH27" i="16"/>
  <c r="AEG27" i="16"/>
  <c r="AEF27" i="16"/>
  <c r="AEE27" i="16"/>
  <c r="AED27" i="16"/>
  <c r="AEC27" i="16"/>
  <c r="AEB27" i="16"/>
  <c r="AEA27" i="16"/>
  <c r="ADZ27" i="16"/>
  <c r="ADY27" i="16"/>
  <c r="ADX27" i="16"/>
  <c r="ADW27" i="16"/>
  <c r="ADV27" i="16"/>
  <c r="ADU27" i="16"/>
  <c r="ADT27" i="16"/>
  <c r="ADS27" i="16"/>
  <c r="ADR27" i="16"/>
  <c r="ADQ27" i="16"/>
  <c r="ADP27" i="16"/>
  <c r="ADO27" i="16"/>
  <c r="ADN27" i="16"/>
  <c r="ADM27" i="16"/>
  <c r="ADL27" i="16"/>
  <c r="ADK27" i="16"/>
  <c r="ADJ27" i="16"/>
  <c r="ADI27" i="16"/>
  <c r="ADH27" i="16"/>
  <c r="ADG27" i="16"/>
  <c r="ADF27" i="16"/>
  <c r="ADE27" i="16"/>
  <c r="ADD27" i="16"/>
  <c r="ADC27" i="16"/>
  <c r="ADB27" i="16"/>
  <c r="ADA27" i="16"/>
  <c r="ACZ27" i="16"/>
  <c r="ACY27" i="16"/>
  <c r="ACX27" i="16"/>
  <c r="ACW27" i="16"/>
  <c r="ACV27" i="16"/>
  <c r="ACU27" i="16"/>
  <c r="ACT27" i="16"/>
  <c r="ACS27" i="16"/>
  <c r="ACR27" i="16"/>
  <c r="ACQ27" i="16"/>
  <c r="ACP27" i="16"/>
  <c r="ACO27" i="16"/>
  <c r="ACN27" i="16"/>
  <c r="ACM27" i="16"/>
  <c r="ACL27" i="16"/>
  <c r="ACK27" i="16"/>
  <c r="ACJ27" i="16"/>
  <c r="ACI27" i="16"/>
  <c r="ACH27" i="16"/>
  <c r="ACG27" i="16"/>
  <c r="ACF27" i="16"/>
  <c r="ACE27" i="16"/>
  <c r="ACD27" i="16"/>
  <c r="ACC27" i="16"/>
  <c r="ACB27" i="16"/>
  <c r="ACA27" i="16"/>
  <c r="ABZ27" i="16"/>
  <c r="ABY27" i="16"/>
  <c r="ABX27" i="16"/>
  <c r="ABW27" i="16"/>
  <c r="ABV27" i="16"/>
  <c r="ABU27" i="16"/>
  <c r="ABT27" i="16"/>
  <c r="ABS27" i="16"/>
  <c r="ABR27" i="16"/>
  <c r="ABQ27" i="16"/>
  <c r="ABP27" i="16"/>
  <c r="ABO27" i="16"/>
  <c r="ABN27" i="16"/>
  <c r="ABM27" i="16"/>
  <c r="ABL27" i="16"/>
  <c r="ABK27" i="16"/>
  <c r="ABJ27" i="16"/>
  <c r="ABI27" i="16"/>
  <c r="ABH27" i="16"/>
  <c r="ABG27" i="16"/>
  <c r="ABF27" i="16"/>
  <c r="ABE27" i="16"/>
  <c r="ABD27" i="16"/>
  <c r="ABC27" i="16"/>
  <c r="ABB27" i="16"/>
  <c r="ABA27" i="16"/>
  <c r="AAZ27" i="16"/>
  <c r="AAY27" i="16"/>
  <c r="AAX27" i="16"/>
  <c r="AAW27" i="16"/>
  <c r="AAV27" i="16"/>
  <c r="AAU27" i="16"/>
  <c r="AAT27" i="16"/>
  <c r="AAS27" i="16"/>
  <c r="AAR27" i="16"/>
  <c r="AAQ27" i="16"/>
  <c r="AAP27" i="16"/>
  <c r="AAO27" i="16"/>
  <c r="AAN27" i="16"/>
  <c r="AAM27" i="16"/>
  <c r="AAL27" i="16"/>
  <c r="AAK27" i="16"/>
  <c r="AAJ27" i="16"/>
  <c r="AAI27" i="16"/>
  <c r="AAH27" i="16"/>
  <c r="AAG27" i="16"/>
  <c r="AAF27" i="16"/>
  <c r="AAE27" i="16"/>
  <c r="AAD27" i="16"/>
  <c r="AAC27" i="16"/>
  <c r="AAB27" i="16"/>
  <c r="AAA27" i="16"/>
  <c r="ZZ27" i="16"/>
  <c r="ZY27" i="16"/>
  <c r="ZX27" i="16"/>
  <c r="ZW27" i="16"/>
  <c r="ZV27" i="16"/>
  <c r="ZU27" i="16"/>
  <c r="ZT27" i="16"/>
  <c r="ZS27" i="16"/>
  <c r="ZR27" i="16"/>
  <c r="ZQ27" i="16"/>
  <c r="ZP27" i="16"/>
  <c r="ZO27" i="16"/>
  <c r="ZN27" i="16"/>
  <c r="ZM27" i="16"/>
  <c r="ZL27" i="16"/>
  <c r="ZK27" i="16"/>
  <c r="ZJ27" i="16"/>
  <c r="ZI27" i="16"/>
  <c r="ZH27" i="16"/>
  <c r="ZG27" i="16"/>
  <c r="ZF27" i="16"/>
  <c r="ZE27" i="16"/>
  <c r="ZD27" i="16"/>
  <c r="ZC27" i="16"/>
  <c r="ZB27" i="16"/>
  <c r="ZA27" i="16"/>
  <c r="YZ27" i="16"/>
  <c r="YY27" i="16"/>
  <c r="YX27" i="16"/>
  <c r="YW27" i="16"/>
  <c r="YV27" i="16"/>
  <c r="YU27" i="16"/>
  <c r="YT27" i="16"/>
  <c r="YS27" i="16"/>
  <c r="YR27" i="16"/>
  <c r="YQ27" i="16"/>
  <c r="YP27" i="16"/>
  <c r="YO27" i="16"/>
  <c r="YN27" i="16"/>
  <c r="YM27" i="16"/>
  <c r="YL27" i="16"/>
  <c r="YK27" i="16"/>
  <c r="YJ27" i="16"/>
  <c r="YI27" i="16"/>
  <c r="YH27" i="16"/>
  <c r="YG27" i="16"/>
  <c r="YF27" i="16"/>
  <c r="YE27" i="16"/>
  <c r="YD27" i="16"/>
  <c r="YC27" i="16"/>
  <c r="YB27" i="16"/>
  <c r="YA27" i="16"/>
  <c r="XZ27" i="16"/>
  <c r="XY27" i="16"/>
  <c r="XX27" i="16"/>
  <c r="XW27" i="16"/>
  <c r="XV27" i="16"/>
  <c r="XU27" i="16"/>
  <c r="XT27" i="16"/>
  <c r="XS27" i="16"/>
  <c r="XR27" i="16"/>
  <c r="XQ27" i="16"/>
  <c r="XP27" i="16"/>
  <c r="XO27" i="16"/>
  <c r="XN27" i="16"/>
  <c r="XM27" i="16"/>
  <c r="XL27" i="16"/>
  <c r="XK27" i="16"/>
  <c r="XJ27" i="16"/>
  <c r="XI27" i="16"/>
  <c r="XH27" i="16"/>
  <c r="XG27" i="16"/>
  <c r="XF27" i="16"/>
  <c r="XE27" i="16"/>
  <c r="XD27" i="16"/>
  <c r="XC27" i="16"/>
  <c r="XB27" i="16"/>
  <c r="XA27" i="16"/>
  <c r="WZ27" i="16"/>
  <c r="WY27" i="16"/>
  <c r="WX27" i="16"/>
  <c r="WW27" i="16"/>
  <c r="WV27" i="16"/>
  <c r="WU27" i="16"/>
  <c r="WT27" i="16"/>
  <c r="SA27" i="16"/>
  <c r="RZ27" i="16"/>
  <c r="RY27" i="16"/>
  <c r="RX27" i="16"/>
  <c r="RW27" i="16"/>
  <c r="RV27" i="16"/>
  <c r="RU27" i="16"/>
  <c r="RT27" i="16"/>
  <c r="RS27" i="16"/>
  <c r="RR27" i="16"/>
  <c r="RQ27" i="16"/>
  <c r="RP27" i="16"/>
  <c r="RO27" i="16"/>
  <c r="RN27" i="16"/>
  <c r="RM27" i="16"/>
  <c r="RL27" i="16"/>
  <c r="RK27" i="16"/>
  <c r="RJ27" i="16"/>
  <c r="RI27" i="16"/>
  <c r="RH27" i="16"/>
  <c r="RG27" i="16"/>
  <c r="QZ27" i="16"/>
  <c r="QY27" i="16"/>
  <c r="QX27" i="16"/>
  <c r="QW27" i="16"/>
  <c r="QV27" i="16"/>
  <c r="QU27" i="16"/>
  <c r="AEW24" i="16"/>
  <c r="AEV24" i="16"/>
  <c r="AEU24" i="16"/>
  <c r="AET24" i="16"/>
  <c r="AES24" i="16"/>
  <c r="AER24" i="16"/>
  <c r="AEQ24" i="16"/>
  <c r="AEP24" i="16"/>
  <c r="AEO24" i="16"/>
  <c r="AEN24" i="16"/>
  <c r="AEM24" i="16"/>
  <c r="AEL24" i="16"/>
  <c r="AEK24" i="16"/>
  <c r="AEJ24" i="16"/>
  <c r="AEI24" i="16"/>
  <c r="AEH24" i="16"/>
  <c r="AEG24" i="16"/>
  <c r="AEF24" i="16"/>
  <c r="AEE24" i="16"/>
  <c r="AED24" i="16"/>
  <c r="AEC24" i="16"/>
  <c r="AEB24" i="16"/>
  <c r="AEA24" i="16"/>
  <c r="ADZ24" i="16"/>
  <c r="ADY24" i="16"/>
  <c r="ADX24" i="16"/>
  <c r="ADW24" i="16"/>
  <c r="ADV24" i="16"/>
  <c r="ADU24" i="16"/>
  <c r="ADT24" i="16"/>
  <c r="ADS24" i="16"/>
  <c r="ADR24" i="16"/>
  <c r="ADQ24" i="16"/>
  <c r="ADP24" i="16"/>
  <c r="ADO24" i="16"/>
  <c r="ADN24" i="16"/>
  <c r="ADM24" i="16"/>
  <c r="ADL24" i="16"/>
  <c r="ADK24" i="16"/>
  <c r="ADJ24" i="16"/>
  <c r="ADI24" i="16"/>
  <c r="ADH24" i="16"/>
  <c r="ADG24" i="16"/>
  <c r="ADF24" i="16"/>
  <c r="ADE24" i="16"/>
  <c r="ADD24" i="16"/>
  <c r="ADC24" i="16"/>
  <c r="ADB24" i="16"/>
  <c r="ADA24" i="16"/>
  <c r="ACZ24" i="16"/>
  <c r="ACY24" i="16"/>
  <c r="ACX24" i="16"/>
  <c r="ACW24" i="16"/>
  <c r="ACV24" i="16"/>
  <c r="ACU24" i="16"/>
  <c r="ACT24" i="16"/>
  <c r="ACS24" i="16"/>
  <c r="ACR24" i="16"/>
  <c r="ACQ24" i="16"/>
  <c r="ACP24" i="16"/>
  <c r="ACO24" i="16"/>
  <c r="ACN24" i="16"/>
  <c r="ACM24" i="16"/>
  <c r="ACL24" i="16"/>
  <c r="ACK24" i="16"/>
  <c r="ACJ24" i="16"/>
  <c r="ACI24" i="16"/>
  <c r="ACH24" i="16"/>
  <c r="ACG24" i="16"/>
  <c r="ACF24" i="16"/>
  <c r="ACE24" i="16"/>
  <c r="ACD24" i="16"/>
  <c r="ACC24" i="16"/>
  <c r="ACB24" i="16"/>
  <c r="ACA24" i="16"/>
  <c r="ABZ24" i="16"/>
  <c r="ABY24" i="16"/>
  <c r="ABX24" i="16"/>
  <c r="ABW24" i="16"/>
  <c r="ABV24" i="16"/>
  <c r="ABU24" i="16"/>
  <c r="ABT24" i="16"/>
  <c r="ABS24" i="16"/>
  <c r="ABR24" i="16"/>
  <c r="ABQ24" i="16"/>
  <c r="ABP24" i="16"/>
  <c r="ABO24" i="16"/>
  <c r="ABN24" i="16"/>
  <c r="ABM24" i="16"/>
  <c r="ABL24" i="16"/>
  <c r="ABK24" i="16"/>
  <c r="ABJ24" i="16"/>
  <c r="ABI24" i="16"/>
  <c r="ABH24" i="16"/>
  <c r="ABG24" i="16"/>
  <c r="ABF24" i="16"/>
  <c r="ABE24" i="16"/>
  <c r="ABD24" i="16"/>
  <c r="ABC24" i="16"/>
  <c r="ABB24" i="16"/>
  <c r="ABA24" i="16"/>
  <c r="AAZ24" i="16"/>
  <c r="AAY24" i="16"/>
  <c r="AAX24" i="16"/>
  <c r="AAW24" i="16"/>
  <c r="AAV24" i="16"/>
  <c r="AAU24" i="16"/>
  <c r="AAT24" i="16"/>
  <c r="AAS24" i="16"/>
  <c r="AAR24" i="16"/>
  <c r="AAQ24" i="16"/>
  <c r="AAP24" i="16"/>
  <c r="AAO24" i="16"/>
  <c r="AAN24" i="16"/>
  <c r="AAM24" i="16"/>
  <c r="AAL24" i="16"/>
  <c r="AAK24" i="16"/>
  <c r="AAJ24" i="16"/>
  <c r="AAI24" i="16"/>
  <c r="AAH24" i="16"/>
  <c r="AAG24" i="16"/>
  <c r="AAF24" i="16"/>
  <c r="AAE24" i="16"/>
  <c r="AAD24" i="16"/>
  <c r="AAC24" i="16"/>
  <c r="AAB24" i="16"/>
  <c r="AAA24" i="16"/>
  <c r="ZZ24" i="16"/>
  <c r="ZY24" i="16"/>
  <c r="ZX24" i="16"/>
  <c r="ZW24" i="16"/>
  <c r="ZV24" i="16"/>
  <c r="ZU24" i="16"/>
  <c r="ZT24" i="16"/>
  <c r="ZS24" i="16"/>
  <c r="ZR24" i="16"/>
  <c r="ZQ24" i="16"/>
  <c r="ZP24" i="16"/>
  <c r="ZO24" i="16"/>
  <c r="ZN24" i="16"/>
  <c r="ZM24" i="16"/>
  <c r="ZL24" i="16"/>
  <c r="ZK24" i="16"/>
  <c r="ZJ24" i="16"/>
  <c r="ZI24" i="16"/>
  <c r="ZH24" i="16"/>
  <c r="ZG24" i="16"/>
  <c r="ZF24" i="16"/>
  <c r="ZE24" i="16"/>
  <c r="ZD24" i="16"/>
  <c r="ZC24" i="16"/>
  <c r="ZB24" i="16"/>
  <c r="ZA24" i="16"/>
  <c r="YZ24" i="16"/>
  <c r="YY24" i="16"/>
  <c r="YX24" i="16"/>
  <c r="YW24" i="16"/>
  <c r="YV24" i="16"/>
  <c r="YU24" i="16"/>
  <c r="YT24" i="16"/>
  <c r="YS24" i="16"/>
  <c r="YR24" i="16"/>
  <c r="YQ24" i="16"/>
  <c r="YP24" i="16"/>
  <c r="YO24" i="16"/>
  <c r="YN24" i="16"/>
  <c r="YM24" i="16"/>
  <c r="YL24" i="16"/>
  <c r="YK24" i="16"/>
  <c r="YJ24" i="16"/>
  <c r="YI24" i="16"/>
  <c r="YH24" i="16"/>
  <c r="YG24" i="16"/>
  <c r="YF24" i="16"/>
  <c r="YE24" i="16"/>
  <c r="YD24" i="16"/>
  <c r="YC24" i="16"/>
  <c r="YB24" i="16"/>
  <c r="YA24" i="16"/>
  <c r="XZ24" i="16"/>
  <c r="XY24" i="16"/>
  <c r="XX24" i="16"/>
  <c r="XW24" i="16"/>
  <c r="XV24" i="16"/>
  <c r="XU24" i="16"/>
  <c r="XT24" i="16"/>
  <c r="XS24" i="16"/>
  <c r="XR24" i="16"/>
  <c r="XQ24" i="16"/>
  <c r="XP24" i="16"/>
  <c r="XO24" i="16"/>
  <c r="XN24" i="16"/>
  <c r="XM24" i="16"/>
  <c r="XL24" i="16"/>
  <c r="XK24" i="16"/>
  <c r="XJ24" i="16"/>
  <c r="XI24" i="16"/>
  <c r="XH24" i="16"/>
  <c r="XG24" i="16"/>
  <c r="XF24" i="16"/>
  <c r="XE24" i="16"/>
  <c r="XD24" i="16"/>
  <c r="XC24" i="16"/>
  <c r="XB24" i="16"/>
  <c r="XA24" i="16"/>
  <c r="WZ24" i="16"/>
  <c r="WY24" i="16"/>
  <c r="WX24" i="16"/>
  <c r="WW24" i="16"/>
  <c r="WV24" i="16"/>
  <c r="WU24" i="16"/>
  <c r="WT24" i="16"/>
  <c r="WR24" i="16"/>
  <c r="WQ24" i="16"/>
  <c r="WN24" i="16"/>
  <c r="WM24" i="16"/>
  <c r="WJ24" i="16"/>
  <c r="WI24" i="16"/>
  <c r="WF24" i="16"/>
  <c r="WE24" i="16"/>
  <c r="WB24" i="16"/>
  <c r="WA24" i="16"/>
  <c r="VX24" i="16"/>
  <c r="VW24" i="16"/>
  <c r="VT24" i="16"/>
  <c r="VS24" i="16"/>
  <c r="VP24" i="16"/>
  <c r="VO24" i="16"/>
  <c r="VL24" i="16"/>
  <c r="VK24" i="16"/>
  <c r="VH24" i="16"/>
  <c r="VG24" i="16"/>
  <c r="VD24" i="16"/>
  <c r="VC24" i="16"/>
  <c r="UZ24" i="16"/>
  <c r="UY24" i="16"/>
  <c r="UV24" i="16"/>
  <c r="UU24" i="16"/>
  <c r="UR24" i="16"/>
  <c r="UQ24" i="16"/>
  <c r="UN24" i="16"/>
  <c r="UM24" i="16"/>
  <c r="UJ24" i="16"/>
  <c r="UI24" i="16"/>
  <c r="UF24" i="16"/>
  <c r="UE24" i="16"/>
  <c r="UB24" i="16"/>
  <c r="UA24" i="16"/>
  <c r="TX24" i="16"/>
  <c r="TW24" i="16"/>
  <c r="TT24" i="16"/>
  <c r="TS24" i="16"/>
  <c r="TP24" i="16"/>
  <c r="TO24" i="16"/>
  <c r="TL24" i="16"/>
  <c r="TK24" i="16"/>
  <c r="TH24" i="16"/>
  <c r="TG24" i="16"/>
  <c r="TD24" i="16"/>
  <c r="TC24" i="16"/>
  <c r="SZ24" i="16"/>
  <c r="SY24" i="16"/>
  <c r="SV24" i="16"/>
  <c r="SU24" i="16"/>
  <c r="SR24" i="16"/>
  <c r="SQ24" i="16"/>
  <c r="SN24" i="16"/>
  <c r="SM24" i="16"/>
  <c r="SJ24" i="16"/>
  <c r="SI24" i="16"/>
  <c r="SF24" i="16"/>
  <c r="SE24" i="16"/>
  <c r="SB24" i="16"/>
  <c r="SA24" i="16"/>
  <c r="RZ24" i="16"/>
  <c r="RY24" i="16"/>
  <c r="RX24" i="16"/>
  <c r="RW24" i="16"/>
  <c r="RV24" i="16"/>
  <c r="RU24" i="16"/>
  <c r="RT24" i="16"/>
  <c r="RS24" i="16"/>
  <c r="RR24" i="16"/>
  <c r="RQ24" i="16"/>
  <c r="RP24" i="16"/>
  <c r="RO24" i="16"/>
  <c r="RN24" i="16"/>
  <c r="RM24" i="16"/>
  <c r="RL24" i="16"/>
  <c r="RK24" i="16"/>
  <c r="RJ24" i="16"/>
  <c r="RI24" i="16"/>
  <c r="RH24" i="16"/>
  <c r="RG24" i="16"/>
  <c r="RC24" i="16"/>
  <c r="QZ24" i="16"/>
  <c r="QY24" i="16"/>
  <c r="QX24" i="16"/>
  <c r="QW24" i="16"/>
  <c r="QV24" i="16"/>
  <c r="QU24" i="16"/>
  <c r="QS24" i="16"/>
  <c r="QO24" i="16"/>
  <c r="QN24" i="16"/>
  <c r="QK24" i="16"/>
  <c r="QG24" i="16"/>
  <c r="QF24" i="16"/>
  <c r="QC24" i="16"/>
  <c r="PY24" i="16"/>
  <c r="PX24" i="16"/>
  <c r="PU24" i="16"/>
  <c r="PQ24" i="16"/>
  <c r="PP24" i="16"/>
  <c r="PM24" i="16"/>
  <c r="PI24" i="16"/>
  <c r="PH24" i="16"/>
  <c r="PE24" i="16"/>
  <c r="PA24" i="16"/>
  <c r="OZ24" i="16"/>
  <c r="OW24" i="16"/>
  <c r="OS24" i="16"/>
  <c r="OR24" i="16"/>
  <c r="OO24" i="16"/>
  <c r="OK24" i="16"/>
  <c r="OJ24" i="16"/>
  <c r="OG24" i="16"/>
  <c r="OC24" i="16"/>
  <c r="OB24" i="16"/>
  <c r="NY24" i="16"/>
  <c r="NU24" i="16"/>
  <c r="NT24" i="16"/>
  <c r="NQ24" i="16"/>
  <c r="NM24" i="16"/>
  <c r="NL24" i="16"/>
  <c r="NI24" i="16"/>
  <c r="NE24" i="16"/>
  <c r="ND24" i="16"/>
  <c r="NA24" i="16"/>
  <c r="MW24" i="16"/>
  <c r="MV24" i="16"/>
  <c r="MS24" i="16"/>
  <c r="JX24" i="16"/>
  <c r="JW24" i="16"/>
  <c r="JT24" i="16"/>
  <c r="JP24" i="16"/>
  <c r="JO24" i="16"/>
  <c r="JL24" i="16"/>
  <c r="JH24" i="16"/>
  <c r="JG24" i="16"/>
  <c r="JD24" i="16"/>
  <c r="IZ24" i="16"/>
  <c r="IY24" i="16"/>
  <c r="IV24" i="16"/>
  <c r="IR24" i="16"/>
  <c r="IQ24" i="16"/>
  <c r="IN24" i="16"/>
  <c r="IJ24" i="16"/>
  <c r="II24" i="16"/>
  <c r="IF24" i="16"/>
  <c r="IB24" i="16"/>
  <c r="IA24" i="16"/>
  <c r="HX24" i="16"/>
  <c r="HT24" i="16"/>
  <c r="HS24" i="16"/>
  <c r="HP24" i="16"/>
  <c r="HO24" i="16"/>
  <c r="HL24" i="16"/>
  <c r="HK24" i="16"/>
  <c r="HH24" i="16"/>
  <c r="HD24" i="16"/>
  <c r="HC24" i="16"/>
  <c r="GZ24" i="16"/>
  <c r="GY24" i="16"/>
  <c r="GV24" i="16"/>
  <c r="GU24" i="16"/>
  <c r="GR24" i="16"/>
  <c r="GN24" i="16"/>
  <c r="GM24" i="16"/>
  <c r="GJ24" i="16"/>
  <c r="GI24" i="16"/>
  <c r="GF24" i="16"/>
  <c r="GE24" i="16"/>
  <c r="GB24" i="16"/>
  <c r="FX24" i="16"/>
  <c r="FW24" i="16"/>
  <c r="FT24" i="16"/>
  <c r="FS24" i="16"/>
  <c r="FP24" i="16"/>
  <c r="FO24" i="16"/>
  <c r="FL24" i="16"/>
  <c r="FH24" i="16"/>
  <c r="FG24" i="16"/>
  <c r="FD24" i="16"/>
  <c r="FC24" i="16"/>
  <c r="EZ24" i="16"/>
  <c r="EY24" i="16"/>
  <c r="EV24" i="16"/>
  <c r="EU24" i="16"/>
  <c r="ER24" i="16"/>
  <c r="EQ24" i="16"/>
  <c r="EN24" i="16"/>
  <c r="EM24" i="16"/>
  <c r="EJ24" i="16"/>
  <c r="EI24" i="16"/>
  <c r="EF24" i="16"/>
  <c r="EE24" i="16"/>
  <c r="EB24" i="16"/>
  <c r="EA24" i="16"/>
  <c r="DX24" i="16"/>
  <c r="DW24" i="16"/>
  <c r="DT24" i="16"/>
  <c r="DS24" i="16"/>
  <c r="DP24" i="16"/>
  <c r="DO24" i="16"/>
  <c r="DL24" i="16"/>
  <c r="DK24" i="16"/>
  <c r="DH24" i="16"/>
  <c r="DG24" i="16"/>
  <c r="DD24" i="16"/>
  <c r="DC24" i="16"/>
  <c r="CZ24" i="16"/>
  <c r="CY24" i="16"/>
  <c r="CV24" i="16"/>
  <c r="CU24" i="16"/>
  <c r="CR24" i="16"/>
  <c r="CQ24" i="16"/>
  <c r="CN24" i="16"/>
  <c r="CM24" i="16"/>
  <c r="CJ24" i="16"/>
  <c r="CI24" i="16"/>
  <c r="CF24" i="16"/>
  <c r="CE24" i="16"/>
  <c r="CB24" i="16"/>
  <c r="CA24" i="16"/>
  <c r="BX24" i="16"/>
  <c r="BW24" i="16"/>
  <c r="BT24" i="16"/>
  <c r="BS24" i="16"/>
  <c r="BP24" i="16"/>
  <c r="BO24" i="16"/>
  <c r="BL24" i="16"/>
  <c r="BK24" i="16"/>
  <c r="BH24" i="16"/>
  <c r="BG24" i="16"/>
  <c r="BD24" i="16"/>
  <c r="BC24" i="16"/>
  <c r="AZ24" i="16"/>
  <c r="AY24" i="16"/>
  <c r="AV24" i="16"/>
  <c r="AU24" i="16"/>
  <c r="AR24" i="16"/>
  <c r="AQ24" i="16"/>
  <c r="AN24" i="16"/>
  <c r="AM24" i="16"/>
  <c r="AJ24" i="16"/>
  <c r="AI24" i="16"/>
  <c r="AF24" i="16"/>
  <c r="AE24" i="16"/>
  <c r="AB24" i="16"/>
  <c r="AA24" i="16"/>
  <c r="X24" i="16"/>
  <c r="W24" i="16"/>
  <c r="T24" i="16"/>
  <c r="S24" i="16"/>
  <c r="P24" i="16"/>
  <c r="O24" i="16"/>
  <c r="AEW21" i="16"/>
  <c r="AEV21" i="16"/>
  <c r="AEU21" i="16"/>
  <c r="AET21" i="16"/>
  <c r="AES21" i="16"/>
  <c r="AER21" i="16"/>
  <c r="AEQ21" i="16"/>
  <c r="AEP21" i="16"/>
  <c r="AEO21" i="16"/>
  <c r="AEN21" i="16"/>
  <c r="AEM21" i="16"/>
  <c r="AEL21" i="16"/>
  <c r="AEK21" i="16"/>
  <c r="AEJ21" i="16"/>
  <c r="AEI21" i="16"/>
  <c r="AEH21" i="16"/>
  <c r="AEG21" i="16"/>
  <c r="AEF21" i="16"/>
  <c r="AEE21" i="16"/>
  <c r="AED21" i="16"/>
  <c r="AEC21" i="16"/>
  <c r="AEB21" i="16"/>
  <c r="AEA21" i="16"/>
  <c r="ADZ21" i="16"/>
  <c r="ADY21" i="16"/>
  <c r="ADX21" i="16"/>
  <c r="ADW21" i="16"/>
  <c r="ADV21" i="16"/>
  <c r="ADU21" i="16"/>
  <c r="ADT21" i="16"/>
  <c r="ADS21" i="16"/>
  <c r="ADR21" i="16"/>
  <c r="ADQ21" i="16"/>
  <c r="ADP21" i="16"/>
  <c r="ADO21" i="16"/>
  <c r="ADN21" i="16"/>
  <c r="ADM21" i="16"/>
  <c r="ADL21" i="16"/>
  <c r="ADK21" i="16"/>
  <c r="ADJ21" i="16"/>
  <c r="ADI21" i="16"/>
  <c r="ADH21" i="16"/>
  <c r="ADG21" i="16"/>
  <c r="ADF21" i="16"/>
  <c r="ADE21" i="16"/>
  <c r="ADD21" i="16"/>
  <c r="ADC21" i="16"/>
  <c r="ADB21" i="16"/>
  <c r="ADA21" i="16"/>
  <c r="ACZ21" i="16"/>
  <c r="ACY21" i="16"/>
  <c r="ACX21" i="16"/>
  <c r="ACW21" i="16"/>
  <c r="ACV21" i="16"/>
  <c r="ACU21" i="16"/>
  <c r="ACT21" i="16"/>
  <c r="ACS21" i="16"/>
  <c r="ACR21" i="16"/>
  <c r="ACQ21" i="16"/>
  <c r="ACP21" i="16"/>
  <c r="ACO21" i="16"/>
  <c r="ACN21" i="16"/>
  <c r="ACM21" i="16"/>
  <c r="ACL21" i="16"/>
  <c r="ACK21" i="16"/>
  <c r="ACJ21" i="16"/>
  <c r="ACI21" i="16"/>
  <c r="ACH21" i="16"/>
  <c r="ACG21" i="16"/>
  <c r="ACF21" i="16"/>
  <c r="ACE21" i="16"/>
  <c r="ACD21" i="16"/>
  <c r="ACC21" i="16"/>
  <c r="ACB21" i="16"/>
  <c r="ACA21" i="16"/>
  <c r="ABZ21" i="16"/>
  <c r="ABY21" i="16"/>
  <c r="ABX21" i="16"/>
  <c r="ABW21" i="16"/>
  <c r="ABV21" i="16"/>
  <c r="ABU21" i="16"/>
  <c r="ABT21" i="16"/>
  <c r="ABS21" i="16"/>
  <c r="ABR21" i="16"/>
  <c r="ABQ21" i="16"/>
  <c r="ABP21" i="16"/>
  <c r="ABO21" i="16"/>
  <c r="ABN21" i="16"/>
  <c r="ABM21" i="16"/>
  <c r="ABL21" i="16"/>
  <c r="ABK21" i="16"/>
  <c r="ABJ21" i="16"/>
  <c r="ABI21" i="16"/>
  <c r="ABH21" i="16"/>
  <c r="ABG21" i="16"/>
  <c r="ABF21" i="16"/>
  <c r="ABE21" i="16"/>
  <c r="ABD21" i="16"/>
  <c r="ABC21" i="16"/>
  <c r="ABB21" i="16"/>
  <c r="ABA21" i="16"/>
  <c r="AAZ21" i="16"/>
  <c r="AAY21" i="16"/>
  <c r="AAX21" i="16"/>
  <c r="AAW21" i="16"/>
  <c r="AAV21" i="16"/>
  <c r="AAU21" i="16"/>
  <c r="AAT21" i="16"/>
  <c r="AAS21" i="16"/>
  <c r="AAR21" i="16"/>
  <c r="AAQ21" i="16"/>
  <c r="AAP21" i="16"/>
  <c r="AAO21" i="16"/>
  <c r="AAN21" i="16"/>
  <c r="AAM21" i="16"/>
  <c r="AAL21" i="16"/>
  <c r="AAK21" i="16"/>
  <c r="AAJ21" i="16"/>
  <c r="AAI21" i="16"/>
  <c r="AAH21" i="16"/>
  <c r="AAG21" i="16"/>
  <c r="AAF21" i="16"/>
  <c r="AAE21" i="16"/>
  <c r="AAD21" i="16"/>
  <c r="AAC21" i="16"/>
  <c r="AAB21" i="16"/>
  <c r="AAA21" i="16"/>
  <c r="ZZ21" i="16"/>
  <c r="ZY21" i="16"/>
  <c r="ZX21" i="16"/>
  <c r="ZW21" i="16"/>
  <c r="ZV21" i="16"/>
  <c r="ZU21" i="16"/>
  <c r="ZT21" i="16"/>
  <c r="ZS21" i="16"/>
  <c r="ZR21" i="16"/>
  <c r="ZQ21" i="16"/>
  <c r="ZP21" i="16"/>
  <c r="ZO21" i="16"/>
  <c r="ZN21" i="16"/>
  <c r="ZM21" i="16"/>
  <c r="ZL21" i="16"/>
  <c r="ZK21" i="16"/>
  <c r="ZJ21" i="16"/>
  <c r="ZI21" i="16"/>
  <c r="ZH21" i="16"/>
  <c r="ZG21" i="16"/>
  <c r="ZF21" i="16"/>
  <c r="ZE21" i="16"/>
  <c r="ZD21" i="16"/>
  <c r="ZC21" i="16"/>
  <c r="ZB21" i="16"/>
  <c r="ZA21" i="16"/>
  <c r="YZ21" i="16"/>
  <c r="YY21" i="16"/>
  <c r="YX21" i="16"/>
  <c r="YW21" i="16"/>
  <c r="YV21" i="16"/>
  <c r="YU21" i="16"/>
  <c r="YT21" i="16"/>
  <c r="YS21" i="16"/>
  <c r="YR21" i="16"/>
  <c r="YQ21" i="16"/>
  <c r="YP21" i="16"/>
  <c r="YO21" i="16"/>
  <c r="YN21" i="16"/>
  <c r="YM21" i="16"/>
  <c r="YL21" i="16"/>
  <c r="YK21" i="16"/>
  <c r="YJ21" i="16"/>
  <c r="YI21" i="16"/>
  <c r="YH21" i="16"/>
  <c r="YG21" i="16"/>
  <c r="YF21" i="16"/>
  <c r="YE21" i="16"/>
  <c r="YD21" i="16"/>
  <c r="YC21" i="16"/>
  <c r="YB21" i="16"/>
  <c r="YA21" i="16"/>
  <c r="XZ21" i="16"/>
  <c r="XY21" i="16"/>
  <c r="XX21" i="16"/>
  <c r="XW21" i="16"/>
  <c r="XV21" i="16"/>
  <c r="XU21" i="16"/>
  <c r="XT21" i="16"/>
  <c r="XS21" i="16"/>
  <c r="XR21" i="16"/>
  <c r="XQ21" i="16"/>
  <c r="XP21" i="16"/>
  <c r="XO21" i="16"/>
  <c r="XN21" i="16"/>
  <c r="XM21" i="16"/>
  <c r="XL21" i="16"/>
  <c r="XK21" i="16"/>
  <c r="XJ21" i="16"/>
  <c r="XI21" i="16"/>
  <c r="XH21" i="16"/>
  <c r="XG21" i="16"/>
  <c r="XF21" i="16"/>
  <c r="XE21" i="16"/>
  <c r="XD21" i="16"/>
  <c r="XC21" i="16"/>
  <c r="XB21" i="16"/>
  <c r="XA21" i="16"/>
  <c r="WZ21" i="16"/>
  <c r="WY21" i="16"/>
  <c r="WX21" i="16"/>
  <c r="WW21" i="16"/>
  <c r="WV21" i="16"/>
  <c r="WU21" i="16"/>
  <c r="WT21" i="16"/>
  <c r="WJ21" i="16"/>
  <c r="VT21" i="16"/>
  <c r="VD21" i="16"/>
  <c r="UN21" i="16"/>
  <c r="TX21" i="16"/>
  <c r="TH21" i="16"/>
  <c r="SR21" i="16"/>
  <c r="SB21" i="16"/>
  <c r="RY21" i="16"/>
  <c r="RU21" i="16"/>
  <c r="RT21" i="16"/>
  <c r="RQ21" i="16"/>
  <c r="RM21" i="16"/>
  <c r="RI21" i="16"/>
  <c r="QZ21" i="16"/>
  <c r="QV21" i="16"/>
  <c r="QU21" i="16"/>
  <c r="QF21" i="16"/>
  <c r="QF42" i="16" s="1"/>
  <c r="PP21" i="16"/>
  <c r="PP42" i="16" s="1"/>
  <c r="OZ21" i="16"/>
  <c r="OZ42" i="16" s="1"/>
  <c r="OJ21" i="16"/>
  <c r="OJ42" i="16" s="1"/>
  <c r="NT21" i="16"/>
  <c r="NT42" i="16" s="1"/>
  <c r="ND21" i="16"/>
  <c r="ND42" i="16" s="1"/>
  <c r="MN21" i="16"/>
  <c r="MN42" i="16" s="1"/>
  <c r="LX21" i="16"/>
  <c r="LX42" i="16" s="1"/>
  <c r="LH21" i="16"/>
  <c r="LH42" i="16" s="1"/>
  <c r="JL21" i="16"/>
  <c r="JL42" i="16" s="1"/>
  <c r="IF21" i="16"/>
  <c r="IF42" i="16" s="1"/>
  <c r="GZ21" i="16"/>
  <c r="GZ42" i="16" s="1"/>
  <c r="GJ21" i="16"/>
  <c r="GJ42" i="16" s="1"/>
  <c r="FT21" i="16"/>
  <c r="FT42" i="16" s="1"/>
  <c r="FD21" i="16"/>
  <c r="FD42" i="16" s="1"/>
  <c r="EN21" i="16"/>
  <c r="EN42" i="16" s="1"/>
  <c r="DX21" i="16"/>
  <c r="DX42" i="16" s="1"/>
  <c r="DH21" i="16"/>
  <c r="DH42" i="16" s="1"/>
  <c r="CR21" i="16"/>
  <c r="CR42" i="16" s="1"/>
  <c r="AF21" i="16"/>
  <c r="AF42" i="16" s="1"/>
  <c r="AEW18" i="16"/>
  <c r="AEV18" i="16"/>
  <c r="AEU18" i="16"/>
  <c r="AET18" i="16"/>
  <c r="AES18" i="16"/>
  <c r="AER18" i="16"/>
  <c r="AEQ18" i="16"/>
  <c r="AEP18" i="16"/>
  <c r="AEO18" i="16"/>
  <c r="AEN18" i="16"/>
  <c r="AEM18" i="16"/>
  <c r="AEL18" i="16"/>
  <c r="AEK18" i="16"/>
  <c r="AEJ18" i="16"/>
  <c r="AEI18" i="16"/>
  <c r="AEH18" i="16"/>
  <c r="AEG18" i="16"/>
  <c r="AEF18" i="16"/>
  <c r="AEE18" i="16"/>
  <c r="AED18" i="16"/>
  <c r="AEC18" i="16"/>
  <c r="AEB18" i="16"/>
  <c r="AEA18" i="16"/>
  <c r="ADZ18" i="16"/>
  <c r="ADY18" i="16"/>
  <c r="ADX18" i="16"/>
  <c r="ADW18" i="16"/>
  <c r="ADV18" i="16"/>
  <c r="ADU18" i="16"/>
  <c r="ADT18" i="16"/>
  <c r="ADS18" i="16"/>
  <c r="ADR18" i="16"/>
  <c r="ADQ18" i="16"/>
  <c r="ADP18" i="16"/>
  <c r="ADO18" i="16"/>
  <c r="ADN18" i="16"/>
  <c r="ADM18" i="16"/>
  <c r="ADL18" i="16"/>
  <c r="ADK18" i="16"/>
  <c r="ADJ18" i="16"/>
  <c r="ADI18" i="16"/>
  <c r="ADH18" i="16"/>
  <c r="ADG18" i="16"/>
  <c r="ADF18" i="16"/>
  <c r="ADE18" i="16"/>
  <c r="ADD18" i="16"/>
  <c r="ADC18" i="16"/>
  <c r="ADB18" i="16"/>
  <c r="ADA18" i="16"/>
  <c r="ACZ18" i="16"/>
  <c r="ACY18" i="16"/>
  <c r="ACX18" i="16"/>
  <c r="ACW18" i="16"/>
  <c r="ACV18" i="16"/>
  <c r="ACU18" i="16"/>
  <c r="ACT18" i="16"/>
  <c r="ACS18" i="16"/>
  <c r="ACR18" i="16"/>
  <c r="ACQ18" i="16"/>
  <c r="ACP18" i="16"/>
  <c r="ACO18" i="16"/>
  <c r="ACN18" i="16"/>
  <c r="ACM18" i="16"/>
  <c r="ACL18" i="16"/>
  <c r="ACK18" i="16"/>
  <c r="ACJ18" i="16"/>
  <c r="ACI18" i="16"/>
  <c r="ACH18" i="16"/>
  <c r="ACG18" i="16"/>
  <c r="ACF18" i="16"/>
  <c r="ACE18" i="16"/>
  <c r="ACD18" i="16"/>
  <c r="ACC18" i="16"/>
  <c r="ACB18" i="16"/>
  <c r="ACA18" i="16"/>
  <c r="ABZ18" i="16"/>
  <c r="ABY18" i="16"/>
  <c r="ABX18" i="16"/>
  <c r="ABW18" i="16"/>
  <c r="ABV18" i="16"/>
  <c r="ABU18" i="16"/>
  <c r="ABT18" i="16"/>
  <c r="ABS18" i="16"/>
  <c r="ABR18" i="16"/>
  <c r="ABQ18" i="16"/>
  <c r="ABP18" i="16"/>
  <c r="ABO18" i="16"/>
  <c r="ABN18" i="16"/>
  <c r="ABM18" i="16"/>
  <c r="ABL18" i="16"/>
  <c r="ABK18" i="16"/>
  <c r="ABJ18" i="16"/>
  <c r="ABI18" i="16"/>
  <c r="ABH18" i="16"/>
  <c r="ABG18" i="16"/>
  <c r="ABF18" i="16"/>
  <c r="ABE18" i="16"/>
  <c r="ABD18" i="16"/>
  <c r="ABC18" i="16"/>
  <c r="ABB18" i="16"/>
  <c r="ABA18" i="16"/>
  <c r="AAZ18" i="16"/>
  <c r="AAY18" i="16"/>
  <c r="AAX18" i="16"/>
  <c r="AAW18" i="16"/>
  <c r="AAV18" i="16"/>
  <c r="AAU18" i="16"/>
  <c r="AAT18" i="16"/>
  <c r="AAS18" i="16"/>
  <c r="AAR18" i="16"/>
  <c r="AAQ18" i="16"/>
  <c r="AAP18" i="16"/>
  <c r="AAO18" i="16"/>
  <c r="AAN18" i="16"/>
  <c r="AAM18" i="16"/>
  <c r="AAL18" i="16"/>
  <c r="AAK18" i="16"/>
  <c r="AAJ18" i="16"/>
  <c r="AAI18" i="16"/>
  <c r="AAH18" i="16"/>
  <c r="AAG18" i="16"/>
  <c r="AAF18" i="16"/>
  <c r="AAE18" i="16"/>
  <c r="AAD18" i="16"/>
  <c r="AAC18" i="16"/>
  <c r="AAB18" i="16"/>
  <c r="AAA18" i="16"/>
  <c r="ZZ18" i="16"/>
  <c r="ZY18" i="16"/>
  <c r="ZX18" i="16"/>
  <c r="ZW18" i="16"/>
  <c r="ZV18" i="16"/>
  <c r="ZU18" i="16"/>
  <c r="ZT18" i="16"/>
  <c r="ZS18" i="16"/>
  <c r="ZR18" i="16"/>
  <c r="ZQ18" i="16"/>
  <c r="ZP18" i="16"/>
  <c r="ZO18" i="16"/>
  <c r="ZN18" i="16"/>
  <c r="ZM18" i="16"/>
  <c r="ZL18" i="16"/>
  <c r="ZK18" i="16"/>
  <c r="ZJ18" i="16"/>
  <c r="ZI18" i="16"/>
  <c r="ZH18" i="16"/>
  <c r="ZG18" i="16"/>
  <c r="ZF18" i="16"/>
  <c r="ZE18" i="16"/>
  <c r="ZD18" i="16"/>
  <c r="ZC18" i="16"/>
  <c r="ZB18" i="16"/>
  <c r="ZA18" i="16"/>
  <c r="YZ18" i="16"/>
  <c r="YY18" i="16"/>
  <c r="YX18" i="16"/>
  <c r="YW18" i="16"/>
  <c r="YV18" i="16"/>
  <c r="YU18" i="16"/>
  <c r="YT18" i="16"/>
  <c r="YS18" i="16"/>
  <c r="YR18" i="16"/>
  <c r="YQ18" i="16"/>
  <c r="YP18" i="16"/>
  <c r="YO18" i="16"/>
  <c r="YN18" i="16"/>
  <c r="YM18" i="16"/>
  <c r="YL18" i="16"/>
  <c r="YK18" i="16"/>
  <c r="YJ18" i="16"/>
  <c r="YI18" i="16"/>
  <c r="YH18" i="16"/>
  <c r="YG18" i="16"/>
  <c r="YF18" i="16"/>
  <c r="YE18" i="16"/>
  <c r="YD18" i="16"/>
  <c r="YC18" i="16"/>
  <c r="YB18" i="16"/>
  <c r="YA18" i="16"/>
  <c r="XZ18" i="16"/>
  <c r="XY18" i="16"/>
  <c r="XX18" i="16"/>
  <c r="XW18" i="16"/>
  <c r="XV18" i="16"/>
  <c r="XU18" i="16"/>
  <c r="XT18" i="16"/>
  <c r="XS18" i="16"/>
  <c r="XR18" i="16"/>
  <c r="XQ18" i="16"/>
  <c r="XP18" i="16"/>
  <c r="XO18" i="16"/>
  <c r="XN18" i="16"/>
  <c r="XM18" i="16"/>
  <c r="XL18" i="16"/>
  <c r="XK18" i="16"/>
  <c r="XJ18" i="16"/>
  <c r="XI18" i="16"/>
  <c r="XH18" i="16"/>
  <c r="XG18" i="16"/>
  <c r="XF18" i="16"/>
  <c r="XE18" i="16"/>
  <c r="XD18" i="16"/>
  <c r="XC18" i="16"/>
  <c r="XB18" i="16"/>
  <c r="XA18" i="16"/>
  <c r="WZ18" i="16"/>
  <c r="WY18" i="16"/>
  <c r="WX18" i="16"/>
  <c r="WW18" i="16"/>
  <c r="WV18" i="16"/>
  <c r="WU18" i="16"/>
  <c r="WT18" i="16"/>
  <c r="WR18" i="16"/>
  <c r="WN18" i="16"/>
  <c r="WM18" i="16"/>
  <c r="WJ18" i="16"/>
  <c r="WF18" i="16"/>
  <c r="WE18" i="16"/>
  <c r="WB18" i="16"/>
  <c r="VX18" i="16"/>
  <c r="VW18" i="16"/>
  <c r="VT18" i="16"/>
  <c r="VP18" i="16"/>
  <c r="VO18" i="16"/>
  <c r="VL18" i="16"/>
  <c r="VH18" i="16"/>
  <c r="VG18" i="16"/>
  <c r="VD18" i="16"/>
  <c r="UZ18" i="16"/>
  <c r="UY18" i="16"/>
  <c r="UV18" i="16"/>
  <c r="UR18" i="16"/>
  <c r="UQ18" i="16"/>
  <c r="UN18" i="16"/>
  <c r="UJ18" i="16"/>
  <c r="UI18" i="16"/>
  <c r="UF18" i="16"/>
  <c r="UB18" i="16"/>
  <c r="UB33" i="16" s="1"/>
  <c r="UA18" i="16"/>
  <c r="UA33" i="16" s="1"/>
  <c r="TX18" i="16"/>
  <c r="TX33" i="16" s="1"/>
  <c r="TT18" i="16"/>
  <c r="TT33" i="16" s="1"/>
  <c r="TS18" i="16"/>
  <c r="TS33" i="16" s="1"/>
  <c r="TP18" i="16"/>
  <c r="TP33" i="16" s="1"/>
  <c r="TL18" i="16"/>
  <c r="TL33" i="16" s="1"/>
  <c r="TK18" i="16"/>
  <c r="TK33" i="16" s="1"/>
  <c r="TH18" i="16"/>
  <c r="TH33" i="16" s="1"/>
  <c r="TD18" i="16"/>
  <c r="TD33" i="16" s="1"/>
  <c r="TC18" i="16"/>
  <c r="TC33" i="16" s="1"/>
  <c r="SZ18" i="16"/>
  <c r="SZ33" i="16" s="1"/>
  <c r="SV18" i="16"/>
  <c r="SV33" i="16" s="1"/>
  <c r="SU18" i="16"/>
  <c r="SU33" i="16" s="1"/>
  <c r="SR18" i="16"/>
  <c r="SR33" i="16" s="1"/>
  <c r="SN18" i="16"/>
  <c r="SN33" i="16" s="1"/>
  <c r="SM18" i="16"/>
  <c r="SM33" i="16" s="1"/>
  <c r="SJ18" i="16"/>
  <c r="SJ33" i="16" s="1"/>
  <c r="SF18" i="16"/>
  <c r="SF33" i="16" s="1"/>
  <c r="SE18" i="16"/>
  <c r="SE33" i="16" s="1"/>
  <c r="SB18" i="16"/>
  <c r="SB33" i="16" s="1"/>
  <c r="SA18" i="16"/>
  <c r="RZ18" i="16"/>
  <c r="RY18" i="16"/>
  <c r="RX18" i="16"/>
  <c r="RW18" i="16"/>
  <c r="RV18" i="16"/>
  <c r="RU18" i="16"/>
  <c r="RT18" i="16"/>
  <c r="RS18" i="16"/>
  <c r="RR18" i="16"/>
  <c r="RQ18" i="16"/>
  <c r="RP18" i="16"/>
  <c r="RO18" i="16"/>
  <c r="RN18" i="16"/>
  <c r="RM18" i="16"/>
  <c r="RL18" i="16"/>
  <c r="RK18" i="16"/>
  <c r="RJ18" i="16"/>
  <c r="RI18" i="16"/>
  <c r="RH18" i="16"/>
  <c r="RG18" i="16"/>
  <c r="RC18" i="16"/>
  <c r="RC33" i="16" s="1"/>
  <c r="RB18" i="16"/>
  <c r="RB33" i="16" s="1"/>
  <c r="QZ18" i="16"/>
  <c r="QY18" i="16"/>
  <c r="QX18" i="16"/>
  <c r="QW18" i="16"/>
  <c r="QV18" i="16"/>
  <c r="QU18" i="16"/>
  <c r="QS18" i="16"/>
  <c r="QS33" i="16" s="1"/>
  <c r="QO18" i="16"/>
  <c r="QN18" i="16"/>
  <c r="QN33" i="16" s="1"/>
  <c r="QK18" i="16"/>
  <c r="QK33" i="16" s="1"/>
  <c r="QG18" i="16"/>
  <c r="QG33" i="16" s="1"/>
  <c r="QF18" i="16"/>
  <c r="QF33" i="16" s="1"/>
  <c r="QC18" i="16"/>
  <c r="QC33" i="16" s="1"/>
  <c r="PY18" i="16"/>
  <c r="PY33" i="16" s="1"/>
  <c r="PX18" i="16"/>
  <c r="PX33" i="16" s="1"/>
  <c r="PU18" i="16"/>
  <c r="PU33" i="16" s="1"/>
  <c r="PQ18" i="16"/>
  <c r="PQ33" i="16" s="1"/>
  <c r="PM18" i="16"/>
  <c r="PM33" i="16" s="1"/>
  <c r="PI18" i="16"/>
  <c r="PI33" i="16" s="1"/>
  <c r="PH18" i="16"/>
  <c r="PH33" i="16" s="1"/>
  <c r="PE18" i="16"/>
  <c r="PE33" i="16" s="1"/>
  <c r="PA18" i="16"/>
  <c r="PA33" i="16" s="1"/>
  <c r="OZ18" i="16"/>
  <c r="OZ33" i="16" s="1"/>
  <c r="OW18" i="16"/>
  <c r="OW33" i="16" s="1"/>
  <c r="OS18" i="16"/>
  <c r="OS33" i="16" s="1"/>
  <c r="OR18" i="16"/>
  <c r="OR33" i="16" s="1"/>
  <c r="OO18" i="16"/>
  <c r="OO33" i="16" s="1"/>
  <c r="OK18" i="16"/>
  <c r="OK33" i="16" s="1"/>
  <c r="OG18" i="16"/>
  <c r="OG33" i="16" s="1"/>
  <c r="OC18" i="16"/>
  <c r="OC33" i="16" s="1"/>
  <c r="OB18" i="16"/>
  <c r="OB33" i="16" s="1"/>
  <c r="NY18" i="16"/>
  <c r="NY33" i="16" s="1"/>
  <c r="NU18" i="16"/>
  <c r="NU33" i="16" s="1"/>
  <c r="NT18" i="16"/>
  <c r="NT33" i="16" s="1"/>
  <c r="NQ18" i="16"/>
  <c r="NQ33" i="16" s="1"/>
  <c r="NM18" i="16"/>
  <c r="NM33" i="16" s="1"/>
  <c r="NL18" i="16"/>
  <c r="NL33" i="16" s="1"/>
  <c r="NI18" i="16"/>
  <c r="NI33" i="16" s="1"/>
  <c r="NE18" i="16"/>
  <c r="NE33" i="16" s="1"/>
  <c r="NA18" i="16"/>
  <c r="NA33" i="16" s="1"/>
  <c r="MW18" i="16"/>
  <c r="MW33" i="16" s="1"/>
  <c r="MV18" i="16"/>
  <c r="MV33" i="16" s="1"/>
  <c r="MS18" i="16"/>
  <c r="MS33" i="16" s="1"/>
  <c r="MO18" i="16"/>
  <c r="MO33" i="16" s="1"/>
  <c r="MN18" i="16"/>
  <c r="MN33" i="16" s="1"/>
  <c r="MK18" i="16"/>
  <c r="MK33" i="16" s="1"/>
  <c r="MG18" i="16"/>
  <c r="MG33" i="16" s="1"/>
  <c r="MF18" i="16"/>
  <c r="MF33" i="16" s="1"/>
  <c r="MC18" i="16"/>
  <c r="MC33" i="16" s="1"/>
  <c r="LY18" i="16"/>
  <c r="LY33" i="16" s="1"/>
  <c r="LU18" i="16"/>
  <c r="LU33" i="16" s="1"/>
  <c r="LQ18" i="16"/>
  <c r="LQ33" i="16" s="1"/>
  <c r="LP18" i="16"/>
  <c r="LP33" i="16" s="1"/>
  <c r="LM18" i="16"/>
  <c r="LM33" i="16" s="1"/>
  <c r="LI18" i="16"/>
  <c r="LI33" i="16" s="1"/>
  <c r="LH18" i="16"/>
  <c r="LH33" i="16" s="1"/>
  <c r="LE18" i="16"/>
  <c r="LE33" i="16" s="1"/>
  <c r="LA18" i="16"/>
  <c r="LA33" i="16" s="1"/>
  <c r="KZ18" i="16"/>
  <c r="KZ33" i="16" s="1"/>
  <c r="KW18" i="16"/>
  <c r="KW33" i="16" s="1"/>
  <c r="KS18" i="16"/>
  <c r="KS33" i="16" s="1"/>
  <c r="KO18" i="16"/>
  <c r="KO33" i="16" s="1"/>
  <c r="KK18" i="16"/>
  <c r="KK33" i="16" s="1"/>
  <c r="KJ18" i="16"/>
  <c r="KJ33" i="16" s="1"/>
  <c r="KG18" i="16"/>
  <c r="KG33" i="16" s="1"/>
  <c r="KC18" i="16"/>
  <c r="KC33" i="16" s="1"/>
  <c r="KB18" i="16"/>
  <c r="KB33" i="16" s="1"/>
  <c r="JY18" i="16"/>
  <c r="JY33" i="16" s="1"/>
  <c r="JU18" i="16"/>
  <c r="JU33" i="16" s="1"/>
  <c r="JT18" i="16"/>
  <c r="JT33" i="16" s="1"/>
  <c r="JQ18" i="16"/>
  <c r="JQ33" i="16" s="1"/>
  <c r="HA18" i="16"/>
  <c r="HA33" i="16" s="1"/>
  <c r="GW18" i="16"/>
  <c r="GW33" i="16" s="1"/>
  <c r="GS18" i="16"/>
  <c r="GS33" i="16" s="1"/>
  <c r="GR18" i="16"/>
  <c r="GR33" i="16" s="1"/>
  <c r="GO18" i="16"/>
  <c r="GO33" i="16" s="1"/>
  <c r="GK18" i="16"/>
  <c r="GK33" i="16" s="1"/>
  <c r="GJ18" i="16"/>
  <c r="GJ33" i="16" s="1"/>
  <c r="GG18" i="16"/>
  <c r="GG33" i="16" s="1"/>
  <c r="GC18" i="16"/>
  <c r="GC33" i="16" s="1"/>
  <c r="GB18" i="16"/>
  <c r="GB33" i="16" s="1"/>
  <c r="FY18" i="16"/>
  <c r="FY33" i="16" s="1"/>
  <c r="FU18" i="16"/>
  <c r="FU33" i="16" s="1"/>
  <c r="FQ18" i="16"/>
  <c r="FQ33" i="16" s="1"/>
  <c r="FM18" i="16"/>
  <c r="FM33" i="16" s="1"/>
  <c r="FL18" i="16"/>
  <c r="FL33" i="16" s="1"/>
  <c r="FI18" i="16"/>
  <c r="FI33" i="16" s="1"/>
  <c r="FE18" i="16"/>
  <c r="FE33" i="16" s="1"/>
  <c r="FD18" i="16"/>
  <c r="FD33" i="16" s="1"/>
  <c r="FA18" i="16"/>
  <c r="FA33" i="16" s="1"/>
  <c r="EW18" i="16"/>
  <c r="EW33" i="16" s="1"/>
  <c r="EV18" i="16"/>
  <c r="EV33" i="16" s="1"/>
  <c r="ES18" i="16"/>
  <c r="ES33" i="16" s="1"/>
  <c r="EO18" i="16"/>
  <c r="EO33" i="16" s="1"/>
  <c r="EK18" i="16"/>
  <c r="EK33" i="16" s="1"/>
  <c r="EG18" i="16"/>
  <c r="EG33" i="16" s="1"/>
  <c r="EF18" i="16"/>
  <c r="EF33" i="16" s="1"/>
  <c r="EC18" i="16"/>
  <c r="EC33" i="16" s="1"/>
  <c r="DY18" i="16"/>
  <c r="DY33" i="16" s="1"/>
  <c r="DX18" i="16"/>
  <c r="DX33" i="16" s="1"/>
  <c r="DU18" i="16"/>
  <c r="DU33" i="16" s="1"/>
  <c r="DQ18" i="16"/>
  <c r="DQ33" i="16" s="1"/>
  <c r="DP18" i="16"/>
  <c r="DP33" i="16" s="1"/>
  <c r="DM18" i="16"/>
  <c r="DM33" i="16" s="1"/>
  <c r="DI18" i="16"/>
  <c r="DI33" i="16" s="1"/>
  <c r="DE18" i="16"/>
  <c r="DE33" i="16" s="1"/>
  <c r="DA18" i="16"/>
  <c r="DA33" i="16" s="1"/>
  <c r="CZ18" i="16"/>
  <c r="CZ33" i="16" s="1"/>
  <c r="CW18" i="16"/>
  <c r="CW33" i="16" s="1"/>
  <c r="CS18" i="16"/>
  <c r="CS33" i="16" s="1"/>
  <c r="CR18" i="16"/>
  <c r="CR33" i="16" s="1"/>
  <c r="CO18" i="16"/>
  <c r="CO33" i="16" s="1"/>
  <c r="CK18" i="16"/>
  <c r="CK33" i="16" s="1"/>
  <c r="CJ18" i="16"/>
  <c r="CJ33" i="16" s="1"/>
  <c r="CG18" i="16"/>
  <c r="CG33" i="16" s="1"/>
  <c r="CC18" i="16"/>
  <c r="CC33" i="16" s="1"/>
  <c r="BY18" i="16"/>
  <c r="BY33" i="16" s="1"/>
  <c r="BU18" i="16"/>
  <c r="BU33" i="16" s="1"/>
  <c r="BT18" i="16"/>
  <c r="BT33" i="16" s="1"/>
  <c r="BQ18" i="16"/>
  <c r="BQ33" i="16" s="1"/>
  <c r="BM18" i="16"/>
  <c r="BM33" i="16" s="1"/>
  <c r="BL18" i="16"/>
  <c r="BL33" i="16" s="1"/>
  <c r="BI18" i="16"/>
  <c r="BI33" i="16" s="1"/>
  <c r="BE18" i="16"/>
  <c r="BE33" i="16" s="1"/>
  <c r="BD18" i="16"/>
  <c r="BD33" i="16" s="1"/>
  <c r="BA18" i="16"/>
  <c r="BA33" i="16" s="1"/>
  <c r="AW18" i="16"/>
  <c r="AW33" i="16" s="1"/>
  <c r="AS18" i="16"/>
  <c r="AS33" i="16" s="1"/>
  <c r="AO18" i="16"/>
  <c r="AO33" i="16" s="1"/>
  <c r="AN18" i="16"/>
  <c r="AN33" i="16" s="1"/>
  <c r="AK18" i="16"/>
  <c r="AK33" i="16" s="1"/>
  <c r="AG18" i="16"/>
  <c r="AG33" i="16" s="1"/>
  <c r="AF18" i="16"/>
  <c r="AF33" i="16" s="1"/>
  <c r="AC18" i="16"/>
  <c r="AC33" i="16" s="1"/>
  <c r="Y18" i="16"/>
  <c r="Y33" i="16" s="1"/>
  <c r="X18" i="16"/>
  <c r="X33" i="16" s="1"/>
  <c r="U18" i="16"/>
  <c r="U33" i="16" s="1"/>
  <c r="Q18" i="16"/>
  <c r="Q33" i="16" s="1"/>
  <c r="AEW15" i="16"/>
  <c r="AEV15" i="16"/>
  <c r="AEU15" i="16"/>
  <c r="AET15" i="16"/>
  <c r="AES15" i="16"/>
  <c r="AER15" i="16"/>
  <c r="AEQ15" i="16"/>
  <c r="AEP15" i="16"/>
  <c r="AEO15" i="16"/>
  <c r="AEN15" i="16"/>
  <c r="AEM15" i="16"/>
  <c r="AEL15" i="16"/>
  <c r="AEK15" i="16"/>
  <c r="AEJ15" i="16"/>
  <c r="AEI15" i="16"/>
  <c r="AEH15" i="16"/>
  <c r="AEG15" i="16"/>
  <c r="AEF15" i="16"/>
  <c r="AEE15" i="16"/>
  <c r="AED15" i="16"/>
  <c r="AEC15" i="16"/>
  <c r="AEB15" i="16"/>
  <c r="AEA15" i="16"/>
  <c r="ADZ15" i="16"/>
  <c r="ADY15" i="16"/>
  <c r="ADX15" i="16"/>
  <c r="ADW15" i="16"/>
  <c r="ADV15" i="16"/>
  <c r="ADU15" i="16"/>
  <c r="ADT15" i="16"/>
  <c r="ADS15" i="16"/>
  <c r="ADR15" i="16"/>
  <c r="ADQ15" i="16"/>
  <c r="ADP15" i="16"/>
  <c r="ADO15" i="16"/>
  <c r="ADN15" i="16"/>
  <c r="ADM15" i="16"/>
  <c r="ADL15" i="16"/>
  <c r="ADK15" i="16"/>
  <c r="ADJ15" i="16"/>
  <c r="ADI15" i="16"/>
  <c r="ADH15" i="16"/>
  <c r="ADG15" i="16"/>
  <c r="ADF15" i="16"/>
  <c r="ADE15" i="16"/>
  <c r="ADD15" i="16"/>
  <c r="ADC15" i="16"/>
  <c r="ADB15" i="16"/>
  <c r="ADA15" i="16"/>
  <c r="ACZ15" i="16"/>
  <c r="ACY15" i="16"/>
  <c r="ACX15" i="16"/>
  <c r="ACW15" i="16"/>
  <c r="ACV15" i="16"/>
  <c r="ACU15" i="16"/>
  <c r="ACT15" i="16"/>
  <c r="ACS15" i="16"/>
  <c r="ACR15" i="16"/>
  <c r="ACQ15" i="16"/>
  <c r="ACP15" i="16"/>
  <c r="ACO15" i="16"/>
  <c r="ACN15" i="16"/>
  <c r="ACM15" i="16"/>
  <c r="ACL15" i="16"/>
  <c r="ACK15" i="16"/>
  <c r="ACJ15" i="16"/>
  <c r="ACI15" i="16"/>
  <c r="ACH15" i="16"/>
  <c r="ACG15" i="16"/>
  <c r="ACF15" i="16"/>
  <c r="ACE15" i="16"/>
  <c r="ACD15" i="16"/>
  <c r="ACC15" i="16"/>
  <c r="ACB15" i="16"/>
  <c r="ACA15" i="16"/>
  <c r="ABZ15" i="16"/>
  <c r="ABY15" i="16"/>
  <c r="ABX15" i="16"/>
  <c r="ABW15" i="16"/>
  <c r="ABV15" i="16"/>
  <c r="ABU15" i="16"/>
  <c r="ABT15" i="16"/>
  <c r="ABS15" i="16"/>
  <c r="ABR15" i="16"/>
  <c r="ABQ15" i="16"/>
  <c r="ABP15" i="16"/>
  <c r="ABO15" i="16"/>
  <c r="ABN15" i="16"/>
  <c r="ABM15" i="16"/>
  <c r="ABL15" i="16"/>
  <c r="ABK15" i="16"/>
  <c r="ABJ15" i="16"/>
  <c r="ABI15" i="16"/>
  <c r="ABH15" i="16"/>
  <c r="ABG15" i="16"/>
  <c r="ABF15" i="16"/>
  <c r="ABE15" i="16"/>
  <c r="ABD15" i="16"/>
  <c r="ABC15" i="16"/>
  <c r="ABB15" i="16"/>
  <c r="ABA15" i="16"/>
  <c r="AAZ15" i="16"/>
  <c r="AAY15" i="16"/>
  <c r="AAX15" i="16"/>
  <c r="AAW15" i="16"/>
  <c r="AAV15" i="16"/>
  <c r="AAU15" i="16"/>
  <c r="AAT15" i="16"/>
  <c r="AAS15" i="16"/>
  <c r="AAR15" i="16"/>
  <c r="AAQ15" i="16"/>
  <c r="AAP15" i="16"/>
  <c r="AAO15" i="16"/>
  <c r="AAN15" i="16"/>
  <c r="AAM15" i="16"/>
  <c r="AAL15" i="16"/>
  <c r="AAK15" i="16"/>
  <c r="AAJ15" i="16"/>
  <c r="AAI15" i="16"/>
  <c r="AAH15" i="16"/>
  <c r="AAG15" i="16"/>
  <c r="AAF15" i="16"/>
  <c r="AAE15" i="16"/>
  <c r="AAD15" i="16"/>
  <c r="AAC15" i="16"/>
  <c r="AAB15" i="16"/>
  <c r="AAA15" i="16"/>
  <c r="ZZ15" i="16"/>
  <c r="ZY15" i="16"/>
  <c r="ZX15" i="16"/>
  <c r="ZW15" i="16"/>
  <c r="ZV15" i="16"/>
  <c r="ZU15" i="16"/>
  <c r="ZT15" i="16"/>
  <c r="ZS15" i="16"/>
  <c r="ZR15" i="16"/>
  <c r="ZQ15" i="16"/>
  <c r="ZP15" i="16"/>
  <c r="ZO15" i="16"/>
  <c r="ZN15" i="16"/>
  <c r="ZM15" i="16"/>
  <c r="ZL15" i="16"/>
  <c r="ZK15" i="16"/>
  <c r="ZJ15" i="16"/>
  <c r="ZI15" i="16"/>
  <c r="ZH15" i="16"/>
  <c r="ZG15" i="16"/>
  <c r="ZF15" i="16"/>
  <c r="ZE15" i="16"/>
  <c r="ZD15" i="16"/>
  <c r="ZC15" i="16"/>
  <c r="ZB15" i="16"/>
  <c r="ZA15" i="16"/>
  <c r="YZ15" i="16"/>
  <c r="YY15" i="16"/>
  <c r="YX15" i="16"/>
  <c r="YW15" i="16"/>
  <c r="YV15" i="16"/>
  <c r="YU15" i="16"/>
  <c r="YT15" i="16"/>
  <c r="YS15" i="16"/>
  <c r="YR15" i="16"/>
  <c r="YQ15" i="16"/>
  <c r="YP15" i="16"/>
  <c r="YO15" i="16"/>
  <c r="YN15" i="16"/>
  <c r="YM15" i="16"/>
  <c r="YL15" i="16"/>
  <c r="YK15" i="16"/>
  <c r="YJ15" i="16"/>
  <c r="YI15" i="16"/>
  <c r="YH15" i="16"/>
  <c r="YG15" i="16"/>
  <c r="YF15" i="16"/>
  <c r="YE15" i="16"/>
  <c r="YD15" i="16"/>
  <c r="YC15" i="16"/>
  <c r="YB15" i="16"/>
  <c r="YA15" i="16"/>
  <c r="XZ15" i="16"/>
  <c r="XY15" i="16"/>
  <c r="XX15" i="16"/>
  <c r="XW15" i="16"/>
  <c r="XV15" i="16"/>
  <c r="XU15" i="16"/>
  <c r="XT15" i="16"/>
  <c r="XS15" i="16"/>
  <c r="XR15" i="16"/>
  <c r="XQ15" i="16"/>
  <c r="XP15" i="16"/>
  <c r="XO15" i="16"/>
  <c r="XN15" i="16"/>
  <c r="XM15" i="16"/>
  <c r="XL15" i="16"/>
  <c r="XK15" i="16"/>
  <c r="XJ15" i="16"/>
  <c r="XI15" i="16"/>
  <c r="XH15" i="16"/>
  <c r="XG15" i="16"/>
  <c r="XF15" i="16"/>
  <c r="XE15" i="16"/>
  <c r="XD15" i="16"/>
  <c r="XC15" i="16"/>
  <c r="XB15" i="16"/>
  <c r="XA15" i="16"/>
  <c r="WZ15" i="16"/>
  <c r="WY15" i="16"/>
  <c r="WX15" i="16"/>
  <c r="WW15" i="16"/>
  <c r="WV15" i="16"/>
  <c r="WU15" i="16"/>
  <c r="WT15" i="16"/>
  <c r="SA15" i="16"/>
  <c r="RZ15" i="16"/>
  <c r="RY15" i="16"/>
  <c r="RX15" i="16"/>
  <c r="RW15" i="16"/>
  <c r="RV15" i="16"/>
  <c r="RU15" i="16"/>
  <c r="RT15" i="16"/>
  <c r="RS15" i="16"/>
  <c r="RR15" i="16"/>
  <c r="RQ15" i="16"/>
  <c r="RP15" i="16"/>
  <c r="RO15" i="16"/>
  <c r="RN15" i="16"/>
  <c r="RM15" i="16"/>
  <c r="RL15" i="16"/>
  <c r="RK15" i="16"/>
  <c r="RJ15" i="16"/>
  <c r="RI15" i="16"/>
  <c r="RH15" i="16"/>
  <c r="RG15" i="16"/>
  <c r="QZ15" i="16"/>
  <c r="QY15" i="16"/>
  <c r="QX15" i="16"/>
  <c r="QW15" i="16"/>
  <c r="QV15" i="16"/>
  <c r="QU15" i="16"/>
  <c r="JJ15" i="16"/>
  <c r="AEW12" i="16"/>
  <c r="AEV12" i="16"/>
  <c r="AEU12" i="16"/>
  <c r="AET12" i="16"/>
  <c r="AES12" i="16"/>
  <c r="AER12" i="16"/>
  <c r="AEQ12" i="16"/>
  <c r="AEP12" i="16"/>
  <c r="AEO12" i="16"/>
  <c r="AEN12" i="16"/>
  <c r="AEM12" i="16"/>
  <c r="AEL12" i="16"/>
  <c r="AEK12" i="16"/>
  <c r="AEJ12" i="16"/>
  <c r="AEI12" i="16"/>
  <c r="AEH12" i="16"/>
  <c r="AEG12" i="16"/>
  <c r="AEF12" i="16"/>
  <c r="AEE12" i="16"/>
  <c r="AED12" i="16"/>
  <c r="AEC12" i="16"/>
  <c r="AEB12" i="16"/>
  <c r="AEA12" i="16"/>
  <c r="ADZ12" i="16"/>
  <c r="ADY12" i="16"/>
  <c r="ADX12" i="16"/>
  <c r="ADW12" i="16"/>
  <c r="ADV12" i="16"/>
  <c r="ADU12" i="16"/>
  <c r="ADT12" i="16"/>
  <c r="ADS12" i="16"/>
  <c r="ADR12" i="16"/>
  <c r="ADQ12" i="16"/>
  <c r="ADP12" i="16"/>
  <c r="ADO12" i="16"/>
  <c r="ADN12" i="16"/>
  <c r="ADM12" i="16"/>
  <c r="ADL12" i="16"/>
  <c r="ADK12" i="16"/>
  <c r="ADJ12" i="16"/>
  <c r="ADI12" i="16"/>
  <c r="ADH12" i="16"/>
  <c r="ADG12" i="16"/>
  <c r="ADF12" i="16"/>
  <c r="ADE12" i="16"/>
  <c r="ADD12" i="16"/>
  <c r="ADC12" i="16"/>
  <c r="ADB12" i="16"/>
  <c r="ADA12" i="16"/>
  <c r="ACZ12" i="16"/>
  <c r="ACY12" i="16"/>
  <c r="ACX12" i="16"/>
  <c r="ACW12" i="16"/>
  <c r="ACV12" i="16"/>
  <c r="ACU12" i="16"/>
  <c r="ACT12" i="16"/>
  <c r="ACS12" i="16"/>
  <c r="ACR12" i="16"/>
  <c r="ACQ12" i="16"/>
  <c r="ACP12" i="16"/>
  <c r="ACO12" i="16"/>
  <c r="ACN12" i="16"/>
  <c r="ACM12" i="16"/>
  <c r="ACL12" i="16"/>
  <c r="ACK12" i="16"/>
  <c r="ACJ12" i="16"/>
  <c r="ACI12" i="16"/>
  <c r="ACH12" i="16"/>
  <c r="ACG12" i="16"/>
  <c r="ACF12" i="16"/>
  <c r="ACE12" i="16"/>
  <c r="ACD12" i="16"/>
  <c r="ACC12" i="16"/>
  <c r="ACB12" i="16"/>
  <c r="ACA12" i="16"/>
  <c r="ABZ12" i="16"/>
  <c r="ABY12" i="16"/>
  <c r="ABX12" i="16"/>
  <c r="ABW12" i="16"/>
  <c r="ABV12" i="16"/>
  <c r="ABU12" i="16"/>
  <c r="ABT12" i="16"/>
  <c r="ABS12" i="16"/>
  <c r="ABR12" i="16"/>
  <c r="ABQ12" i="16"/>
  <c r="ABP12" i="16"/>
  <c r="ABO12" i="16"/>
  <c r="ABN12" i="16"/>
  <c r="ABM12" i="16"/>
  <c r="ABL12" i="16"/>
  <c r="ABK12" i="16"/>
  <c r="ABJ12" i="16"/>
  <c r="ABI12" i="16"/>
  <c r="ABH12" i="16"/>
  <c r="ABG12" i="16"/>
  <c r="ABF12" i="16"/>
  <c r="ABE12" i="16"/>
  <c r="ABD12" i="16"/>
  <c r="ABC12" i="16"/>
  <c r="ABB12" i="16"/>
  <c r="ABA12" i="16"/>
  <c r="AAZ12" i="16"/>
  <c r="AAY12" i="16"/>
  <c r="AAX12" i="16"/>
  <c r="AAW12" i="16"/>
  <c r="AAV12" i="16"/>
  <c r="AAU12" i="16"/>
  <c r="AAT12" i="16"/>
  <c r="AAS12" i="16"/>
  <c r="AAR12" i="16"/>
  <c r="AAQ12" i="16"/>
  <c r="AAP12" i="16"/>
  <c r="AAO12" i="16"/>
  <c r="AAN12" i="16"/>
  <c r="AAM12" i="16"/>
  <c r="AAL12" i="16"/>
  <c r="AAK12" i="16"/>
  <c r="AAJ12" i="16"/>
  <c r="AAI12" i="16"/>
  <c r="AAH12" i="16"/>
  <c r="AAG12" i="16"/>
  <c r="AAF12" i="16"/>
  <c r="AAE12" i="16"/>
  <c r="AAD12" i="16"/>
  <c r="AAC12" i="16"/>
  <c r="AAB12" i="16"/>
  <c r="AAA12" i="16"/>
  <c r="ZZ12" i="16"/>
  <c r="ZY12" i="16"/>
  <c r="ZX12" i="16"/>
  <c r="ZW12" i="16"/>
  <c r="ZV12" i="16"/>
  <c r="ZU12" i="16"/>
  <c r="ZT12" i="16"/>
  <c r="ZS12" i="16"/>
  <c r="ZR12" i="16"/>
  <c r="ZQ12" i="16"/>
  <c r="ZP12" i="16"/>
  <c r="ZO12" i="16"/>
  <c r="ZN12" i="16"/>
  <c r="ZM12" i="16"/>
  <c r="ZL12" i="16"/>
  <c r="ZK12" i="16"/>
  <c r="ZJ12" i="16"/>
  <c r="ZI12" i="16"/>
  <c r="ZH12" i="16"/>
  <c r="ZG12" i="16"/>
  <c r="ZF12" i="16"/>
  <c r="ZE12" i="16"/>
  <c r="ZD12" i="16"/>
  <c r="ZC12" i="16"/>
  <c r="ZB12" i="16"/>
  <c r="ZA12" i="16"/>
  <c r="YZ12" i="16"/>
  <c r="YY12" i="16"/>
  <c r="YX12" i="16"/>
  <c r="YW12" i="16"/>
  <c r="YV12" i="16"/>
  <c r="YU12" i="16"/>
  <c r="YT12" i="16"/>
  <c r="YS12" i="16"/>
  <c r="YR12" i="16"/>
  <c r="YQ12" i="16"/>
  <c r="YP12" i="16"/>
  <c r="YO12" i="16"/>
  <c r="YN12" i="16"/>
  <c r="YM12" i="16"/>
  <c r="YL12" i="16"/>
  <c r="YK12" i="16"/>
  <c r="YJ12" i="16"/>
  <c r="YI12" i="16"/>
  <c r="YH12" i="16"/>
  <c r="YG12" i="16"/>
  <c r="YF12" i="16"/>
  <c r="YE12" i="16"/>
  <c r="YD12" i="16"/>
  <c r="YC12" i="16"/>
  <c r="YB12" i="16"/>
  <c r="YA12" i="16"/>
  <c r="XZ12" i="16"/>
  <c r="XY12" i="16"/>
  <c r="XX12" i="16"/>
  <c r="XW12" i="16"/>
  <c r="XV12" i="16"/>
  <c r="XU12" i="16"/>
  <c r="XT12" i="16"/>
  <c r="XS12" i="16"/>
  <c r="XR12" i="16"/>
  <c r="XQ12" i="16"/>
  <c r="XP12" i="16"/>
  <c r="XO12" i="16"/>
  <c r="XN12" i="16"/>
  <c r="XM12" i="16"/>
  <c r="XL12" i="16"/>
  <c r="XK12" i="16"/>
  <c r="XJ12" i="16"/>
  <c r="XI12" i="16"/>
  <c r="XH12" i="16"/>
  <c r="XG12" i="16"/>
  <c r="XF12" i="16"/>
  <c r="XE12" i="16"/>
  <c r="XD12" i="16"/>
  <c r="XC12" i="16"/>
  <c r="XB12" i="16"/>
  <c r="XA12" i="16"/>
  <c r="WZ12" i="16"/>
  <c r="WY12" i="16"/>
  <c r="WX12" i="16"/>
  <c r="WW12" i="16"/>
  <c r="WV12" i="16"/>
  <c r="WU12" i="16"/>
  <c r="WT12" i="16"/>
  <c r="WS12" i="16"/>
  <c r="WO12" i="16"/>
  <c r="WN12" i="16"/>
  <c r="WN21" i="16" s="1"/>
  <c r="WK12" i="16"/>
  <c r="WJ12" i="16"/>
  <c r="WG12" i="16"/>
  <c r="WG21" i="16" s="1"/>
  <c r="WF12" i="16"/>
  <c r="WF21" i="16" s="1"/>
  <c r="WC12" i="16"/>
  <c r="VY12" i="16"/>
  <c r="VX12" i="16"/>
  <c r="VX21" i="16" s="1"/>
  <c r="VU12" i="16"/>
  <c r="VQ12" i="16"/>
  <c r="VQ21" i="16" s="1"/>
  <c r="VP12" i="16"/>
  <c r="VP21" i="16" s="1"/>
  <c r="VM12" i="16"/>
  <c r="VI12" i="16"/>
  <c r="VH12" i="16"/>
  <c r="VH21" i="16" s="1"/>
  <c r="VE12" i="16"/>
  <c r="VD12" i="16"/>
  <c r="VA12" i="16"/>
  <c r="VA21" i="16" s="1"/>
  <c r="UZ12" i="16"/>
  <c r="UZ21" i="16" s="1"/>
  <c r="UW12" i="16"/>
  <c r="US12" i="16"/>
  <c r="UO12" i="16"/>
  <c r="UN12" i="16"/>
  <c r="UK12" i="16"/>
  <c r="UK21" i="16" s="1"/>
  <c r="UG12" i="16"/>
  <c r="UC12" i="16"/>
  <c r="UB12" i="16"/>
  <c r="UB21" i="16" s="1"/>
  <c r="TY12" i="16"/>
  <c r="TX12" i="16"/>
  <c r="TU12" i="16"/>
  <c r="TU21" i="16" s="1"/>
  <c r="TT12" i="16"/>
  <c r="TT21" i="16" s="1"/>
  <c r="TQ12" i="16"/>
  <c r="TM12" i="16"/>
  <c r="TL12" i="16"/>
  <c r="TL21" i="16" s="1"/>
  <c r="TI12" i="16"/>
  <c r="TE12" i="16"/>
  <c r="TD12" i="16"/>
  <c r="TD21" i="16" s="1"/>
  <c r="TA12" i="16"/>
  <c r="SW12" i="16"/>
  <c r="SV12" i="16"/>
  <c r="SV21" i="16" s="1"/>
  <c r="SS12" i="16"/>
  <c r="SO12" i="16"/>
  <c r="SO21" i="16" s="1"/>
  <c r="SN12" i="16"/>
  <c r="SN21" i="16" s="1"/>
  <c r="SK12" i="16"/>
  <c r="SG12" i="16"/>
  <c r="SF12" i="16"/>
  <c r="SF21" i="16" s="1"/>
  <c r="SC12" i="16"/>
  <c r="SB12" i="16"/>
  <c r="SA12" i="16"/>
  <c r="RZ12" i="16"/>
  <c r="RY12" i="16"/>
  <c r="RX12" i="16"/>
  <c r="RW12" i="16"/>
  <c r="RV12" i="16"/>
  <c r="RU12" i="16"/>
  <c r="RT12" i="16"/>
  <c r="RS12" i="16"/>
  <c r="RR12" i="16"/>
  <c r="RQ12" i="16"/>
  <c r="RP12" i="16"/>
  <c r="RO12" i="16"/>
  <c r="RN12" i="16"/>
  <c r="RM12" i="16"/>
  <c r="RL12" i="16"/>
  <c r="RK12" i="16"/>
  <c r="RJ12" i="16"/>
  <c r="RI12" i="16"/>
  <c r="RH12" i="16"/>
  <c r="RG12" i="16"/>
  <c r="RD12" i="16"/>
  <c r="RC12" i="16"/>
  <c r="QZ12" i="16"/>
  <c r="QY12" i="16"/>
  <c r="QX12" i="16"/>
  <c r="QW12" i="16"/>
  <c r="QV12" i="16"/>
  <c r="QU12" i="16"/>
  <c r="QT12" i="16"/>
  <c r="QS12" i="16"/>
  <c r="QS21" i="16" s="1"/>
  <c r="QP12" i="16"/>
  <c r="QL12" i="16"/>
  <c r="QK12" i="16"/>
  <c r="QK21" i="16" s="1"/>
  <c r="QH12" i="16"/>
  <c r="QD12" i="16"/>
  <c r="QC12" i="16"/>
  <c r="QC21" i="16" s="1"/>
  <c r="PZ12" i="16"/>
  <c r="PY12" i="16"/>
  <c r="PY21" i="16" s="1"/>
  <c r="PV12" i="16"/>
  <c r="PU12" i="16"/>
  <c r="PU21" i="16" s="1"/>
  <c r="PR12" i="16"/>
  <c r="PN12" i="16"/>
  <c r="PJ12" i="16"/>
  <c r="PI12" i="16"/>
  <c r="PI21" i="16" s="1"/>
  <c r="PF12" i="16"/>
  <c r="PB12" i="16"/>
  <c r="OX12" i="16"/>
  <c r="OW12" i="16"/>
  <c r="OW21" i="16" s="1"/>
  <c r="OT12" i="16"/>
  <c r="OS12" i="16"/>
  <c r="OS21" i="16" s="1"/>
  <c r="OP12" i="16"/>
  <c r="OO12" i="16"/>
  <c r="OO21" i="16" s="1"/>
  <c r="OL12" i="16"/>
  <c r="OH12" i="16"/>
  <c r="OG12" i="16"/>
  <c r="OG21" i="16" s="1"/>
  <c r="OD12" i="16"/>
  <c r="NZ12" i="16"/>
  <c r="NY12" i="16"/>
  <c r="NY21" i="16" s="1"/>
  <c r="NV12" i="16"/>
  <c r="NR12" i="16"/>
  <c r="NQ12" i="16"/>
  <c r="NQ21" i="16" s="1"/>
  <c r="NN12" i="16"/>
  <c r="NM12" i="16"/>
  <c r="NM21" i="16" s="1"/>
  <c r="NJ12" i="16"/>
  <c r="NI12" i="16"/>
  <c r="NI21" i="16" s="1"/>
  <c r="NF12" i="16"/>
  <c r="NB12" i="16"/>
  <c r="MX12" i="16"/>
  <c r="MW12" i="16"/>
  <c r="MW21" i="16" s="1"/>
  <c r="MT12" i="16"/>
  <c r="MP12" i="16"/>
  <c r="ML12" i="16"/>
  <c r="MH12" i="16"/>
  <c r="MG12" i="16"/>
  <c r="MG21" i="16" s="1"/>
  <c r="MD12" i="16"/>
  <c r="LZ12" i="16"/>
  <c r="LV12" i="16"/>
  <c r="LU12" i="16"/>
  <c r="LU21" i="16" s="1"/>
  <c r="LR12" i="16"/>
  <c r="LQ12" i="16"/>
  <c r="LQ21" i="16" s="1"/>
  <c r="LN12" i="16"/>
  <c r="LM12" i="16"/>
  <c r="LM21" i="16" s="1"/>
  <c r="LJ12" i="16"/>
  <c r="LF12" i="16"/>
  <c r="LE12" i="16"/>
  <c r="LE21" i="16" s="1"/>
  <c r="LB12" i="16"/>
  <c r="KX12" i="16"/>
  <c r="KW12" i="16"/>
  <c r="KW21" i="16" s="1"/>
  <c r="KT12" i="16"/>
  <c r="KP12" i="16"/>
  <c r="KO12" i="16"/>
  <c r="KO21" i="16" s="1"/>
  <c r="KL12" i="16"/>
  <c r="KK12" i="16"/>
  <c r="KK21" i="16" s="1"/>
  <c r="KH12" i="16"/>
  <c r="KG12" i="16"/>
  <c r="KG21" i="16" s="1"/>
  <c r="KD12" i="16"/>
  <c r="JZ12" i="16"/>
  <c r="JV12" i="16"/>
  <c r="JU12" i="16"/>
  <c r="JR12" i="16"/>
  <c r="JN12" i="16"/>
  <c r="JJ12" i="16"/>
  <c r="JI12" i="16"/>
  <c r="JI21" i="16" s="1"/>
  <c r="JF12" i="16"/>
  <c r="JE12" i="16"/>
  <c r="JE21" i="16" s="1"/>
  <c r="JB12" i="16"/>
  <c r="IX12" i="16"/>
  <c r="IT12" i="16"/>
  <c r="IP12" i="16"/>
  <c r="IO12" i="16"/>
  <c r="IO21" i="16" s="1"/>
  <c r="IL12" i="16"/>
  <c r="IH12" i="16"/>
  <c r="ID12" i="16"/>
  <c r="IC12" i="16"/>
  <c r="IC21" i="16" s="1"/>
  <c r="HZ12" i="16"/>
  <c r="HY12" i="16"/>
  <c r="HY21" i="16" s="1"/>
  <c r="HV12" i="16"/>
  <c r="HU12" i="16"/>
  <c r="HU21" i="16" s="1"/>
  <c r="HR12" i="16"/>
  <c r="HN12" i="16"/>
  <c r="HM12" i="16"/>
  <c r="HM21" i="16" s="1"/>
  <c r="HJ12" i="16"/>
  <c r="HF12" i="16"/>
  <c r="HE12" i="16"/>
  <c r="HE21" i="16" s="1"/>
  <c r="HB12" i="16"/>
  <c r="GX12" i="16"/>
  <c r="GW12" i="16"/>
  <c r="GW21" i="16" s="1"/>
  <c r="EC12" i="16"/>
  <c r="EC21" i="16" s="1"/>
  <c r="EB12" i="16"/>
  <c r="EB21" i="16" s="1"/>
  <c r="EB42" i="16" s="1"/>
  <c r="DY12" i="16"/>
  <c r="DY21" i="16" s="1"/>
  <c r="DX12" i="16"/>
  <c r="DU12" i="16"/>
  <c r="DU21" i="16" s="1"/>
  <c r="DQ12" i="16"/>
  <c r="DQ21" i="16" s="1"/>
  <c r="DM12" i="16"/>
  <c r="DM21" i="16" s="1"/>
  <c r="DL12" i="16"/>
  <c r="DL21" i="16" s="1"/>
  <c r="DL42" i="16" s="1"/>
  <c r="DI12" i="16"/>
  <c r="DI21" i="16" s="1"/>
  <c r="DE12" i="16"/>
  <c r="DE21" i="16" s="1"/>
  <c r="DA12" i="16"/>
  <c r="DA21" i="16" s="1"/>
  <c r="CZ12" i="16"/>
  <c r="CZ21" i="16" s="1"/>
  <c r="CZ42" i="16" s="1"/>
  <c r="CW12" i="16"/>
  <c r="CW21" i="16" s="1"/>
  <c r="CV12" i="16"/>
  <c r="CV21" i="16" s="1"/>
  <c r="CV42" i="16" s="1"/>
  <c r="CS12" i="16"/>
  <c r="CS21" i="16" s="1"/>
  <c r="CR12" i="16"/>
  <c r="CO12" i="16"/>
  <c r="CO21" i="16" s="1"/>
  <c r="CK12" i="16"/>
  <c r="CK21" i="16" s="1"/>
  <c r="CJ12" i="16"/>
  <c r="CJ21" i="16" s="1"/>
  <c r="CJ42" i="16" s="1"/>
  <c r="CG12" i="16"/>
  <c r="CG21" i="16" s="1"/>
  <c r="CF12" i="16"/>
  <c r="CC12" i="16"/>
  <c r="CC21" i="16" s="1"/>
  <c r="CB12" i="16"/>
  <c r="BY12" i="16"/>
  <c r="BY21" i="16" s="1"/>
  <c r="BU12" i="16"/>
  <c r="BU21" i="16" s="1"/>
  <c r="BT12" i="16"/>
  <c r="BQ12" i="16"/>
  <c r="BQ21" i="16" s="1"/>
  <c r="BP12" i="16"/>
  <c r="BM12" i="16"/>
  <c r="BM21" i="16" s="1"/>
  <c r="BL12" i="16"/>
  <c r="BI12" i="16"/>
  <c r="BI21" i="16" s="1"/>
  <c r="BH12" i="16"/>
  <c r="BE12" i="16"/>
  <c r="BE21" i="16" s="1"/>
  <c r="BD12" i="16"/>
  <c r="BA12" i="16"/>
  <c r="BA21" i="16" s="1"/>
  <c r="AZ12" i="16"/>
  <c r="AW12" i="16"/>
  <c r="AW21" i="16" s="1"/>
  <c r="AV12" i="16"/>
  <c r="AS12" i="16"/>
  <c r="AS21" i="16" s="1"/>
  <c r="AR12" i="16"/>
  <c r="AO12" i="16"/>
  <c r="AO21" i="16" s="1"/>
  <c r="AN12" i="16"/>
  <c r="AK12" i="16"/>
  <c r="AK21" i="16" s="1"/>
  <c r="AJ12" i="16"/>
  <c r="AG12" i="16"/>
  <c r="AG21" i="16" s="1"/>
  <c r="AF12" i="16"/>
  <c r="AC12" i="16"/>
  <c r="AC21" i="16" s="1"/>
  <c r="AB12" i="16"/>
  <c r="Y12" i="16"/>
  <c r="Y21" i="16" s="1"/>
  <c r="X12" i="16"/>
  <c r="U12" i="16"/>
  <c r="U21" i="16" s="1"/>
  <c r="T12" i="16"/>
  <c r="Q12" i="16"/>
  <c r="Q21" i="16" s="1"/>
  <c r="P12" i="16"/>
  <c r="AEW9" i="16"/>
  <c r="AEV9" i="16"/>
  <c r="AEU9" i="16"/>
  <c r="AET9" i="16"/>
  <c r="AES9" i="16"/>
  <c r="AER9" i="16"/>
  <c r="AEQ9" i="16"/>
  <c r="AEP9" i="16"/>
  <c r="AEO9" i="16"/>
  <c r="AEN9" i="16"/>
  <c r="AEM9" i="16"/>
  <c r="AEL9" i="16"/>
  <c r="AEK9" i="16"/>
  <c r="AEJ9" i="16"/>
  <c r="AEI9" i="16"/>
  <c r="AEH9" i="16"/>
  <c r="AEG9" i="16"/>
  <c r="AEF9" i="16"/>
  <c r="AEE9" i="16"/>
  <c r="AED9" i="16"/>
  <c r="AEC9" i="16"/>
  <c r="AEB9" i="16"/>
  <c r="AEA9" i="16"/>
  <c r="ADZ9" i="16"/>
  <c r="ADY9" i="16"/>
  <c r="ADX9" i="16"/>
  <c r="ADW9" i="16"/>
  <c r="ADV9" i="16"/>
  <c r="ADU9" i="16"/>
  <c r="ADT9" i="16"/>
  <c r="ADS9" i="16"/>
  <c r="ADR9" i="16"/>
  <c r="ADQ9" i="16"/>
  <c r="ADP9" i="16"/>
  <c r="ADO9" i="16"/>
  <c r="ADN9" i="16"/>
  <c r="ADM9" i="16"/>
  <c r="ADL9" i="16"/>
  <c r="ADK9" i="16"/>
  <c r="ADJ9" i="16"/>
  <c r="ADI9" i="16"/>
  <c r="ADH9" i="16"/>
  <c r="ADG9" i="16"/>
  <c r="ADF9" i="16"/>
  <c r="ADE9" i="16"/>
  <c r="ADD9" i="16"/>
  <c r="ADC9" i="16"/>
  <c r="ADB9" i="16"/>
  <c r="ADA9" i="16"/>
  <c r="ACZ9" i="16"/>
  <c r="ACY9" i="16"/>
  <c r="ACX9" i="16"/>
  <c r="ACW9" i="16"/>
  <c r="ACV9" i="16"/>
  <c r="ACU9" i="16"/>
  <c r="ACT9" i="16"/>
  <c r="ACS9" i="16"/>
  <c r="ACR9" i="16"/>
  <c r="ACQ9" i="16"/>
  <c r="ACP9" i="16"/>
  <c r="ACO9" i="16"/>
  <c r="ACN9" i="16"/>
  <c r="ACM9" i="16"/>
  <c r="ACL9" i="16"/>
  <c r="ACK9" i="16"/>
  <c r="ACJ9" i="16"/>
  <c r="ACI9" i="16"/>
  <c r="ACH9" i="16"/>
  <c r="ACG9" i="16"/>
  <c r="ACF9" i="16"/>
  <c r="ACE9" i="16"/>
  <c r="ACD9" i="16"/>
  <c r="ACC9" i="16"/>
  <c r="ACB9" i="16"/>
  <c r="ACA9" i="16"/>
  <c r="ABZ9" i="16"/>
  <c r="ABY9" i="16"/>
  <c r="ABX9" i="16"/>
  <c r="ABW9" i="16"/>
  <c r="ABV9" i="16"/>
  <c r="ABU9" i="16"/>
  <c r="ABT9" i="16"/>
  <c r="ABS9" i="16"/>
  <c r="ABR9" i="16"/>
  <c r="ABQ9" i="16"/>
  <c r="ABP9" i="16"/>
  <c r="ABO9" i="16"/>
  <c r="ABN9" i="16"/>
  <c r="ABM9" i="16"/>
  <c r="ABL9" i="16"/>
  <c r="ABK9" i="16"/>
  <c r="ABJ9" i="16"/>
  <c r="ABI9" i="16"/>
  <c r="ABH9" i="16"/>
  <c r="ABG9" i="16"/>
  <c r="ABF9" i="16"/>
  <c r="ABE9" i="16"/>
  <c r="ABD9" i="16"/>
  <c r="ABC9" i="16"/>
  <c r="ABB9" i="16"/>
  <c r="ABA9" i="16"/>
  <c r="AAZ9" i="16"/>
  <c r="AAY9" i="16"/>
  <c r="AAX9" i="16"/>
  <c r="AAW9" i="16"/>
  <c r="AAV9" i="16"/>
  <c r="AAU9" i="16"/>
  <c r="AAT9" i="16"/>
  <c r="AAS9" i="16"/>
  <c r="AAR9" i="16"/>
  <c r="AAQ9" i="16"/>
  <c r="AAP9" i="16"/>
  <c r="AAO9" i="16"/>
  <c r="AAN9" i="16"/>
  <c r="AAM9" i="16"/>
  <c r="AAL9" i="16"/>
  <c r="AAK9" i="16"/>
  <c r="AAJ9" i="16"/>
  <c r="AAI9" i="16"/>
  <c r="AAH9" i="16"/>
  <c r="AAG9" i="16"/>
  <c r="AAF9" i="16"/>
  <c r="AAE9" i="16"/>
  <c r="AAD9" i="16"/>
  <c r="AAC9" i="16"/>
  <c r="AAB9" i="16"/>
  <c r="AAA9" i="16"/>
  <c r="ZZ9" i="16"/>
  <c r="ZY9" i="16"/>
  <c r="ZX9" i="16"/>
  <c r="ZW9" i="16"/>
  <c r="ZV9" i="16"/>
  <c r="ZU9" i="16"/>
  <c r="ZT9" i="16"/>
  <c r="ZS9" i="16"/>
  <c r="ZR9" i="16"/>
  <c r="ZQ9" i="16"/>
  <c r="ZP9" i="16"/>
  <c r="ZO9" i="16"/>
  <c r="ZN9" i="16"/>
  <c r="ZM9" i="16"/>
  <c r="ZL9" i="16"/>
  <c r="ZK9" i="16"/>
  <c r="ZJ9" i="16"/>
  <c r="ZI9" i="16"/>
  <c r="ZH9" i="16"/>
  <c r="ZG9" i="16"/>
  <c r="ZF9" i="16"/>
  <c r="ZE9" i="16"/>
  <c r="ZD9" i="16"/>
  <c r="ZC9" i="16"/>
  <c r="ZB9" i="16"/>
  <c r="ZA9" i="16"/>
  <c r="YZ9" i="16"/>
  <c r="YY9" i="16"/>
  <c r="YX9" i="16"/>
  <c r="YW9" i="16"/>
  <c r="YV9" i="16"/>
  <c r="YU9" i="16"/>
  <c r="YT9" i="16"/>
  <c r="YS9" i="16"/>
  <c r="YR9" i="16"/>
  <c r="YQ9" i="16"/>
  <c r="YP9" i="16"/>
  <c r="YO9" i="16"/>
  <c r="YN9" i="16"/>
  <c r="YM9" i="16"/>
  <c r="YL9" i="16"/>
  <c r="YK9" i="16"/>
  <c r="YJ9" i="16"/>
  <c r="YI9" i="16"/>
  <c r="YH9" i="16"/>
  <c r="YG9" i="16"/>
  <c r="YF9" i="16"/>
  <c r="YE9" i="16"/>
  <c r="YD9" i="16"/>
  <c r="YC9" i="16"/>
  <c r="YB9" i="16"/>
  <c r="YA9" i="16"/>
  <c r="XZ9" i="16"/>
  <c r="XY9" i="16"/>
  <c r="XX9" i="16"/>
  <c r="XW9" i="16"/>
  <c r="XV9" i="16"/>
  <c r="XU9" i="16"/>
  <c r="XT9" i="16"/>
  <c r="XS9" i="16"/>
  <c r="XR9" i="16"/>
  <c r="XQ9" i="16"/>
  <c r="XP9" i="16"/>
  <c r="XO9" i="16"/>
  <c r="XN9" i="16"/>
  <c r="XM9" i="16"/>
  <c r="XL9" i="16"/>
  <c r="XK9" i="16"/>
  <c r="XJ9" i="16"/>
  <c r="XI9" i="16"/>
  <c r="XH9" i="16"/>
  <c r="XG9" i="16"/>
  <c r="XF9" i="16"/>
  <c r="XE9" i="16"/>
  <c r="XD9" i="16"/>
  <c r="XC9" i="16"/>
  <c r="XB9" i="16"/>
  <c r="XA9" i="16"/>
  <c r="WZ9" i="16"/>
  <c r="WY9" i="16"/>
  <c r="WX9" i="16"/>
  <c r="WW9" i="16"/>
  <c r="WV9" i="16"/>
  <c r="WU9" i="16"/>
  <c r="WT9" i="16"/>
  <c r="WR9" i="16"/>
  <c r="WR15" i="16" s="1"/>
  <c r="WR27" i="16" s="1"/>
  <c r="WN9" i="16"/>
  <c r="WN15" i="16" s="1"/>
  <c r="WN27" i="16" s="1"/>
  <c r="WJ9" i="16"/>
  <c r="WJ15" i="16" s="1"/>
  <c r="WJ27" i="16" s="1"/>
  <c r="WF9" i="16"/>
  <c r="WF15" i="16" s="1"/>
  <c r="WF27" i="16" s="1"/>
  <c r="WB9" i="16"/>
  <c r="WB15" i="16" s="1"/>
  <c r="WB27" i="16" s="1"/>
  <c r="VX9" i="16"/>
  <c r="VX15" i="16" s="1"/>
  <c r="VX27" i="16" s="1"/>
  <c r="VT9" i="16"/>
  <c r="VT15" i="16" s="1"/>
  <c r="VT27" i="16" s="1"/>
  <c r="VP9" i="16"/>
  <c r="VP15" i="16" s="1"/>
  <c r="VP27" i="16" s="1"/>
  <c r="VL9" i="16"/>
  <c r="VL15" i="16" s="1"/>
  <c r="VL27" i="16" s="1"/>
  <c r="VH9" i="16"/>
  <c r="VH15" i="16" s="1"/>
  <c r="VH27" i="16" s="1"/>
  <c r="VD9" i="16"/>
  <c r="VD15" i="16" s="1"/>
  <c r="VD27" i="16" s="1"/>
  <c r="UZ9" i="16"/>
  <c r="UZ15" i="16" s="1"/>
  <c r="UZ27" i="16" s="1"/>
  <c r="UV9" i="16"/>
  <c r="UV15" i="16" s="1"/>
  <c r="UV27" i="16" s="1"/>
  <c r="UR9" i="16"/>
  <c r="UR15" i="16" s="1"/>
  <c r="UR27" i="16" s="1"/>
  <c r="UN9" i="16"/>
  <c r="UN15" i="16" s="1"/>
  <c r="UN27" i="16" s="1"/>
  <c r="UJ9" i="16"/>
  <c r="UJ15" i="16" s="1"/>
  <c r="UJ27" i="16" s="1"/>
  <c r="UB9" i="16"/>
  <c r="UB15" i="16" s="1"/>
  <c r="UB27" i="16" s="1"/>
  <c r="TX9" i="16"/>
  <c r="TX15" i="16" s="1"/>
  <c r="TX27" i="16" s="1"/>
  <c r="TT9" i="16"/>
  <c r="TT15" i="16" s="1"/>
  <c r="TT27" i="16" s="1"/>
  <c r="TP9" i="16"/>
  <c r="TP15" i="16" s="1"/>
  <c r="TP27" i="16" s="1"/>
  <c r="TL9" i="16"/>
  <c r="TL15" i="16" s="1"/>
  <c r="TL27" i="16" s="1"/>
  <c r="TH9" i="16"/>
  <c r="TH15" i="16" s="1"/>
  <c r="TH27" i="16" s="1"/>
  <c r="TD9" i="16"/>
  <c r="TD15" i="16" s="1"/>
  <c r="TD27" i="16" s="1"/>
  <c r="SZ9" i="16"/>
  <c r="SZ15" i="16" s="1"/>
  <c r="SZ27" i="16" s="1"/>
  <c r="SV9" i="16"/>
  <c r="SV15" i="16" s="1"/>
  <c r="SV27" i="16" s="1"/>
  <c r="SR9" i="16"/>
  <c r="SR15" i="16" s="1"/>
  <c r="SR27" i="16" s="1"/>
  <c r="SN9" i="16"/>
  <c r="SN15" i="16" s="1"/>
  <c r="SN27" i="16" s="1"/>
  <c r="SJ9" i="16"/>
  <c r="SJ15" i="16" s="1"/>
  <c r="SJ27" i="16" s="1"/>
  <c r="SF9" i="16"/>
  <c r="SF15" i="16" s="1"/>
  <c r="SF27" i="16" s="1"/>
  <c r="SB9" i="16"/>
  <c r="SB15" i="16" s="1"/>
  <c r="SB27" i="16" s="1"/>
  <c r="SA9" i="16"/>
  <c r="RZ9" i="16"/>
  <c r="RY9" i="16"/>
  <c r="RX9" i="16"/>
  <c r="RW9" i="16"/>
  <c r="RV9" i="16"/>
  <c r="RU9" i="16"/>
  <c r="RT9" i="16"/>
  <c r="RS9" i="16"/>
  <c r="RR9" i="16"/>
  <c r="RQ9" i="16"/>
  <c r="RP9" i="16"/>
  <c r="RO9" i="16"/>
  <c r="RN9" i="16"/>
  <c r="RM9" i="16"/>
  <c r="RL9" i="16"/>
  <c r="RK9" i="16"/>
  <c r="RJ9" i="16"/>
  <c r="RI9" i="16"/>
  <c r="RH9" i="16"/>
  <c r="RG9" i="16"/>
  <c r="RC9" i="16"/>
  <c r="RC15" i="16" s="1"/>
  <c r="RC27" i="16" s="1"/>
  <c r="QZ9" i="16"/>
  <c r="QY9" i="16"/>
  <c r="QX9" i="16"/>
  <c r="QW9" i="16"/>
  <c r="QV9" i="16"/>
  <c r="QU9" i="16"/>
  <c r="QK9" i="16"/>
  <c r="QK15" i="16" s="1"/>
  <c r="QK27" i="16" s="1"/>
  <c r="QG9" i="16"/>
  <c r="QG15" i="16" s="1"/>
  <c r="QG27" i="16" s="1"/>
  <c r="QC9" i="16"/>
  <c r="QC15" i="16" s="1"/>
  <c r="QC27" i="16" s="1"/>
  <c r="PY9" i="16"/>
  <c r="PU9" i="16"/>
  <c r="PU15" i="16" s="1"/>
  <c r="PU27" i="16" s="1"/>
  <c r="PQ9" i="16"/>
  <c r="PQ15" i="16" s="1"/>
  <c r="PQ27" i="16" s="1"/>
  <c r="PM9" i="16"/>
  <c r="PM15" i="16" s="1"/>
  <c r="PM27" i="16" s="1"/>
  <c r="PI9" i="16"/>
  <c r="PI15" i="16" s="1"/>
  <c r="PI27" i="16" s="1"/>
  <c r="PE9" i="16"/>
  <c r="PE15" i="16" s="1"/>
  <c r="PE27" i="16" s="1"/>
  <c r="PA9" i="16"/>
  <c r="PA15" i="16" s="1"/>
  <c r="PA27" i="16" s="1"/>
  <c r="OW9" i="16"/>
  <c r="OW15" i="16" s="1"/>
  <c r="OW27" i="16" s="1"/>
  <c r="OS9" i="16"/>
  <c r="OS15" i="16" s="1"/>
  <c r="OS27" i="16" s="1"/>
  <c r="OO9" i="16"/>
  <c r="OO15" i="16" s="1"/>
  <c r="OO27" i="16" s="1"/>
  <c r="OK9" i="16"/>
  <c r="OK15" i="16" s="1"/>
  <c r="OK27" i="16" s="1"/>
  <c r="OG9" i="16"/>
  <c r="OG15" i="16" s="1"/>
  <c r="OG27" i="16" s="1"/>
  <c r="OC9" i="16"/>
  <c r="OC15" i="16" s="1"/>
  <c r="OC27" i="16" s="1"/>
  <c r="NY9" i="16"/>
  <c r="NY15" i="16" s="1"/>
  <c r="NY27" i="16" s="1"/>
  <c r="NU9" i="16"/>
  <c r="NU15" i="16" s="1"/>
  <c r="NU27" i="16" s="1"/>
  <c r="NQ9" i="16"/>
  <c r="NQ15" i="16" s="1"/>
  <c r="NQ27" i="16" s="1"/>
  <c r="NM9" i="16"/>
  <c r="NM15" i="16" s="1"/>
  <c r="NM27" i="16" s="1"/>
  <c r="NI9" i="16"/>
  <c r="NI15" i="16" s="1"/>
  <c r="NI27" i="16" s="1"/>
  <c r="NE9" i="16"/>
  <c r="NE15" i="16" s="1"/>
  <c r="NA9" i="16"/>
  <c r="NA15" i="16" s="1"/>
  <c r="MW9" i="16"/>
  <c r="MW15" i="16" s="1"/>
  <c r="MS9" i="16"/>
  <c r="MS15" i="16" s="1"/>
  <c r="MO9" i="16"/>
  <c r="MO15" i="16" s="1"/>
  <c r="MO27" i="16" s="1"/>
  <c r="MK9" i="16"/>
  <c r="MK15" i="16" s="1"/>
  <c r="MK27" i="16" s="1"/>
  <c r="MG9" i="16"/>
  <c r="MG15" i="16" s="1"/>
  <c r="MG27" i="16" s="1"/>
  <c r="MC9" i="16"/>
  <c r="MC15" i="16" s="1"/>
  <c r="MC27" i="16" s="1"/>
  <c r="LY9" i="16"/>
  <c r="LY15" i="16" s="1"/>
  <c r="LY27" i="16" s="1"/>
  <c r="LU9" i="16"/>
  <c r="LU15" i="16" s="1"/>
  <c r="LU27" i="16" s="1"/>
  <c r="LQ9" i="16"/>
  <c r="LQ15" i="16" s="1"/>
  <c r="LM9" i="16"/>
  <c r="LM15" i="16" s="1"/>
  <c r="LI9" i="16"/>
  <c r="LI15" i="16" s="1"/>
  <c r="LE9" i="16"/>
  <c r="LE15" i="16" s="1"/>
  <c r="LA9" i="16"/>
  <c r="LA15" i="16" s="1"/>
  <c r="JV9" i="16"/>
  <c r="JV15" i="16" s="1"/>
  <c r="JJ9" i="16"/>
  <c r="JF9" i="16"/>
  <c r="JF15" i="16" s="1"/>
  <c r="JB9" i="16"/>
  <c r="JB15" i="16" s="1"/>
  <c r="IX9" i="16"/>
  <c r="IX15" i="16" s="1"/>
  <c r="IT9" i="16"/>
  <c r="IT15" i="16" s="1"/>
  <c r="IP9" i="16"/>
  <c r="IP15" i="16" s="1"/>
  <c r="IL9" i="16"/>
  <c r="IL15" i="16" s="1"/>
  <c r="GX9" i="16"/>
  <c r="GT9" i="16"/>
  <c r="GP9" i="16"/>
  <c r="GL9" i="16"/>
  <c r="GH9" i="16"/>
  <c r="GD9" i="16"/>
  <c r="FZ9" i="16"/>
  <c r="FV9" i="16"/>
  <c r="FR9" i="16"/>
  <c r="FN9" i="16"/>
  <c r="FJ9" i="16"/>
  <c r="FF9" i="16"/>
  <c r="FB9" i="16"/>
  <c r="EX9" i="16"/>
  <c r="ET9" i="16"/>
  <c r="EP9" i="16"/>
  <c r="EL9" i="16"/>
  <c r="EH9" i="16"/>
  <c r="AEW6" i="16"/>
  <c r="AEV6" i="16"/>
  <c r="AEU6" i="16"/>
  <c r="AET6" i="16"/>
  <c r="AES6" i="16"/>
  <c r="AER6" i="16"/>
  <c r="AEQ6" i="16"/>
  <c r="AEP6" i="16"/>
  <c r="AEO6" i="16"/>
  <c r="AEN6" i="16"/>
  <c r="AEM6" i="16"/>
  <c r="AEL6" i="16"/>
  <c r="AEK6" i="16"/>
  <c r="AEJ6" i="16"/>
  <c r="AEI6" i="16"/>
  <c r="AEH6" i="16"/>
  <c r="AEG6" i="16"/>
  <c r="AEF6" i="16"/>
  <c r="AEE6" i="16"/>
  <c r="AED6" i="16"/>
  <c r="AEC6" i="16"/>
  <c r="AEB6" i="16"/>
  <c r="AEA6" i="16"/>
  <c r="ADZ6" i="16"/>
  <c r="ADY6" i="16"/>
  <c r="ADX6" i="16"/>
  <c r="ADW6" i="16"/>
  <c r="ADV6" i="16"/>
  <c r="ADU6" i="16"/>
  <c r="ADT6" i="16"/>
  <c r="ADS6" i="16"/>
  <c r="ADR6" i="16"/>
  <c r="ADQ6" i="16"/>
  <c r="ADP6" i="16"/>
  <c r="ADO6" i="16"/>
  <c r="ADN6" i="16"/>
  <c r="ADM6" i="16"/>
  <c r="ADL6" i="16"/>
  <c r="ADK6" i="16"/>
  <c r="ADJ6" i="16"/>
  <c r="ADI6" i="16"/>
  <c r="ADH6" i="16"/>
  <c r="ADG6" i="16"/>
  <c r="ADF6" i="16"/>
  <c r="ADE6" i="16"/>
  <c r="ADD6" i="16"/>
  <c r="ADC6" i="16"/>
  <c r="ADB6" i="16"/>
  <c r="ADA6" i="16"/>
  <c r="ACZ6" i="16"/>
  <c r="ACY6" i="16"/>
  <c r="ACX6" i="16"/>
  <c r="ACW6" i="16"/>
  <c r="ACV6" i="16"/>
  <c r="ACU6" i="16"/>
  <c r="ACT6" i="16"/>
  <c r="ACS6" i="16"/>
  <c r="ACR6" i="16"/>
  <c r="ACQ6" i="16"/>
  <c r="ACP6" i="16"/>
  <c r="ACO6" i="16"/>
  <c r="ACN6" i="16"/>
  <c r="ACM6" i="16"/>
  <c r="ACL6" i="16"/>
  <c r="ACK6" i="16"/>
  <c r="ACJ6" i="16"/>
  <c r="ACI6" i="16"/>
  <c r="ACH6" i="16"/>
  <c r="ACG6" i="16"/>
  <c r="ACF6" i="16"/>
  <c r="ACE6" i="16"/>
  <c r="ACD6" i="16"/>
  <c r="ACC6" i="16"/>
  <c r="ACB6" i="16"/>
  <c r="ACA6" i="16"/>
  <c r="ABZ6" i="16"/>
  <c r="ABY6" i="16"/>
  <c r="ABX6" i="16"/>
  <c r="ABW6" i="16"/>
  <c r="ABV6" i="16"/>
  <c r="ABU6" i="16"/>
  <c r="ABT6" i="16"/>
  <c r="ABS6" i="16"/>
  <c r="ABR6" i="16"/>
  <c r="ABQ6" i="16"/>
  <c r="ABP6" i="16"/>
  <c r="ABO6" i="16"/>
  <c r="ABN6" i="16"/>
  <c r="ABM6" i="16"/>
  <c r="ABL6" i="16"/>
  <c r="ABK6" i="16"/>
  <c r="ABJ6" i="16"/>
  <c r="ABI6" i="16"/>
  <c r="ABH6" i="16"/>
  <c r="ABG6" i="16"/>
  <c r="ABF6" i="16"/>
  <c r="ABE6" i="16"/>
  <c r="ABD6" i="16"/>
  <c r="ABC6" i="16"/>
  <c r="ABB6" i="16"/>
  <c r="ABA6" i="16"/>
  <c r="AAZ6" i="16"/>
  <c r="AAY6" i="16"/>
  <c r="AAX6" i="16"/>
  <c r="AAW6" i="16"/>
  <c r="AAV6" i="16"/>
  <c r="AAU6" i="16"/>
  <c r="AAT6" i="16"/>
  <c r="AAS6" i="16"/>
  <c r="AAR6" i="16"/>
  <c r="AAQ6" i="16"/>
  <c r="AAP6" i="16"/>
  <c r="AAO6" i="16"/>
  <c r="AAN6" i="16"/>
  <c r="AAM6" i="16"/>
  <c r="AAL6" i="16"/>
  <c r="AAK6" i="16"/>
  <c r="AAJ6" i="16"/>
  <c r="AAI6" i="16"/>
  <c r="AAH6" i="16"/>
  <c r="AAG6" i="16"/>
  <c r="AAF6" i="16"/>
  <c r="AAE6" i="16"/>
  <c r="AAD6" i="16"/>
  <c r="AAC6" i="16"/>
  <c r="AAB6" i="16"/>
  <c r="AAA6" i="16"/>
  <c r="ZZ6" i="16"/>
  <c r="ZY6" i="16"/>
  <c r="ZX6" i="16"/>
  <c r="ZW6" i="16"/>
  <c r="ZV6" i="16"/>
  <c r="ZU6" i="16"/>
  <c r="ZT6" i="16"/>
  <c r="ZS6" i="16"/>
  <c r="ZR6" i="16"/>
  <c r="ZQ6" i="16"/>
  <c r="ZP6" i="16"/>
  <c r="ZO6" i="16"/>
  <c r="ZN6" i="16"/>
  <c r="ZM6" i="16"/>
  <c r="ZL6" i="16"/>
  <c r="ZK6" i="16"/>
  <c r="ZJ6" i="16"/>
  <c r="ZI6" i="16"/>
  <c r="ZH6" i="16"/>
  <c r="ZG6" i="16"/>
  <c r="ZF6" i="16"/>
  <c r="ZE6" i="16"/>
  <c r="ZD6" i="16"/>
  <c r="ZC6" i="16"/>
  <c r="ZB6" i="16"/>
  <c r="ZA6" i="16"/>
  <c r="YZ6" i="16"/>
  <c r="YY6" i="16"/>
  <c r="YX6" i="16"/>
  <c r="YW6" i="16"/>
  <c r="YV6" i="16"/>
  <c r="YU6" i="16"/>
  <c r="YT6" i="16"/>
  <c r="YS6" i="16"/>
  <c r="YR6" i="16"/>
  <c r="YQ6" i="16"/>
  <c r="YP6" i="16"/>
  <c r="YO6" i="16"/>
  <c r="YN6" i="16"/>
  <c r="YM6" i="16"/>
  <c r="YL6" i="16"/>
  <c r="YK6" i="16"/>
  <c r="YJ6" i="16"/>
  <c r="YI6" i="16"/>
  <c r="YH6" i="16"/>
  <c r="YG6" i="16"/>
  <c r="YF6" i="16"/>
  <c r="YE6" i="16"/>
  <c r="YD6" i="16"/>
  <c r="YC6" i="16"/>
  <c r="YB6" i="16"/>
  <c r="YA6" i="16"/>
  <c r="XZ6" i="16"/>
  <c r="XY6" i="16"/>
  <c r="XX6" i="16"/>
  <c r="XW6" i="16"/>
  <c r="XV6" i="16"/>
  <c r="XU6" i="16"/>
  <c r="XT6" i="16"/>
  <c r="XS6" i="16"/>
  <c r="XR6" i="16"/>
  <c r="XQ6" i="16"/>
  <c r="XP6" i="16"/>
  <c r="XO6" i="16"/>
  <c r="XN6" i="16"/>
  <c r="XM6" i="16"/>
  <c r="XL6" i="16"/>
  <c r="XK6" i="16"/>
  <c r="XJ6" i="16"/>
  <c r="XI6" i="16"/>
  <c r="XH6" i="16"/>
  <c r="XG6" i="16"/>
  <c r="XF6" i="16"/>
  <c r="XE6" i="16"/>
  <c r="XD6" i="16"/>
  <c r="XC6" i="16"/>
  <c r="XB6" i="16"/>
  <c r="XA6" i="16"/>
  <c r="WZ6" i="16"/>
  <c r="WY6" i="16"/>
  <c r="WX6" i="16"/>
  <c r="WW6" i="16"/>
  <c r="WV6" i="16"/>
  <c r="WU6" i="16"/>
  <c r="WT6" i="16"/>
  <c r="WQ6" i="16"/>
  <c r="WP6" i="16"/>
  <c r="WM6" i="16"/>
  <c r="WL6" i="16"/>
  <c r="WI6" i="16"/>
  <c r="WH6" i="16"/>
  <c r="WE6" i="16"/>
  <c r="WD6" i="16"/>
  <c r="WA6" i="16"/>
  <c r="VZ6" i="16"/>
  <c r="VW6" i="16"/>
  <c r="VV6" i="16"/>
  <c r="VS6" i="16"/>
  <c r="VR6" i="16"/>
  <c r="VO6" i="16"/>
  <c r="VN6" i="16"/>
  <c r="VK6" i="16"/>
  <c r="VJ6" i="16"/>
  <c r="VG6" i="16"/>
  <c r="VF6" i="16"/>
  <c r="VC6" i="16"/>
  <c r="VB6" i="16"/>
  <c r="UY6" i="16"/>
  <c r="UX6" i="16"/>
  <c r="UU6" i="16"/>
  <c r="UT6" i="16"/>
  <c r="UQ6" i="16"/>
  <c r="UP6" i="16"/>
  <c r="UM6" i="16"/>
  <c r="UL6" i="16"/>
  <c r="UI6" i="16"/>
  <c r="UH6" i="16"/>
  <c r="UE6" i="16"/>
  <c r="UD6" i="16"/>
  <c r="UA6" i="16"/>
  <c r="TZ6" i="16"/>
  <c r="TW6" i="16"/>
  <c r="TV6" i="16"/>
  <c r="TS6" i="16"/>
  <c r="TR6" i="16"/>
  <c r="TQ6" i="16"/>
  <c r="TQ9" i="16" s="1"/>
  <c r="TQ15" i="16" s="1"/>
  <c r="TQ27" i="16" s="1"/>
  <c r="TN6" i="16"/>
  <c r="TM6" i="16"/>
  <c r="TM9" i="16" s="1"/>
  <c r="TM15" i="16" s="1"/>
  <c r="TM27" i="16" s="1"/>
  <c r="TJ6" i="16"/>
  <c r="TI6" i="16"/>
  <c r="TI9" i="16" s="1"/>
  <c r="TI15" i="16" s="1"/>
  <c r="TI27" i="16" s="1"/>
  <c r="TF6" i="16"/>
  <c r="TE6" i="16"/>
  <c r="TE9" i="16" s="1"/>
  <c r="TE15" i="16" s="1"/>
  <c r="TE27" i="16" s="1"/>
  <c r="TB6" i="16"/>
  <c r="TA6" i="16"/>
  <c r="TA9" i="16" s="1"/>
  <c r="TA15" i="16" s="1"/>
  <c r="TA27" i="16" s="1"/>
  <c r="SX6" i="16"/>
  <c r="SW6" i="16"/>
  <c r="SW9" i="16" s="1"/>
  <c r="SW15" i="16" s="1"/>
  <c r="SW27" i="16" s="1"/>
  <c r="ST6" i="16"/>
  <c r="SS6" i="16"/>
  <c r="SS9" i="16" s="1"/>
  <c r="SS15" i="16" s="1"/>
  <c r="SS27" i="16" s="1"/>
  <c r="SP6" i="16"/>
  <c r="SO6" i="16"/>
  <c r="SO9" i="16" s="1"/>
  <c r="SO15" i="16" s="1"/>
  <c r="SO27" i="16" s="1"/>
  <c r="SL6" i="16"/>
  <c r="SK6" i="16"/>
  <c r="SK9" i="16" s="1"/>
  <c r="SK15" i="16" s="1"/>
  <c r="SK27" i="16" s="1"/>
  <c r="SH6" i="16"/>
  <c r="SG6" i="16"/>
  <c r="SG9" i="16" s="1"/>
  <c r="SG15" i="16" s="1"/>
  <c r="SG27" i="16" s="1"/>
  <c r="SD6" i="16"/>
  <c r="SC6" i="16"/>
  <c r="SC9" i="16" s="1"/>
  <c r="SC15" i="16" s="1"/>
  <c r="SC27" i="16" s="1"/>
  <c r="SA6" i="16"/>
  <c r="RZ6" i="16"/>
  <c r="RY6" i="16"/>
  <c r="RX6" i="16"/>
  <c r="RW6" i="16"/>
  <c r="RV6" i="16"/>
  <c r="RU6" i="16"/>
  <c r="RT6" i="16"/>
  <c r="RS6" i="16"/>
  <c r="RR6" i="16"/>
  <c r="RQ6" i="16"/>
  <c r="RP6" i="16"/>
  <c r="RO6" i="16"/>
  <c r="RN6" i="16"/>
  <c r="RM6" i="16"/>
  <c r="RL6" i="16"/>
  <c r="RK6" i="16"/>
  <c r="RJ6" i="16"/>
  <c r="RI6" i="16"/>
  <c r="RH6" i="16"/>
  <c r="RG6" i="16"/>
  <c r="RE6" i="16"/>
  <c r="RD6" i="16"/>
  <c r="RD9" i="16" s="1"/>
  <c r="RD15" i="16" s="1"/>
  <c r="RD27" i="16" s="1"/>
  <c r="RA6" i="16"/>
  <c r="QZ6" i="16"/>
  <c r="QY6" i="16"/>
  <c r="QX6" i="16"/>
  <c r="QW6" i="16"/>
  <c r="QV6" i="16"/>
  <c r="QU6" i="16"/>
  <c r="QT6" i="16"/>
  <c r="QT9" i="16" s="1"/>
  <c r="QT15" i="16" s="1"/>
  <c r="QT27" i="16" s="1"/>
  <c r="QR6" i="16"/>
  <c r="QP6" i="16"/>
  <c r="QP9" i="16" s="1"/>
  <c r="QP15" i="16" s="1"/>
  <c r="QP27" i="16" s="1"/>
  <c r="QN6" i="16"/>
  <c r="QJ6" i="16"/>
  <c r="QF6" i="16"/>
  <c r="QB6" i="16"/>
  <c r="PX6" i="16"/>
  <c r="PT6" i="16"/>
  <c r="PP6" i="16"/>
  <c r="PL6" i="16"/>
  <c r="PH6" i="16"/>
  <c r="PD6" i="16"/>
  <c r="OZ6" i="16"/>
  <c r="OV6" i="16"/>
  <c r="OR6" i="16"/>
  <c r="ON6" i="16"/>
  <c r="OJ6" i="16"/>
  <c r="OF6" i="16"/>
  <c r="OB6" i="16"/>
  <c r="NX6" i="16"/>
  <c r="NT6" i="16"/>
  <c r="NP6" i="16"/>
  <c r="NL6" i="16"/>
  <c r="NH6" i="16"/>
  <c r="ND6" i="16"/>
  <c r="MZ6" i="16"/>
  <c r="MV6" i="16"/>
  <c r="MR6" i="16"/>
  <c r="MN6" i="16"/>
  <c r="MJ6" i="16"/>
  <c r="MF6" i="16"/>
  <c r="MB6" i="16"/>
  <c r="LX6" i="16"/>
  <c r="LT6" i="16"/>
  <c r="LP6" i="16"/>
  <c r="LL6" i="16"/>
  <c r="LH6" i="16"/>
  <c r="LD6" i="16"/>
  <c r="KZ6" i="16"/>
  <c r="KW6" i="16"/>
  <c r="KW9" i="16" s="1"/>
  <c r="KW15" i="16" s="1"/>
  <c r="KW27" i="16" s="1"/>
  <c r="KS6" i="16"/>
  <c r="KS9" i="16" s="1"/>
  <c r="KS15" i="16" s="1"/>
  <c r="KO6" i="16"/>
  <c r="KO9" i="16" s="1"/>
  <c r="KO15" i="16" s="1"/>
  <c r="KK6" i="16"/>
  <c r="KK9" i="16" s="1"/>
  <c r="KK15" i="16" s="1"/>
  <c r="KG6" i="16"/>
  <c r="KG9" i="16" s="1"/>
  <c r="KG15" i="16" s="1"/>
  <c r="KC6" i="16"/>
  <c r="KC9" i="16" s="1"/>
  <c r="KC15" i="16" s="1"/>
  <c r="JY6" i="16"/>
  <c r="JY9" i="16" s="1"/>
  <c r="JY15" i="16" s="1"/>
  <c r="JX6" i="16"/>
  <c r="JU6" i="16"/>
  <c r="JU9" i="16" s="1"/>
  <c r="JU15" i="16" s="1"/>
  <c r="JT6" i="16"/>
  <c r="JQ6" i="16"/>
  <c r="JQ9" i="16" s="1"/>
  <c r="JQ15" i="16" s="1"/>
  <c r="JQ27" i="16" s="1"/>
  <c r="JM6" i="16"/>
  <c r="JM9" i="16" s="1"/>
  <c r="JM15" i="16" s="1"/>
  <c r="JL6" i="16"/>
  <c r="JI6" i="16"/>
  <c r="JI9" i="16" s="1"/>
  <c r="JI15" i="16" s="1"/>
  <c r="JH6" i="16"/>
  <c r="JE6" i="16"/>
  <c r="JE9" i="16" s="1"/>
  <c r="JE15" i="16" s="1"/>
  <c r="JE27" i="16" s="1"/>
  <c r="JD6" i="16"/>
  <c r="JA6" i="16"/>
  <c r="JA9" i="16" s="1"/>
  <c r="JA15" i="16" s="1"/>
  <c r="IZ6" i="16"/>
  <c r="IW6" i="16"/>
  <c r="IW9" i="16" s="1"/>
  <c r="IW15" i="16" s="1"/>
  <c r="IV6" i="16"/>
  <c r="IS6" i="16"/>
  <c r="IS9" i="16" s="1"/>
  <c r="IS15" i="16" s="1"/>
  <c r="IR6" i="16"/>
  <c r="IO6" i="16"/>
  <c r="IO9" i="16" s="1"/>
  <c r="IO15" i="16" s="1"/>
  <c r="IO27" i="16" s="1"/>
  <c r="IN6" i="16"/>
  <c r="IK6" i="16"/>
  <c r="IK9" i="16" s="1"/>
  <c r="IK15" i="16" s="1"/>
  <c r="IJ6" i="16"/>
  <c r="IG6" i="16"/>
  <c r="IG9" i="16" s="1"/>
  <c r="IG15" i="16" s="1"/>
  <c r="IC6" i="16"/>
  <c r="IC9" i="16" s="1"/>
  <c r="IC15" i="16" s="1"/>
  <c r="IC27" i="16" s="1"/>
  <c r="HY6" i="16"/>
  <c r="HY9" i="16" s="1"/>
  <c r="HY15" i="16" s="1"/>
  <c r="HU6" i="16"/>
  <c r="HU9" i="16" s="1"/>
  <c r="HU15" i="16" s="1"/>
  <c r="HQ6" i="16"/>
  <c r="HQ9" i="16" s="1"/>
  <c r="HQ15" i="16" s="1"/>
  <c r="HM6" i="16"/>
  <c r="HM9" i="16" s="1"/>
  <c r="HM15" i="16" s="1"/>
  <c r="HI6" i="16"/>
  <c r="HI9" i="16" s="1"/>
  <c r="HI15" i="16" s="1"/>
  <c r="HE6" i="16"/>
  <c r="HE9" i="16" s="1"/>
  <c r="HE15" i="16" s="1"/>
  <c r="HA6" i="16"/>
  <c r="HA9" i="16" s="1"/>
  <c r="GZ6" i="16"/>
  <c r="GW6" i="16"/>
  <c r="GW9" i="16" s="1"/>
  <c r="GV6" i="16"/>
  <c r="GS6" i="16"/>
  <c r="GS9" i="16" s="1"/>
  <c r="GS15" i="16" s="1"/>
  <c r="GR6" i="16"/>
  <c r="GO6" i="16"/>
  <c r="GO9" i="16" s="1"/>
  <c r="GO15" i="16" s="1"/>
  <c r="GN6" i="16"/>
  <c r="GK6" i="16"/>
  <c r="GK9" i="16" s="1"/>
  <c r="GK15" i="16" s="1"/>
  <c r="GK27" i="16" s="1"/>
  <c r="GJ6" i="16"/>
  <c r="GG6" i="16"/>
  <c r="GG9" i="16" s="1"/>
  <c r="GG15" i="16" s="1"/>
  <c r="GF6" i="16"/>
  <c r="GC6" i="16"/>
  <c r="GC9" i="16" s="1"/>
  <c r="GC15" i="16" s="1"/>
  <c r="GB6" i="16"/>
  <c r="FY6" i="16"/>
  <c r="FY9" i="16" s="1"/>
  <c r="FY15" i="16" s="1"/>
  <c r="FX6" i="16"/>
  <c r="FU6" i="16"/>
  <c r="FU9" i="16" s="1"/>
  <c r="FU15" i="16" s="1"/>
  <c r="FU27" i="16" s="1"/>
  <c r="FT6" i="16"/>
  <c r="FQ6" i="16"/>
  <c r="FQ9" i="16" s="1"/>
  <c r="FQ15" i="16" s="1"/>
  <c r="FP6" i="16"/>
  <c r="FM6" i="16"/>
  <c r="FM9" i="16" s="1"/>
  <c r="FM15" i="16" s="1"/>
  <c r="FL6" i="16"/>
  <c r="FI6" i="16"/>
  <c r="FI9" i="16" s="1"/>
  <c r="FI15" i="16" s="1"/>
  <c r="FH6" i="16"/>
  <c r="FE6" i="16"/>
  <c r="FE9" i="16" s="1"/>
  <c r="FE15" i="16" s="1"/>
  <c r="FE27" i="16" s="1"/>
  <c r="FD6" i="16"/>
  <c r="FA6" i="16"/>
  <c r="FA9" i="16" s="1"/>
  <c r="FA15" i="16" s="1"/>
  <c r="EZ6" i="16"/>
  <c r="EW6" i="16"/>
  <c r="EW9" i="16" s="1"/>
  <c r="EW15" i="16" s="1"/>
  <c r="EV6" i="16"/>
  <c r="ES6" i="16"/>
  <c r="ES9" i="16" s="1"/>
  <c r="ES15" i="16" s="1"/>
  <c r="ER6" i="16"/>
  <c r="EO6" i="16"/>
  <c r="EO9" i="16" s="1"/>
  <c r="EO15" i="16" s="1"/>
  <c r="EO27" i="16" s="1"/>
  <c r="EN6" i="16"/>
  <c r="EK6" i="16"/>
  <c r="EK9" i="16" s="1"/>
  <c r="EK15" i="16" s="1"/>
  <c r="EJ6" i="16"/>
  <c r="EG6" i="16"/>
  <c r="EG9" i="16" s="1"/>
  <c r="EG15" i="16" s="1"/>
  <c r="EF6" i="16"/>
  <c r="EC6" i="16"/>
  <c r="EB6" i="16"/>
  <c r="DY6" i="16"/>
  <c r="DX6" i="16"/>
  <c r="DU6" i="16"/>
  <c r="DT6" i="16"/>
  <c r="DQ6" i="16"/>
  <c r="DP6" i="16"/>
  <c r="DM6" i="16"/>
  <c r="DL6" i="16"/>
  <c r="DI6" i="16"/>
  <c r="DH6" i="16"/>
  <c r="DE6" i="16"/>
  <c r="DD6" i="16"/>
  <c r="DA6" i="16"/>
  <c r="CZ6" i="16"/>
  <c r="CW6" i="16"/>
  <c r="CV6" i="16"/>
  <c r="CS6" i="16"/>
  <c r="CR6" i="16"/>
  <c r="CO6" i="16"/>
  <c r="CN6" i="16"/>
  <c r="CK6" i="16"/>
  <c r="CJ6" i="16"/>
  <c r="Q6" i="16"/>
  <c r="Q9" i="16" s="1"/>
  <c r="Q15" i="16" s="1"/>
  <c r="N39" i="16"/>
  <c r="N30" i="16"/>
  <c r="A2" i="22"/>
  <c r="WQ9" i="16" l="1"/>
  <c r="WQ15" i="16" s="1"/>
  <c r="WQ27" i="16" s="1"/>
  <c r="IV42" i="16"/>
  <c r="WG42" i="16"/>
  <c r="R33" i="16"/>
  <c r="V33" i="16"/>
  <c r="Z33" i="16"/>
  <c r="AD33" i="16"/>
  <c r="AH33" i="16"/>
  <c r="AL33" i="16"/>
  <c r="AP33" i="16"/>
  <c r="AT33" i="16"/>
  <c r="AX33" i="16"/>
  <c r="BB33" i="16"/>
  <c r="BF33" i="16"/>
  <c r="BJ33" i="16"/>
  <c r="BN33" i="16"/>
  <c r="BR33" i="16"/>
  <c r="BV33" i="16"/>
  <c r="BZ33" i="16"/>
  <c r="CD33" i="16"/>
  <c r="CH33" i="16"/>
  <c r="CL33" i="16"/>
  <c r="CP33" i="16"/>
  <c r="CT33" i="16"/>
  <c r="CX33" i="16"/>
  <c r="DB33" i="16"/>
  <c r="DF33" i="16"/>
  <c r="DJ33" i="16"/>
  <c r="DN33" i="16"/>
  <c r="DR33" i="16"/>
  <c r="DV33" i="16"/>
  <c r="ED33" i="16"/>
  <c r="EH33" i="16"/>
  <c r="EL33" i="16"/>
  <c r="EP33" i="16"/>
  <c r="ET33" i="16"/>
  <c r="EX33" i="16"/>
  <c r="FB33" i="16"/>
  <c r="FF33" i="16"/>
  <c r="FJ33" i="16"/>
  <c r="FN33" i="16"/>
  <c r="FR33" i="16"/>
  <c r="FV33" i="16"/>
  <c r="FZ33" i="16"/>
  <c r="GD33" i="16"/>
  <c r="GH33" i="16"/>
  <c r="GL33" i="16"/>
  <c r="GP33" i="16"/>
  <c r="GT33" i="16"/>
  <c r="GX33" i="16"/>
  <c r="JN33" i="16"/>
  <c r="JR33" i="16"/>
  <c r="JV33" i="16"/>
  <c r="JZ33" i="16"/>
  <c r="KD33" i="16"/>
  <c r="KH33" i="16"/>
  <c r="KL33" i="16"/>
  <c r="KP33" i="16"/>
  <c r="KT33" i="16"/>
  <c r="KX33" i="16"/>
  <c r="LB33" i="16"/>
  <c r="LF33" i="16"/>
  <c r="LN33" i="16"/>
  <c r="LR33" i="16"/>
  <c r="LV33" i="16"/>
  <c r="LZ33" i="16"/>
  <c r="MD33" i="16"/>
  <c r="MH33" i="16"/>
  <c r="ML33" i="16"/>
  <c r="MP33" i="16"/>
  <c r="MT33" i="16"/>
  <c r="MX33" i="16"/>
  <c r="NB33" i="16"/>
  <c r="NF33" i="16"/>
  <c r="NJ33" i="16"/>
  <c r="NN33" i="16"/>
  <c r="NR33" i="16"/>
  <c r="NZ33" i="16"/>
  <c r="OD33" i="16"/>
  <c r="OH33" i="16"/>
  <c r="OL33" i="16"/>
  <c r="OP33" i="16"/>
  <c r="OT33" i="16"/>
  <c r="OX33" i="16"/>
  <c r="PB33" i="16"/>
  <c r="PF33" i="16"/>
  <c r="PJ33" i="16"/>
  <c r="PN33" i="16"/>
  <c r="PR33" i="16"/>
  <c r="PV33" i="16"/>
  <c r="PZ33" i="16"/>
  <c r="QD33" i="16"/>
  <c r="QL33" i="16"/>
  <c r="QP33" i="16"/>
  <c r="QT33" i="16"/>
  <c r="RD33" i="16"/>
  <c r="SC33" i="16"/>
  <c r="SG33" i="16"/>
  <c r="SK33" i="16"/>
  <c r="SO33" i="16"/>
  <c r="SS33" i="16"/>
  <c r="SW33" i="16"/>
  <c r="TA33" i="16"/>
  <c r="TE33" i="16"/>
  <c r="TI33" i="16"/>
  <c r="TM33" i="16"/>
  <c r="TQ33" i="16"/>
  <c r="TU33" i="16"/>
  <c r="TY33" i="16"/>
  <c r="UC33" i="16"/>
  <c r="OR15" i="16"/>
  <c r="OR27" i="16" s="1"/>
  <c r="VG9" i="16"/>
  <c r="VG15" i="16" s="1"/>
  <c r="VG27" i="16" s="1"/>
  <c r="WE9" i="16"/>
  <c r="WE15" i="16" s="1"/>
  <c r="WE27" i="16" s="1"/>
  <c r="JX9" i="16"/>
  <c r="JX15" i="16" s="1"/>
  <c r="JX27" i="16" s="1"/>
  <c r="UE9" i="16"/>
  <c r="UE15" i="16" s="1"/>
  <c r="UE27" i="16" s="1"/>
  <c r="UQ9" i="16"/>
  <c r="UQ15" i="16" s="1"/>
  <c r="UQ27" i="16" s="1"/>
  <c r="WA9" i="16"/>
  <c r="WA15" i="16" s="1"/>
  <c r="WA27" i="16" s="1"/>
  <c r="VQ42" i="16"/>
  <c r="UA9" i="16"/>
  <c r="UA15" i="16" s="1"/>
  <c r="UA27" i="16" s="1"/>
  <c r="VO9" i="16"/>
  <c r="VO15" i="16" s="1"/>
  <c r="VO27" i="16" s="1"/>
  <c r="IN9" i="16"/>
  <c r="IN15" i="16" s="1"/>
  <c r="IN27" i="16" s="1"/>
  <c r="JD9" i="16"/>
  <c r="JD15" i="16" s="1"/>
  <c r="JD27" i="16" s="1"/>
  <c r="TW9" i="16"/>
  <c r="TW15" i="16" s="1"/>
  <c r="TW27" i="16" s="1"/>
  <c r="UM9" i="16"/>
  <c r="UM15" i="16" s="1"/>
  <c r="UM27" i="16" s="1"/>
  <c r="UY9" i="16"/>
  <c r="UY15" i="16" s="1"/>
  <c r="UY27" i="16" s="1"/>
  <c r="VK9" i="16"/>
  <c r="VK15" i="16" s="1"/>
  <c r="VK27" i="16" s="1"/>
  <c r="WM9" i="16"/>
  <c r="WM15" i="16" s="1"/>
  <c r="WM27" i="16" s="1"/>
  <c r="JB27" i="16"/>
  <c r="JV27" i="16"/>
  <c r="TU42" i="16"/>
  <c r="ER9" i="16"/>
  <c r="ER15" i="16" s="1"/>
  <c r="ER27" i="16" s="1"/>
  <c r="FH9" i="16"/>
  <c r="FH15" i="16" s="1"/>
  <c r="FH27" i="16" s="1"/>
  <c r="FX9" i="16"/>
  <c r="FX15" i="16" s="1"/>
  <c r="FX27" i="16" s="1"/>
  <c r="GN9" i="16"/>
  <c r="GN15" i="16" s="1"/>
  <c r="GN27" i="16" s="1"/>
  <c r="LH9" i="16"/>
  <c r="LH15" i="16" s="1"/>
  <c r="LH27" i="16" s="1"/>
  <c r="LX9" i="16"/>
  <c r="LX15" i="16" s="1"/>
  <c r="LX27" i="16" s="1"/>
  <c r="MN9" i="16"/>
  <c r="MN15" i="16" s="1"/>
  <c r="MN27" i="16" s="1"/>
  <c r="ND9" i="16"/>
  <c r="ND15" i="16" s="1"/>
  <c r="NT9" i="16"/>
  <c r="NT15" i="16" s="1"/>
  <c r="NT27" i="16" s="1"/>
  <c r="OJ9" i="16"/>
  <c r="OJ15" i="16" s="1"/>
  <c r="OJ27" i="16" s="1"/>
  <c r="OZ9" i="16"/>
  <c r="OZ15" i="16" s="1"/>
  <c r="OZ27" i="16" s="1"/>
  <c r="PP9" i="16"/>
  <c r="PP15" i="16" s="1"/>
  <c r="PP27" i="16" s="1"/>
  <c r="QF9" i="16"/>
  <c r="QF15" i="16" s="1"/>
  <c r="QF27" i="16" s="1"/>
  <c r="TS9" i="16"/>
  <c r="TS15" i="16" s="1"/>
  <c r="TS27" i="16" s="1"/>
  <c r="UI9" i="16"/>
  <c r="UI15" i="16" s="1"/>
  <c r="UI27" i="16" s="1"/>
  <c r="UU9" i="16"/>
  <c r="UU15" i="16" s="1"/>
  <c r="UU27" i="16" s="1"/>
  <c r="VW9" i="16"/>
  <c r="VW15" i="16" s="1"/>
  <c r="VW27" i="16" s="1"/>
  <c r="IT27" i="16"/>
  <c r="UK42" i="16"/>
  <c r="VC9" i="16"/>
  <c r="VC15" i="16" s="1"/>
  <c r="VC27" i="16" s="1"/>
  <c r="VS9" i="16"/>
  <c r="VS15" i="16" s="1"/>
  <c r="VS27" i="16" s="1"/>
  <c r="WI9" i="16"/>
  <c r="WI15" i="16" s="1"/>
  <c r="WI27" i="16" s="1"/>
  <c r="IL27" i="16"/>
  <c r="JF27" i="16"/>
  <c r="JJ27" i="16"/>
  <c r="IP27" i="16"/>
  <c r="IX27" i="16"/>
  <c r="KR42" i="16"/>
  <c r="SO42" i="16"/>
  <c r="VA42" i="16"/>
  <c r="HR27" i="16"/>
  <c r="KT27" i="16"/>
  <c r="HB27" i="16"/>
  <c r="HF27" i="16"/>
  <c r="HJ27" i="16"/>
  <c r="HN27" i="16"/>
  <c r="HV27" i="16"/>
  <c r="HZ27" i="16"/>
  <c r="ID27" i="16"/>
  <c r="IH27" i="16"/>
  <c r="JN27" i="16"/>
  <c r="JR27" i="16"/>
  <c r="JZ27" i="16"/>
  <c r="KD27" i="16"/>
  <c r="KH27" i="16"/>
  <c r="KL27" i="16"/>
  <c r="KP27" i="16"/>
  <c r="KX27" i="16"/>
  <c r="LB27" i="16"/>
  <c r="LF27" i="16"/>
  <c r="LJ27" i="16"/>
  <c r="LN27" i="16"/>
  <c r="LR27" i="16"/>
  <c r="LV27" i="16"/>
  <c r="LZ27" i="16"/>
  <c r="MD27" i="16"/>
  <c r="MH27" i="16"/>
  <c r="ML27" i="16"/>
  <c r="MP27" i="16"/>
  <c r="RB9" i="16"/>
  <c r="RB15" i="16" s="1"/>
  <c r="RF9" i="16"/>
  <c r="RF15" i="16" s="1"/>
  <c r="SE9" i="16"/>
  <c r="SE15" i="16" s="1"/>
  <c r="SI9" i="16"/>
  <c r="SI15" i="16" s="1"/>
  <c r="SM9" i="16"/>
  <c r="SM15" i="16" s="1"/>
  <c r="SQ9" i="16"/>
  <c r="SQ15" i="16" s="1"/>
  <c r="SU9" i="16"/>
  <c r="SU15" i="16" s="1"/>
  <c r="SY9" i="16"/>
  <c r="SY15" i="16" s="1"/>
  <c r="TC9" i="16"/>
  <c r="TC15" i="16" s="1"/>
  <c r="TG9" i="16"/>
  <c r="TG15" i="16" s="1"/>
  <c r="TK9" i="16"/>
  <c r="TK15" i="16" s="1"/>
  <c r="TO9" i="16"/>
  <c r="TO15" i="16" s="1"/>
  <c r="CL27" i="16"/>
  <c r="DB27" i="16"/>
  <c r="DR27" i="16"/>
  <c r="EX27" i="16"/>
  <c r="FN27" i="16"/>
  <c r="GD27" i="16"/>
  <c r="SQ21" i="16"/>
  <c r="SQ42" i="16" s="1"/>
  <c r="QR21" i="16"/>
  <c r="QR42" i="16" s="1"/>
  <c r="TE21" i="16"/>
  <c r="TE42" i="16" s="1"/>
  <c r="RB27" i="16"/>
  <c r="RF27" i="16"/>
  <c r="SE27" i="16"/>
  <c r="SI27" i="16"/>
  <c r="SM27" i="16"/>
  <c r="SQ27" i="16"/>
  <c r="SU27" i="16"/>
  <c r="SY27" i="16"/>
  <c r="TC27" i="16"/>
  <c r="TG27" i="16"/>
  <c r="TK27" i="16"/>
  <c r="TO27" i="16"/>
  <c r="UF9" i="16"/>
  <c r="UF15" i="16" s="1"/>
  <c r="UF27" i="16" s="1"/>
  <c r="QO9" i="16"/>
  <c r="QO15" i="16" s="1"/>
  <c r="QO27" i="16" s="1"/>
  <c r="J39" i="22"/>
  <c r="F13" i="1" s="1"/>
  <c r="S9" i="16"/>
  <c r="S15" i="16" s="1"/>
  <c r="PR27" i="16"/>
  <c r="EK27" i="16"/>
  <c r="FA27" i="16"/>
  <c r="FQ27" i="16"/>
  <c r="GG27" i="16"/>
  <c r="HI27" i="16"/>
  <c r="HQ27" i="16"/>
  <c r="IK27" i="16"/>
  <c r="JA27" i="16"/>
  <c r="KC27" i="16"/>
  <c r="KK27" i="16"/>
  <c r="EH15" i="16"/>
  <c r="EH27" i="16" s="1"/>
  <c r="EP15" i="16"/>
  <c r="EP27" i="16" s="1"/>
  <c r="LE42" i="16"/>
  <c r="LU42" i="16"/>
  <c r="MK42" i="16"/>
  <c r="NA42" i="16"/>
  <c r="NQ42" i="16"/>
  <c r="OG42" i="16"/>
  <c r="OW42" i="16"/>
  <c r="PM42" i="16"/>
  <c r="QC42" i="16"/>
  <c r="QS42" i="16"/>
  <c r="SF42" i="16"/>
  <c r="SV42" i="16"/>
  <c r="TL42" i="16"/>
  <c r="UB42" i="16"/>
  <c r="UR42" i="16"/>
  <c r="VH42" i="16"/>
  <c r="VX42" i="16"/>
  <c r="WN42" i="16"/>
  <c r="EG27" i="16"/>
  <c r="EW27" i="16"/>
  <c r="FM27" i="16"/>
  <c r="GC27" i="16"/>
  <c r="GS27" i="16"/>
  <c r="IG27" i="16"/>
  <c r="JY27" i="16"/>
  <c r="HE27" i="16"/>
  <c r="HY27" i="16"/>
  <c r="IW27" i="16"/>
  <c r="JM27" i="16"/>
  <c r="KS27" i="16"/>
  <c r="LE27" i="16"/>
  <c r="Q27" i="16"/>
  <c r="ES27" i="16"/>
  <c r="FI27" i="16"/>
  <c r="FY27" i="16"/>
  <c r="GO27" i="16"/>
  <c r="HM27" i="16"/>
  <c r="HU27" i="16"/>
  <c r="IS27" i="16"/>
  <c r="JI27" i="16"/>
  <c r="JU27" i="16"/>
  <c r="KG27" i="16"/>
  <c r="KO27" i="16"/>
  <c r="LI27" i="16"/>
  <c r="LQ27" i="16"/>
  <c r="GW42" i="16"/>
  <c r="HA42" i="16"/>
  <c r="HE42" i="16"/>
  <c r="HI42" i="16"/>
  <c r="HM42" i="16"/>
  <c r="HQ42" i="16"/>
  <c r="HU42" i="16"/>
  <c r="HY42" i="16"/>
  <c r="IC42" i="16"/>
  <c r="IG42" i="16"/>
  <c r="IK42" i="16"/>
  <c r="IO42" i="16"/>
  <c r="IS42" i="16"/>
  <c r="IW42" i="16"/>
  <c r="JA42" i="16"/>
  <c r="JE42" i="16"/>
  <c r="JI42" i="16"/>
  <c r="JM42" i="16"/>
  <c r="KC42" i="16"/>
  <c r="KG42" i="16"/>
  <c r="KK42" i="16"/>
  <c r="KO42" i="16"/>
  <c r="KS42" i="16"/>
  <c r="KW42" i="16"/>
  <c r="LA42" i="16"/>
  <c r="LQ42" i="16"/>
  <c r="MG42" i="16"/>
  <c r="MW42" i="16"/>
  <c r="NM42" i="16"/>
  <c r="OC42" i="16"/>
  <c r="OS42" i="16"/>
  <c r="PI42" i="16"/>
  <c r="PY42" i="16"/>
  <c r="QO42" i="16"/>
  <c r="TH42" i="16"/>
  <c r="VT42" i="16"/>
  <c r="LA27" i="16"/>
  <c r="Q42" i="16"/>
  <c r="U42" i="16"/>
  <c r="Y42" i="16"/>
  <c r="AC42" i="16"/>
  <c r="AG42" i="16"/>
  <c r="AK42" i="16"/>
  <c r="AO42" i="16"/>
  <c r="AS42" i="16"/>
  <c r="AW42" i="16"/>
  <c r="BA42" i="16"/>
  <c r="BE42" i="16"/>
  <c r="BI42" i="16"/>
  <c r="BM42" i="16"/>
  <c r="BQ42" i="16"/>
  <c r="BU42" i="16"/>
  <c r="BY42" i="16"/>
  <c r="CC42" i="16"/>
  <c r="CG42" i="16"/>
  <c r="CK42" i="16"/>
  <c r="CO42" i="16"/>
  <c r="CS42" i="16"/>
  <c r="CW42" i="16"/>
  <c r="DA42" i="16"/>
  <c r="DE42" i="16"/>
  <c r="DI42" i="16"/>
  <c r="DM42" i="16"/>
  <c r="DQ42" i="16"/>
  <c r="DU42" i="16"/>
  <c r="DY42" i="16"/>
  <c r="EC42" i="16"/>
  <c r="LM42" i="16"/>
  <c r="MC42" i="16"/>
  <c r="MS42" i="16"/>
  <c r="NI42" i="16"/>
  <c r="NY42" i="16"/>
  <c r="OO42" i="16"/>
  <c r="PE42" i="16"/>
  <c r="PU42" i="16"/>
  <c r="QK42" i="16"/>
  <c r="FJ15" i="16"/>
  <c r="FJ27" i="16" s="1"/>
  <c r="FR15" i="16"/>
  <c r="FR27" i="16" s="1"/>
  <c r="GT15" i="16"/>
  <c r="GT27" i="16" s="1"/>
  <c r="LM27" i="16"/>
  <c r="LI42" i="16"/>
  <c r="LY42" i="16"/>
  <c r="MO42" i="16"/>
  <c r="NE42" i="16"/>
  <c r="NU42" i="16"/>
  <c r="OK42" i="16"/>
  <c r="PA42" i="16"/>
  <c r="PQ42" i="16"/>
  <c r="QG42" i="16"/>
  <c r="WJ42" i="16"/>
  <c r="SN42" i="16"/>
  <c r="TD42" i="16"/>
  <c r="TT42" i="16"/>
  <c r="UJ42" i="16"/>
  <c r="UZ42" i="16"/>
  <c r="VP42" i="16"/>
  <c r="WF42" i="16"/>
  <c r="SB42" i="16"/>
  <c r="UN42" i="16"/>
  <c r="SJ42" i="16"/>
  <c r="SZ42" i="16"/>
  <c r="TP42" i="16"/>
  <c r="UF42" i="16"/>
  <c r="UV42" i="16"/>
  <c r="VL42" i="16"/>
  <c r="WB42" i="16"/>
  <c r="WR42" i="16"/>
  <c r="SR42" i="16"/>
  <c r="VD42" i="16"/>
  <c r="EQ9" i="16"/>
  <c r="EQ15" i="16" s="1"/>
  <c r="FG9" i="16"/>
  <c r="FG15" i="16" s="1"/>
  <c r="FW9" i="16"/>
  <c r="FW15" i="16" s="1"/>
  <c r="GM9" i="16"/>
  <c r="GM15" i="16" s="1"/>
  <c r="HG9" i="16"/>
  <c r="HG15" i="16" s="1"/>
  <c r="HW9" i="16"/>
  <c r="HW15" i="16" s="1"/>
  <c r="IM9" i="16"/>
  <c r="IM15" i="16" s="1"/>
  <c r="JC9" i="16"/>
  <c r="JC15" i="16" s="1"/>
  <c r="JW9" i="16"/>
  <c r="JW15" i="16" s="1"/>
  <c r="KA9" i="16"/>
  <c r="KA15" i="16" s="1"/>
  <c r="KQ9" i="16"/>
  <c r="KQ15" i="16" s="1"/>
  <c r="LG9" i="16"/>
  <c r="LG15" i="16" s="1"/>
  <c r="LW9" i="16"/>
  <c r="LW15" i="16" s="1"/>
  <c r="MM9" i="16"/>
  <c r="MM15" i="16" s="1"/>
  <c r="NC9" i="16"/>
  <c r="NC15" i="16" s="1"/>
  <c r="NS9" i="16"/>
  <c r="NS15" i="16" s="1"/>
  <c r="OI9" i="16"/>
  <c r="OI15" i="16" s="1"/>
  <c r="OY9" i="16"/>
  <c r="OY15" i="16" s="1"/>
  <c r="PO9" i="16"/>
  <c r="PO15" i="16" s="1"/>
  <c r="QE9" i="16"/>
  <c r="QE15" i="16" s="1"/>
  <c r="RA9" i="16"/>
  <c r="RA15" i="16" s="1"/>
  <c r="SD9" i="16"/>
  <c r="SD15" i="16" s="1"/>
  <c r="SH9" i="16"/>
  <c r="SH15" i="16" s="1"/>
  <c r="SL9" i="16"/>
  <c r="SL15" i="16" s="1"/>
  <c r="SP9" i="16"/>
  <c r="SP15" i="16" s="1"/>
  <c r="ST9" i="16"/>
  <c r="ST15" i="16" s="1"/>
  <c r="SX9" i="16"/>
  <c r="SX15" i="16" s="1"/>
  <c r="TB9" i="16"/>
  <c r="TB15" i="16" s="1"/>
  <c r="TF9" i="16"/>
  <c r="TF15" i="16" s="1"/>
  <c r="TJ9" i="16"/>
  <c r="TJ15" i="16" s="1"/>
  <c r="TN9" i="16"/>
  <c r="TN15" i="16" s="1"/>
  <c r="TR9" i="16"/>
  <c r="TR15" i="16" s="1"/>
  <c r="TV9" i="16"/>
  <c r="TV15" i="16" s="1"/>
  <c r="TZ9" i="16"/>
  <c r="TZ15" i="16" s="1"/>
  <c r="UD9" i="16"/>
  <c r="UD15" i="16" s="1"/>
  <c r="UH9" i="16"/>
  <c r="UH15" i="16" s="1"/>
  <c r="UL9" i="16"/>
  <c r="UL15" i="16" s="1"/>
  <c r="UP9" i="16"/>
  <c r="UP15" i="16" s="1"/>
  <c r="UT9" i="16"/>
  <c r="UT15" i="16" s="1"/>
  <c r="UX9" i="16"/>
  <c r="UX15" i="16" s="1"/>
  <c r="VB9" i="16"/>
  <c r="VB15" i="16" s="1"/>
  <c r="VF9" i="16"/>
  <c r="VF15" i="16" s="1"/>
  <c r="VJ9" i="16"/>
  <c r="VJ15" i="16" s="1"/>
  <c r="VN9" i="16"/>
  <c r="VN15" i="16" s="1"/>
  <c r="VR9" i="16"/>
  <c r="VR15" i="16" s="1"/>
  <c r="VV9" i="16"/>
  <c r="VV15" i="16" s="1"/>
  <c r="VZ9" i="16"/>
  <c r="VZ15" i="16" s="1"/>
  <c r="WD9" i="16"/>
  <c r="WD15" i="16" s="1"/>
  <c r="WH9" i="16"/>
  <c r="WH15" i="16" s="1"/>
  <c r="WL9" i="16"/>
  <c r="WL15" i="16" s="1"/>
  <c r="ET15" i="16"/>
  <c r="ET27" i="16" s="1"/>
  <c r="FB15" i="16"/>
  <c r="FB27" i="16" s="1"/>
  <c r="GL15" i="16"/>
  <c r="GL27" i="16" s="1"/>
  <c r="EL15" i="16"/>
  <c r="EL27" i="16" s="1"/>
  <c r="FV15" i="16"/>
  <c r="FV27" i="16" s="1"/>
  <c r="GP15" i="16"/>
  <c r="GP27" i="16" s="1"/>
  <c r="FF15" i="16"/>
  <c r="FF27" i="16" s="1"/>
  <c r="FZ15" i="16"/>
  <c r="FZ27" i="16" s="1"/>
  <c r="GH15" i="16"/>
  <c r="GH27" i="16" s="1"/>
  <c r="R15" i="16"/>
  <c r="R27" i="16" s="1"/>
  <c r="CD15" i="16"/>
  <c r="CD27" i="16" s="1"/>
  <c r="HP42" i="16"/>
  <c r="KB42" i="16"/>
  <c r="P42" i="16"/>
  <c r="AV42" i="16"/>
  <c r="BL42" i="16"/>
  <c r="CB42" i="16"/>
  <c r="I39" i="22"/>
  <c r="E13" i="1" s="1"/>
  <c r="KF21" i="16"/>
  <c r="KF42" i="16" s="1"/>
  <c r="KJ21" i="16"/>
  <c r="KJ42" i="16" s="1"/>
  <c r="KN21" i="16"/>
  <c r="KN42" i="16" s="1"/>
  <c r="KV21" i="16"/>
  <c r="KV42" i="16" s="1"/>
  <c r="HD21" i="16"/>
  <c r="HD42" i="16" s="1"/>
  <c r="HH21" i="16"/>
  <c r="HH42" i="16" s="1"/>
  <c r="HL21" i="16"/>
  <c r="HL42" i="16" s="1"/>
  <c r="HT21" i="16"/>
  <c r="HT42" i="16" s="1"/>
  <c r="HX21" i="16"/>
  <c r="HX42" i="16" s="1"/>
  <c r="IB21" i="16"/>
  <c r="IB42" i="16" s="1"/>
  <c r="T21" i="16"/>
  <c r="T42" i="16" s="1"/>
  <c r="X21" i="16"/>
  <c r="X42" i="16" s="1"/>
  <c r="AB21" i="16"/>
  <c r="AB42" i="16" s="1"/>
  <c r="AJ21" i="16"/>
  <c r="AJ42" i="16" s="1"/>
  <c r="AN21" i="16"/>
  <c r="AN42" i="16" s="1"/>
  <c r="AR21" i="16"/>
  <c r="AR42" i="16" s="1"/>
  <c r="AZ21" i="16"/>
  <c r="AZ42" i="16" s="1"/>
  <c r="BD21" i="16"/>
  <c r="BD42" i="16" s="1"/>
  <c r="BH21" i="16"/>
  <c r="BH42" i="16" s="1"/>
  <c r="BP21" i="16"/>
  <c r="BP42" i="16" s="1"/>
  <c r="BT21" i="16"/>
  <c r="BT42" i="16" s="1"/>
  <c r="BX21" i="16"/>
  <c r="BX42" i="16" s="1"/>
  <c r="CF21" i="16"/>
  <c r="CF42" i="16" s="1"/>
  <c r="SK21" i="16"/>
  <c r="SK42" i="16" s="1"/>
  <c r="TA21" i="16"/>
  <c r="TA42" i="16" s="1"/>
  <c r="TQ21" i="16"/>
  <c r="TQ42" i="16" s="1"/>
  <c r="UG21" i="16"/>
  <c r="UG42" i="16" s="1"/>
  <c r="UW21" i="16"/>
  <c r="UW42" i="16" s="1"/>
  <c r="VM21" i="16"/>
  <c r="VM42" i="16" s="1"/>
  <c r="WC21" i="16"/>
  <c r="WC42" i="16" s="1"/>
  <c r="WS21" i="16"/>
  <c r="WS42" i="16" s="1"/>
  <c r="SG21" i="16"/>
  <c r="SG42" i="16" s="1"/>
  <c r="SW21" i="16"/>
  <c r="SW42" i="16" s="1"/>
  <c r="TM21" i="16"/>
  <c r="TM42" i="16" s="1"/>
  <c r="UC21" i="16"/>
  <c r="UC42" i="16" s="1"/>
  <c r="US21" i="16"/>
  <c r="US42" i="16" s="1"/>
  <c r="VI21" i="16"/>
  <c r="VI42" i="16" s="1"/>
  <c r="VY21" i="16"/>
  <c r="VY42" i="16" s="1"/>
  <c r="WO21" i="16"/>
  <c r="WO42" i="16" s="1"/>
  <c r="RD21" i="16"/>
  <c r="RD42" i="16" s="1"/>
  <c r="SC21" i="16"/>
  <c r="SC42" i="16" s="1"/>
  <c r="SS21" i="16"/>
  <c r="SS42" i="16" s="1"/>
  <c r="TI21" i="16"/>
  <c r="TI42" i="16" s="1"/>
  <c r="TY21" i="16"/>
  <c r="TY42" i="16" s="1"/>
  <c r="UO21" i="16"/>
  <c r="UO42" i="16" s="1"/>
  <c r="VE21" i="16"/>
  <c r="VE42" i="16" s="1"/>
  <c r="VU21" i="16"/>
  <c r="VU42" i="16" s="1"/>
  <c r="WK21" i="16"/>
  <c r="WK42" i="16" s="1"/>
  <c r="R21" i="16"/>
  <c r="R42" i="16" s="1"/>
  <c r="Z21" i="16"/>
  <c r="Z42" i="16" s="1"/>
  <c r="AH21" i="16"/>
  <c r="AH42" i="16" s="1"/>
  <c r="AP21" i="16"/>
  <c r="AP42" i="16" s="1"/>
  <c r="AX21" i="16"/>
  <c r="AX42" i="16" s="1"/>
  <c r="BF21" i="16"/>
  <c r="BF42" i="16" s="1"/>
  <c r="BN21" i="16"/>
  <c r="BN42" i="16" s="1"/>
  <c r="BV21" i="16"/>
  <c r="BV42" i="16" s="1"/>
  <c r="CD21" i="16"/>
  <c r="CD42" i="16" s="1"/>
  <c r="CL21" i="16"/>
  <c r="CL42" i="16" s="1"/>
  <c r="CT21" i="16"/>
  <c r="CT42" i="16" s="1"/>
  <c r="DB21" i="16"/>
  <c r="DB42" i="16" s="1"/>
  <c r="DJ21" i="16"/>
  <c r="DJ42" i="16" s="1"/>
  <c r="DR21" i="16"/>
  <c r="DR42" i="16" s="1"/>
  <c r="DZ21" i="16"/>
  <c r="DZ42" i="16" s="1"/>
  <c r="EL21" i="16"/>
  <c r="EL42" i="16" s="1"/>
  <c r="EX21" i="16"/>
  <c r="EX42" i="16" s="1"/>
  <c r="FR21" i="16"/>
  <c r="FR42" i="16" s="1"/>
  <c r="V21" i="16"/>
  <c r="V42" i="16" s="1"/>
  <c r="AD21" i="16"/>
  <c r="AD42" i="16" s="1"/>
  <c r="AL21" i="16"/>
  <c r="AL42" i="16" s="1"/>
  <c r="AT21" i="16"/>
  <c r="AT42" i="16" s="1"/>
  <c r="BB21" i="16"/>
  <c r="BB42" i="16" s="1"/>
  <c r="BJ21" i="16"/>
  <c r="BJ42" i="16" s="1"/>
  <c r="BR21" i="16"/>
  <c r="BR42" i="16" s="1"/>
  <c r="BZ21" i="16"/>
  <c r="BZ42" i="16" s="1"/>
  <c r="CH21" i="16"/>
  <c r="CH42" i="16" s="1"/>
  <c r="CP21" i="16"/>
  <c r="CP42" i="16" s="1"/>
  <c r="CX21" i="16"/>
  <c r="CX42" i="16" s="1"/>
  <c r="DF21" i="16"/>
  <c r="DF42" i="16" s="1"/>
  <c r="DN21" i="16"/>
  <c r="DN42" i="16" s="1"/>
  <c r="DV21" i="16"/>
  <c r="DV42" i="16" s="1"/>
  <c r="ED21" i="16"/>
  <c r="ED42" i="16" s="1"/>
  <c r="EH21" i="16"/>
  <c r="EH42" i="16" s="1"/>
  <c r="EP21" i="16"/>
  <c r="EP42" i="16" s="1"/>
  <c r="ET21" i="16"/>
  <c r="ET42" i="16" s="1"/>
  <c r="FB21" i="16"/>
  <c r="FB42" i="16" s="1"/>
  <c r="FF21" i="16"/>
  <c r="FF42" i="16" s="1"/>
  <c r="FJ21" i="16"/>
  <c r="FJ42" i="16" s="1"/>
  <c r="FN21" i="16"/>
  <c r="FN42" i="16" s="1"/>
  <c r="RF21" i="16"/>
  <c r="RF42" i="16" s="1"/>
  <c r="SE21" i="16"/>
  <c r="SE42" i="16" s="1"/>
  <c r="SU21" i="16"/>
  <c r="SU42" i="16" s="1"/>
  <c r="TK21" i="16"/>
  <c r="TK42" i="16" s="1"/>
  <c r="UA21" i="16"/>
  <c r="UA42" i="16" s="1"/>
  <c r="UQ21" i="16"/>
  <c r="UQ42" i="16" s="1"/>
  <c r="VG21" i="16"/>
  <c r="VG42" i="16" s="1"/>
  <c r="VW21" i="16"/>
  <c r="VW42" i="16" s="1"/>
  <c r="WM21" i="16"/>
  <c r="WM42" i="16" s="1"/>
  <c r="FV21" i="16"/>
  <c r="FV42" i="16" s="1"/>
  <c r="FZ21" i="16"/>
  <c r="FZ42" i="16" s="1"/>
  <c r="GD21" i="16"/>
  <c r="GD42" i="16" s="1"/>
  <c r="GH21" i="16"/>
  <c r="GH42" i="16" s="1"/>
  <c r="GL21" i="16"/>
  <c r="GL42" i="16" s="1"/>
  <c r="GP21" i="16"/>
  <c r="GP42" i="16" s="1"/>
  <c r="GT21" i="16"/>
  <c r="GT42" i="16" s="1"/>
  <c r="GX21" i="16"/>
  <c r="GX42" i="16" s="1"/>
  <c r="HB21" i="16"/>
  <c r="HB42" i="16" s="1"/>
  <c r="HF21" i="16"/>
  <c r="HF42" i="16" s="1"/>
  <c r="HJ21" i="16"/>
  <c r="HJ42" i="16" s="1"/>
  <c r="HN21" i="16"/>
  <c r="HN42" i="16" s="1"/>
  <c r="HR21" i="16"/>
  <c r="HR42" i="16" s="1"/>
  <c r="HV21" i="16"/>
  <c r="HV42" i="16" s="1"/>
  <c r="HZ21" i="16"/>
  <c r="HZ42" i="16" s="1"/>
  <c r="ID21" i="16"/>
  <c r="ID42" i="16" s="1"/>
  <c r="IH21" i="16"/>
  <c r="IH42" i="16" s="1"/>
  <c r="IL21" i="16"/>
  <c r="IL42" i="16" s="1"/>
  <c r="IP21" i="16"/>
  <c r="IP42" i="16" s="1"/>
  <c r="IT21" i="16"/>
  <c r="IT42" i="16" s="1"/>
  <c r="IX21" i="16"/>
  <c r="IX42" i="16" s="1"/>
  <c r="JB21" i="16"/>
  <c r="JB42" i="16" s="1"/>
  <c r="JF21" i="16"/>
  <c r="JF42" i="16" s="1"/>
  <c r="JJ21" i="16"/>
  <c r="JJ42" i="16" s="1"/>
  <c r="JZ21" i="16"/>
  <c r="JZ42" i="16" s="1"/>
  <c r="KD21" i="16"/>
  <c r="KD42" i="16" s="1"/>
  <c r="KH21" i="16"/>
  <c r="KH42" i="16" s="1"/>
  <c r="KL21" i="16"/>
  <c r="KL42" i="16" s="1"/>
  <c r="KP21" i="16"/>
  <c r="KP42" i="16" s="1"/>
  <c r="KT21" i="16"/>
  <c r="KT42" i="16" s="1"/>
  <c r="KX21" i="16"/>
  <c r="KX42" i="16" s="1"/>
  <c r="LB21" i="16"/>
  <c r="LB42" i="16" s="1"/>
  <c r="LF21" i="16"/>
  <c r="LF42" i="16" s="1"/>
  <c r="LJ21" i="16"/>
  <c r="LJ42" i="16" s="1"/>
  <c r="LN21" i="16"/>
  <c r="LN42" i="16" s="1"/>
  <c r="LR21" i="16"/>
  <c r="LR42" i="16" s="1"/>
  <c r="LV21" i="16"/>
  <c r="LV42" i="16" s="1"/>
  <c r="LZ21" i="16"/>
  <c r="LZ42" i="16" s="1"/>
  <c r="MD21" i="16"/>
  <c r="MD42" i="16" s="1"/>
  <c r="MH21" i="16"/>
  <c r="MH42" i="16" s="1"/>
  <c r="ML21" i="16"/>
  <c r="ML42" i="16" s="1"/>
  <c r="MP21" i="16"/>
  <c r="MP42" i="16" s="1"/>
  <c r="MT21" i="16"/>
  <c r="MT42" i="16" s="1"/>
  <c r="MX21" i="16"/>
  <c r="MX42" i="16" s="1"/>
  <c r="NB21" i="16"/>
  <c r="NB42" i="16" s="1"/>
  <c r="NF21" i="16"/>
  <c r="NF42" i="16" s="1"/>
  <c r="NJ21" i="16"/>
  <c r="NJ42" i="16" s="1"/>
  <c r="NN21" i="16"/>
  <c r="NN42" i="16" s="1"/>
  <c r="NR21" i="16"/>
  <c r="NR42" i="16" s="1"/>
  <c r="NV21" i="16"/>
  <c r="NV42" i="16" s="1"/>
  <c r="NZ21" i="16"/>
  <c r="NZ42" i="16" s="1"/>
  <c r="OD21" i="16"/>
  <c r="OD42" i="16" s="1"/>
  <c r="OH21" i="16"/>
  <c r="OH42" i="16" s="1"/>
  <c r="OL21" i="16"/>
  <c r="OL42" i="16" s="1"/>
  <c r="OP21" i="16"/>
  <c r="OP42" i="16" s="1"/>
  <c r="OT21" i="16"/>
  <c r="OT42" i="16" s="1"/>
  <c r="OX21" i="16"/>
  <c r="OX42" i="16" s="1"/>
  <c r="PB21" i="16"/>
  <c r="PB42" i="16" s="1"/>
  <c r="PF21" i="16"/>
  <c r="PF42" i="16" s="1"/>
  <c r="PJ21" i="16"/>
  <c r="PJ42" i="16" s="1"/>
  <c r="PN21" i="16"/>
  <c r="PN42" i="16" s="1"/>
  <c r="PR21" i="16"/>
  <c r="PR42" i="16" s="1"/>
  <c r="PV21" i="16"/>
  <c r="PV42" i="16" s="1"/>
  <c r="PZ21" i="16"/>
  <c r="PZ42" i="16" s="1"/>
  <c r="QD21" i="16"/>
  <c r="QD42" i="16" s="1"/>
  <c r="QH21" i="16"/>
  <c r="QH42" i="16" s="1"/>
  <c r="QL21" i="16"/>
  <c r="QL42" i="16" s="1"/>
  <c r="QP21" i="16"/>
  <c r="QP42" i="16" s="1"/>
  <c r="QT21" i="16"/>
  <c r="QT42" i="16" s="1"/>
  <c r="RC21" i="16"/>
  <c r="RC42" i="16" s="1"/>
  <c r="SM21" i="16"/>
  <c r="SM42" i="16" s="1"/>
  <c r="TC21" i="16"/>
  <c r="TC42" i="16" s="1"/>
  <c r="TS21" i="16"/>
  <c r="UI21" i="16"/>
  <c r="UI42" i="16" s="1"/>
  <c r="UY21" i="16"/>
  <c r="UY42" i="16" s="1"/>
  <c r="VO21" i="16"/>
  <c r="VO42" i="16" s="1"/>
  <c r="WE21" i="16"/>
  <c r="WE42" i="16" s="1"/>
  <c r="SI21" i="16"/>
  <c r="SI42" i="16" s="1"/>
  <c r="SY21" i="16"/>
  <c r="SY42" i="16" s="1"/>
  <c r="TO21" i="16"/>
  <c r="TO42" i="16" s="1"/>
  <c r="UE21" i="16"/>
  <c r="UE42" i="16" s="1"/>
  <c r="UU21" i="16"/>
  <c r="UU42" i="16" s="1"/>
  <c r="VK21" i="16"/>
  <c r="VK42" i="16" s="1"/>
  <c r="WA21" i="16"/>
  <c r="WA42" i="16" s="1"/>
  <c r="WQ21" i="16"/>
  <c r="WQ42" i="16" s="1"/>
  <c r="RA33" i="16"/>
  <c r="RE33" i="16"/>
  <c r="O33" i="16"/>
  <c r="S33" i="16"/>
  <c r="W33" i="16"/>
  <c r="AA33" i="16"/>
  <c r="AE33" i="16"/>
  <c r="AI33" i="16"/>
  <c r="AM33" i="16"/>
  <c r="AQ33" i="16"/>
  <c r="AU33" i="16"/>
  <c r="AY33" i="16"/>
  <c r="BC33" i="16"/>
  <c r="BG33" i="16"/>
  <c r="BK33" i="16"/>
  <c r="BO33" i="16"/>
  <c r="BS33" i="16"/>
  <c r="BW33" i="16"/>
  <c r="CA33" i="16"/>
  <c r="CE33" i="16"/>
  <c r="CI33" i="16"/>
  <c r="CM33" i="16"/>
  <c r="CQ33" i="16"/>
  <c r="CU33" i="16"/>
  <c r="CY33" i="16"/>
  <c r="DC33" i="16"/>
  <c r="DG33" i="16"/>
  <c r="DK33" i="16"/>
  <c r="DO33" i="16"/>
  <c r="DS33" i="16"/>
  <c r="DW33" i="16"/>
  <c r="EA33" i="16"/>
  <c r="EE33" i="16"/>
  <c r="EI33" i="16"/>
  <c r="EM33" i="16"/>
  <c r="EQ33" i="16"/>
  <c r="EU33" i="16"/>
  <c r="EY33" i="16"/>
  <c r="FC33" i="16"/>
  <c r="FG33" i="16"/>
  <c r="FK33" i="16"/>
  <c r="FO33" i="16"/>
  <c r="FS33" i="16"/>
  <c r="FW33" i="16"/>
  <c r="GA33" i="16"/>
  <c r="GE33" i="16"/>
  <c r="GI33" i="16"/>
  <c r="GM33" i="16"/>
  <c r="GQ33" i="16"/>
  <c r="GU33" i="16"/>
  <c r="GY33" i="16"/>
  <c r="HC33" i="16"/>
  <c r="HG33" i="16"/>
  <c r="HK33" i="16"/>
  <c r="HO33" i="16"/>
  <c r="HS33" i="16"/>
  <c r="HW33" i="16"/>
  <c r="IA33" i="16"/>
  <c r="IE33" i="16"/>
  <c r="II33" i="16"/>
  <c r="IM33" i="16"/>
  <c r="IQ33" i="16"/>
  <c r="IU33" i="16"/>
  <c r="IY33" i="16"/>
  <c r="JC33" i="16"/>
  <c r="JG33" i="16"/>
  <c r="JK33" i="16"/>
  <c r="JO33" i="16"/>
  <c r="JS33" i="16"/>
  <c r="JW33" i="16"/>
  <c r="KA33" i="16"/>
  <c r="KE33" i="16"/>
  <c r="KI33" i="16"/>
  <c r="KM33" i="16"/>
  <c r="KQ33" i="16"/>
  <c r="KU33" i="16"/>
  <c r="KY33" i="16"/>
  <c r="LC33" i="16"/>
  <c r="LG33" i="16"/>
  <c r="LK33" i="16"/>
  <c r="LO33" i="16"/>
  <c r="LS33" i="16"/>
  <c r="LW33" i="16"/>
  <c r="MA33" i="16"/>
  <c r="ME33" i="16"/>
  <c r="MI33" i="16"/>
  <c r="MM33" i="16"/>
  <c r="MQ33" i="16"/>
  <c r="MU33" i="16"/>
  <c r="MY33" i="16"/>
  <c r="NC33" i="16"/>
  <c r="NG33" i="16"/>
  <c r="NK33" i="16"/>
  <c r="NO33" i="16"/>
  <c r="NS33" i="16"/>
  <c r="NW33" i="16"/>
  <c r="OA33" i="16"/>
  <c r="OE33" i="16"/>
  <c r="OI33" i="16"/>
  <c r="OM33" i="16"/>
  <c r="OQ33" i="16"/>
  <c r="OU33" i="16"/>
  <c r="OY33" i="16"/>
  <c r="PC33" i="16"/>
  <c r="PG33" i="16"/>
  <c r="PK33" i="16"/>
  <c r="PO33" i="16"/>
  <c r="PS33" i="16"/>
  <c r="PW33" i="16"/>
  <c r="QA33" i="16"/>
  <c r="QE33" i="16"/>
  <c r="QI33" i="16"/>
  <c r="QM33" i="16"/>
  <c r="QQ33" i="16"/>
  <c r="SD33" i="16"/>
  <c r="SH33" i="16"/>
  <c r="SL33" i="16"/>
  <c r="SP33" i="16"/>
  <c r="ST33" i="16"/>
  <c r="SX33" i="16"/>
  <c r="TB33" i="16"/>
  <c r="TF33" i="16"/>
  <c r="TJ33" i="16"/>
  <c r="TN33" i="16"/>
  <c r="TR33" i="16"/>
  <c r="TV33" i="16"/>
  <c r="TZ33" i="16"/>
  <c r="S27" i="16"/>
  <c r="AI27" i="16"/>
  <c r="AY27" i="16"/>
  <c r="BO27" i="16"/>
  <c r="CE27" i="16"/>
  <c r="CU27" i="16"/>
  <c r="DK27" i="16"/>
  <c r="EA27" i="16"/>
  <c r="EQ27" i="16"/>
  <c r="FG27" i="16"/>
  <c r="FW27" i="16"/>
  <c r="GM27" i="16"/>
  <c r="HG27" i="16"/>
  <c r="HW27" i="16"/>
  <c r="IM27" i="16"/>
  <c r="JC27" i="16"/>
  <c r="JW27" i="16"/>
  <c r="KA27" i="16"/>
  <c r="KQ27" i="16"/>
  <c r="LG27" i="16"/>
  <c r="LW27" i="16"/>
  <c r="MM27" i="16"/>
  <c r="NS27" i="16"/>
  <c r="OI27" i="16"/>
  <c r="OY27" i="16"/>
  <c r="PO27" i="16"/>
  <c r="QE27" i="16"/>
  <c r="RA27" i="16"/>
  <c r="SD27" i="16"/>
  <c r="SH27" i="16"/>
  <c r="SL27" i="16"/>
  <c r="SP27" i="16"/>
  <c r="ST27" i="16"/>
  <c r="SX27" i="16"/>
  <c r="TB27" i="16"/>
  <c r="TF27" i="16"/>
  <c r="TJ27" i="16"/>
  <c r="TN27" i="16"/>
  <c r="TR27" i="16"/>
  <c r="TV27" i="16"/>
  <c r="TZ27" i="16"/>
  <c r="UD27" i="16"/>
  <c r="UH27" i="16"/>
  <c r="UL27" i="16"/>
  <c r="UP27" i="16"/>
  <c r="UT27" i="16"/>
  <c r="UX27" i="16"/>
  <c r="VB27" i="16"/>
  <c r="VF27" i="16"/>
  <c r="VJ27" i="16"/>
  <c r="VN27" i="16"/>
  <c r="VR27" i="16"/>
  <c r="VV27" i="16"/>
  <c r="VZ27" i="16"/>
  <c r="WD27" i="16"/>
  <c r="WH27" i="16"/>
  <c r="WL27" i="16"/>
  <c r="O21" i="16"/>
  <c r="O42" i="16" s="1"/>
  <c r="S21" i="16"/>
  <c r="S42" i="16" s="1"/>
  <c r="W21" i="16"/>
  <c r="W42" i="16" s="1"/>
  <c r="AA21" i="16"/>
  <c r="AA42" i="16" s="1"/>
  <c r="AE21" i="16"/>
  <c r="AE42" i="16" s="1"/>
  <c r="AI21" i="16"/>
  <c r="AI42" i="16" s="1"/>
  <c r="AM21" i="16"/>
  <c r="AM42" i="16" s="1"/>
  <c r="AQ21" i="16"/>
  <c r="AQ42" i="16" s="1"/>
  <c r="AU21" i="16"/>
  <c r="AU42" i="16" s="1"/>
  <c r="AY21" i="16"/>
  <c r="AY42" i="16" s="1"/>
  <c r="BC21" i="16"/>
  <c r="BC42" i="16" s="1"/>
  <c r="BG21" i="16"/>
  <c r="BG42" i="16" s="1"/>
  <c r="BK21" i="16"/>
  <c r="BK42" i="16" s="1"/>
  <c r="BO21" i="16"/>
  <c r="BO42" i="16" s="1"/>
  <c r="BS21" i="16"/>
  <c r="BS42" i="16" s="1"/>
  <c r="BW21" i="16"/>
  <c r="BW42" i="16" s="1"/>
  <c r="CA21" i="16"/>
  <c r="CA42" i="16" s="1"/>
  <c r="CE21" i="16"/>
  <c r="CE42" i="16" s="1"/>
  <c r="CI21" i="16"/>
  <c r="CI42" i="16" s="1"/>
  <c r="CM21" i="16"/>
  <c r="CM42" i="16" s="1"/>
  <c r="CQ21" i="16"/>
  <c r="CQ42" i="16" s="1"/>
  <c r="CU21" i="16"/>
  <c r="CU42" i="16" s="1"/>
  <c r="CY21" i="16"/>
  <c r="CY42" i="16" s="1"/>
  <c r="DC21" i="16"/>
  <c r="DC42" i="16" s="1"/>
  <c r="DG21" i="16"/>
  <c r="DG42" i="16" s="1"/>
  <c r="DK21" i="16"/>
  <c r="DK42" i="16" s="1"/>
  <c r="DO21" i="16"/>
  <c r="DO42" i="16" s="1"/>
  <c r="DS21" i="16"/>
  <c r="DS42" i="16" s="1"/>
  <c r="DW21" i="16"/>
  <c r="DW42" i="16" s="1"/>
  <c r="EA21" i="16"/>
  <c r="EA42" i="16" s="1"/>
  <c r="EE21" i="16"/>
  <c r="EE42" i="16" s="1"/>
  <c r="EI21" i="16"/>
  <c r="EI42" i="16" s="1"/>
  <c r="EM21" i="16"/>
  <c r="EM42" i="16" s="1"/>
  <c r="EQ21" i="16"/>
  <c r="EQ42" i="16" s="1"/>
  <c r="EU21" i="16"/>
  <c r="EU42" i="16" s="1"/>
  <c r="EY21" i="16"/>
  <c r="EY42" i="16" s="1"/>
  <c r="FC21" i="16"/>
  <c r="FC42" i="16" s="1"/>
  <c r="FG21" i="16"/>
  <c r="FG42" i="16" s="1"/>
  <c r="FK21" i="16"/>
  <c r="FK42" i="16" s="1"/>
  <c r="FO21" i="16"/>
  <c r="FO42" i="16" s="1"/>
  <c r="FS21" i="16"/>
  <c r="FS42" i="16" s="1"/>
  <c r="FW21" i="16"/>
  <c r="FW42" i="16" s="1"/>
  <c r="GA21" i="16"/>
  <c r="GA42" i="16" s="1"/>
  <c r="GE21" i="16"/>
  <c r="GE42" i="16" s="1"/>
  <c r="GI21" i="16"/>
  <c r="GI42" i="16" s="1"/>
  <c r="GM21" i="16"/>
  <c r="GM42" i="16" s="1"/>
  <c r="GQ21" i="16"/>
  <c r="GQ42" i="16" s="1"/>
  <c r="GU21" i="16"/>
  <c r="GU42" i="16" s="1"/>
  <c r="GY21" i="16"/>
  <c r="GY42" i="16" s="1"/>
  <c r="HC21" i="16"/>
  <c r="HC42" i="16" s="1"/>
  <c r="HG21" i="16"/>
  <c r="HG42" i="16" s="1"/>
  <c r="HK21" i="16"/>
  <c r="HK42" i="16" s="1"/>
  <c r="HO21" i="16"/>
  <c r="HO42" i="16" s="1"/>
  <c r="HS21" i="16"/>
  <c r="HS42" i="16" s="1"/>
  <c r="HW21" i="16"/>
  <c r="HW42" i="16" s="1"/>
  <c r="IA21" i="16"/>
  <c r="IA42" i="16" s="1"/>
  <c r="IE21" i="16"/>
  <c r="IE42" i="16" s="1"/>
  <c r="II21" i="16"/>
  <c r="II42" i="16" s="1"/>
  <c r="IM21" i="16"/>
  <c r="IM42" i="16" s="1"/>
  <c r="IQ21" i="16"/>
  <c r="IQ42" i="16" s="1"/>
  <c r="IU21" i="16"/>
  <c r="IU42" i="16" s="1"/>
  <c r="IY21" i="16"/>
  <c r="IY42" i="16" s="1"/>
  <c r="JC21" i="16"/>
  <c r="JC42" i="16" s="1"/>
  <c r="JG21" i="16"/>
  <c r="JG42" i="16" s="1"/>
  <c r="JK21" i="16"/>
  <c r="JK42" i="16" s="1"/>
  <c r="KA21" i="16"/>
  <c r="KA42" i="16" s="1"/>
  <c r="KE21" i="16"/>
  <c r="KE42" i="16" s="1"/>
  <c r="KI21" i="16"/>
  <c r="KI42" i="16" s="1"/>
  <c r="KM21" i="16"/>
  <c r="KM42" i="16" s="1"/>
  <c r="KQ21" i="16"/>
  <c r="KQ42" i="16" s="1"/>
  <c r="KU21" i="16"/>
  <c r="KU42" i="16" s="1"/>
  <c r="KY21" i="16"/>
  <c r="KY42" i="16" s="1"/>
  <c r="LC21" i="16"/>
  <c r="LC42" i="16" s="1"/>
  <c r="LG21" i="16"/>
  <c r="LG42" i="16" s="1"/>
  <c r="LK21" i="16"/>
  <c r="LK42" i="16" s="1"/>
  <c r="LO21" i="16"/>
  <c r="LO42" i="16" s="1"/>
  <c r="LS21" i="16"/>
  <c r="LS42" i="16" s="1"/>
  <c r="LW21" i="16"/>
  <c r="LW42" i="16" s="1"/>
  <c r="MA21" i="16"/>
  <c r="MA42" i="16" s="1"/>
  <c r="ME21" i="16"/>
  <c r="ME42" i="16" s="1"/>
  <c r="MI21" i="16"/>
  <c r="MI42" i="16" s="1"/>
  <c r="MM21" i="16"/>
  <c r="MM42" i="16" s="1"/>
  <c r="MQ21" i="16"/>
  <c r="MQ42" i="16" s="1"/>
  <c r="MU21" i="16"/>
  <c r="MU42" i="16" s="1"/>
  <c r="MY21" i="16"/>
  <c r="MY42" i="16" s="1"/>
  <c r="NC21" i="16"/>
  <c r="NC42" i="16" s="1"/>
  <c r="NG21" i="16"/>
  <c r="NG42" i="16" s="1"/>
  <c r="NK21" i="16"/>
  <c r="NK42" i="16" s="1"/>
  <c r="NO21" i="16"/>
  <c r="NO42" i="16" s="1"/>
  <c r="NS21" i="16"/>
  <c r="NS42" i="16" s="1"/>
  <c r="NW21" i="16"/>
  <c r="NW42" i="16" s="1"/>
  <c r="OA21" i="16"/>
  <c r="OA42" i="16" s="1"/>
  <c r="OE21" i="16"/>
  <c r="OE42" i="16" s="1"/>
  <c r="OI21" i="16"/>
  <c r="OI42" i="16" s="1"/>
  <c r="OM21" i="16"/>
  <c r="OM42" i="16" s="1"/>
  <c r="OQ21" i="16"/>
  <c r="OQ42" i="16" s="1"/>
  <c r="OU21" i="16"/>
  <c r="OU42" i="16" s="1"/>
  <c r="OY21" i="16"/>
  <c r="OY42" i="16" s="1"/>
  <c r="PC21" i="16"/>
  <c r="PC42" i="16" s="1"/>
  <c r="PG21" i="16"/>
  <c r="PG42" i="16" s="1"/>
  <c r="PK21" i="16"/>
  <c r="PK42" i="16" s="1"/>
  <c r="PO21" i="16"/>
  <c r="PO42" i="16" s="1"/>
  <c r="PS21" i="16"/>
  <c r="PS42" i="16" s="1"/>
  <c r="PW21" i="16"/>
  <c r="PW42" i="16" s="1"/>
  <c r="QA21" i="16"/>
  <c r="QA42" i="16" s="1"/>
  <c r="QE21" i="16"/>
  <c r="QE42" i="16" s="1"/>
  <c r="QI21" i="16"/>
  <c r="QI42" i="16" s="1"/>
  <c r="QM21" i="16"/>
  <c r="QM42" i="16" s="1"/>
  <c r="QQ21" i="16"/>
  <c r="QQ42" i="16" s="1"/>
  <c r="RA21" i="16"/>
  <c r="RA42" i="16" s="1"/>
  <c r="RE21" i="16"/>
  <c r="RE42" i="16" s="1"/>
  <c r="SD21" i="16"/>
  <c r="SD42" i="16" s="1"/>
  <c r="SH21" i="16"/>
  <c r="SH42" i="16" s="1"/>
  <c r="SL21" i="16"/>
  <c r="SL42" i="16" s="1"/>
  <c r="SP21" i="16"/>
  <c r="SP42" i="16" s="1"/>
  <c r="ST21" i="16"/>
  <c r="ST42" i="16" s="1"/>
  <c r="SX21" i="16"/>
  <c r="SX42" i="16" s="1"/>
  <c r="TB21" i="16"/>
  <c r="TB42" i="16" s="1"/>
  <c r="TF21" i="16"/>
  <c r="TF42" i="16" s="1"/>
  <c r="TJ21" i="16"/>
  <c r="TJ42" i="16" s="1"/>
  <c r="TN21" i="16"/>
  <c r="TN42" i="16" s="1"/>
  <c r="TR21" i="16"/>
  <c r="TR42" i="16" s="1"/>
  <c r="TV21" i="16"/>
  <c r="TV42" i="16" s="1"/>
  <c r="TZ21" i="16"/>
  <c r="TZ42" i="16" s="1"/>
  <c r="UD21" i="16"/>
  <c r="UD42" i="16" s="1"/>
  <c r="UH21" i="16"/>
  <c r="UH42" i="16" s="1"/>
  <c r="UL21" i="16"/>
  <c r="UL42" i="16" s="1"/>
  <c r="UP21" i="16"/>
  <c r="UP42" i="16" s="1"/>
  <c r="UT21" i="16"/>
  <c r="UT42" i="16" s="1"/>
  <c r="UX21" i="16"/>
  <c r="UX42" i="16" s="1"/>
  <c r="VB21" i="16"/>
  <c r="VB42" i="16" s="1"/>
  <c r="VF21" i="16"/>
  <c r="VF42" i="16" s="1"/>
  <c r="VJ21" i="16"/>
  <c r="VJ42" i="16" s="1"/>
  <c r="VN21" i="16"/>
  <c r="VN42" i="16" s="1"/>
  <c r="VR21" i="16"/>
  <c r="VR42" i="16" s="1"/>
  <c r="VV21" i="16"/>
  <c r="VV42" i="16" s="1"/>
  <c r="VZ21" i="16"/>
  <c r="VZ42" i="16" s="1"/>
  <c r="WD21" i="16"/>
  <c r="WD42" i="16" s="1"/>
  <c r="WH21" i="16"/>
  <c r="WH42" i="16" s="1"/>
  <c r="WL21" i="16"/>
  <c r="WL42" i="16" s="1"/>
  <c r="WP21" i="16"/>
  <c r="WP42" i="16" s="1"/>
  <c r="JS9" i="16"/>
  <c r="JS15" i="16" s="1"/>
  <c r="JS27" i="16" s="1"/>
  <c r="MY9" i="16"/>
  <c r="MY15" i="16" s="1"/>
  <c r="NO9" i="16"/>
  <c r="NO15" i="16" s="1"/>
  <c r="NO27" i="16" s="1"/>
  <c r="OE9" i="16"/>
  <c r="OE15" i="16" s="1"/>
  <c r="OE27" i="16" s="1"/>
  <c r="OU9" i="16"/>
  <c r="OU15" i="16" s="1"/>
  <c r="OU27" i="16" s="1"/>
  <c r="PK9" i="16"/>
  <c r="PK15" i="16" s="1"/>
  <c r="PK27" i="16" s="1"/>
  <c r="QA9" i="16"/>
  <c r="QA15" i="16" s="1"/>
  <c r="QA27" i="16" s="1"/>
  <c r="O9" i="16"/>
  <c r="O15" i="16" s="1"/>
  <c r="O27" i="16" s="1"/>
  <c r="AE9" i="16"/>
  <c r="AE15" i="16" s="1"/>
  <c r="AE27" i="16" s="1"/>
  <c r="AU9" i="16"/>
  <c r="AU15" i="16" s="1"/>
  <c r="AU27" i="16" s="1"/>
  <c r="BK9" i="16"/>
  <c r="BK15" i="16" s="1"/>
  <c r="BK27" i="16" s="1"/>
  <c r="CA9" i="16"/>
  <c r="CA15" i="16" s="1"/>
  <c r="CA27" i="16" s="1"/>
  <c r="EM9" i="16"/>
  <c r="EM15" i="16" s="1"/>
  <c r="EM27" i="16" s="1"/>
  <c r="FC9" i="16"/>
  <c r="FC15" i="16" s="1"/>
  <c r="FC27" i="16" s="1"/>
  <c r="FS9" i="16"/>
  <c r="FS15" i="16" s="1"/>
  <c r="FS27" i="16" s="1"/>
  <c r="GI9" i="16"/>
  <c r="GI15" i="16" s="1"/>
  <c r="GI27" i="16" s="1"/>
  <c r="GY9" i="16"/>
  <c r="HC9" i="16"/>
  <c r="HC15" i="16" s="1"/>
  <c r="HC27" i="16" s="1"/>
  <c r="HS9" i="16"/>
  <c r="HS15" i="16" s="1"/>
  <c r="HS27" i="16" s="1"/>
  <c r="II9" i="16"/>
  <c r="II15" i="16" s="1"/>
  <c r="II27" i="16" s="1"/>
  <c r="IY9" i="16"/>
  <c r="IY15" i="16" s="1"/>
  <c r="IY27" i="16" s="1"/>
  <c r="KM9" i="16"/>
  <c r="KM15" i="16" s="1"/>
  <c r="KM27" i="16" s="1"/>
  <c r="LC9" i="16"/>
  <c r="LC15" i="16" s="1"/>
  <c r="LC27" i="16" s="1"/>
  <c r="LS9" i="16"/>
  <c r="LS15" i="16" s="1"/>
  <c r="LS27" i="16" s="1"/>
  <c r="MI9" i="16"/>
  <c r="MI15" i="16" s="1"/>
  <c r="MI27" i="16" s="1"/>
  <c r="AA9" i="16"/>
  <c r="AA15" i="16" s="1"/>
  <c r="AA27" i="16" s="1"/>
  <c r="AQ9" i="16"/>
  <c r="AQ15" i="16" s="1"/>
  <c r="AQ27" i="16" s="1"/>
  <c r="BG9" i="16"/>
  <c r="BG15" i="16" s="1"/>
  <c r="BG27" i="16" s="1"/>
  <c r="BW9" i="16"/>
  <c r="BW15" i="16" s="1"/>
  <c r="BW27" i="16" s="1"/>
  <c r="EI9" i="16"/>
  <c r="EI15" i="16" s="1"/>
  <c r="EI27" i="16" s="1"/>
  <c r="EY9" i="16"/>
  <c r="EY15" i="16" s="1"/>
  <c r="EY27" i="16" s="1"/>
  <c r="FO9" i="16"/>
  <c r="FO15" i="16" s="1"/>
  <c r="FO27" i="16" s="1"/>
  <c r="GE9" i="16"/>
  <c r="GE15" i="16" s="1"/>
  <c r="GE27" i="16" s="1"/>
  <c r="GU9" i="16"/>
  <c r="GU15" i="16" s="1"/>
  <c r="GU27" i="16" s="1"/>
  <c r="HO9" i="16"/>
  <c r="HO15" i="16" s="1"/>
  <c r="HO27" i="16" s="1"/>
  <c r="IE9" i="16"/>
  <c r="IE15" i="16" s="1"/>
  <c r="IE27" i="16" s="1"/>
  <c r="IU9" i="16"/>
  <c r="IU15" i="16" s="1"/>
  <c r="IU27" i="16" s="1"/>
  <c r="JK9" i="16"/>
  <c r="JK15" i="16" s="1"/>
  <c r="JK27" i="16" s="1"/>
  <c r="JO9" i="16"/>
  <c r="JO15" i="16" s="1"/>
  <c r="JO27" i="16" s="1"/>
  <c r="KI9" i="16"/>
  <c r="KI15" i="16" s="1"/>
  <c r="KI27" i="16" s="1"/>
  <c r="KY9" i="16"/>
  <c r="KY15" i="16" s="1"/>
  <c r="KY27" i="16" s="1"/>
  <c r="LO9" i="16"/>
  <c r="LO15" i="16" s="1"/>
  <c r="LO27" i="16" s="1"/>
  <c r="ME9" i="16"/>
  <c r="ME15" i="16" s="1"/>
  <c r="ME27" i="16" s="1"/>
  <c r="MU9" i="16"/>
  <c r="MU15" i="16" s="1"/>
  <c r="NK9" i="16"/>
  <c r="NK15" i="16" s="1"/>
  <c r="NK27" i="16" s="1"/>
  <c r="OA9" i="16"/>
  <c r="OA15" i="16" s="1"/>
  <c r="OA27" i="16" s="1"/>
  <c r="OQ9" i="16"/>
  <c r="OQ15" i="16" s="1"/>
  <c r="OQ27" i="16" s="1"/>
  <c r="PG9" i="16"/>
  <c r="PG15" i="16" s="1"/>
  <c r="PG27" i="16" s="1"/>
  <c r="PW9" i="16"/>
  <c r="PW15" i="16" s="1"/>
  <c r="PW27" i="16" s="1"/>
  <c r="QM9" i="16"/>
  <c r="QM15" i="16" s="1"/>
  <c r="QM27" i="16" s="1"/>
  <c r="QQ9" i="16"/>
  <c r="QQ15" i="16" s="1"/>
  <c r="QQ27" i="16" s="1"/>
  <c r="WP9" i="16"/>
  <c r="WP15" i="16" s="1"/>
  <c r="WP27" i="16" s="1"/>
  <c r="W9" i="16"/>
  <c r="W15" i="16" s="1"/>
  <c r="W27" i="16" s="1"/>
  <c r="AM9" i="16"/>
  <c r="AM15" i="16" s="1"/>
  <c r="AM27" i="16" s="1"/>
  <c r="BC9" i="16"/>
  <c r="BC15" i="16" s="1"/>
  <c r="BC27" i="16" s="1"/>
  <c r="BS9" i="16"/>
  <c r="BS15" i="16" s="1"/>
  <c r="BS27" i="16" s="1"/>
  <c r="CI9" i="16"/>
  <c r="CI15" i="16" s="1"/>
  <c r="CI27" i="16" s="1"/>
  <c r="EU9" i="16"/>
  <c r="EU15" i="16" s="1"/>
  <c r="EU27" i="16" s="1"/>
  <c r="FK9" i="16"/>
  <c r="FK15" i="16" s="1"/>
  <c r="FK27" i="16" s="1"/>
  <c r="GA9" i="16"/>
  <c r="GA15" i="16" s="1"/>
  <c r="GA27" i="16" s="1"/>
  <c r="GQ9" i="16"/>
  <c r="GQ15" i="16" s="1"/>
  <c r="GQ27" i="16" s="1"/>
  <c r="HK9" i="16"/>
  <c r="HK15" i="16" s="1"/>
  <c r="HK27" i="16" s="1"/>
  <c r="IA9" i="16"/>
  <c r="IA15" i="16" s="1"/>
  <c r="IA27" i="16" s="1"/>
  <c r="IQ9" i="16"/>
  <c r="IQ15" i="16" s="1"/>
  <c r="IQ27" i="16" s="1"/>
  <c r="JG9" i="16"/>
  <c r="JG15" i="16" s="1"/>
  <c r="JG27" i="16" s="1"/>
  <c r="KE9" i="16"/>
  <c r="KE15" i="16" s="1"/>
  <c r="KE27" i="16" s="1"/>
  <c r="KU9" i="16"/>
  <c r="KU15" i="16" s="1"/>
  <c r="KU27" i="16" s="1"/>
  <c r="LK9" i="16"/>
  <c r="LK15" i="16" s="1"/>
  <c r="LK27" i="16" s="1"/>
  <c r="MA9" i="16"/>
  <c r="MA15" i="16" s="1"/>
  <c r="MA27" i="16" s="1"/>
  <c r="MQ9" i="16"/>
  <c r="MQ15" i="16" s="1"/>
  <c r="NG9" i="16"/>
  <c r="NG15" i="16" s="1"/>
  <c r="NW9" i="16"/>
  <c r="NW15" i="16" s="1"/>
  <c r="NW27" i="16" s="1"/>
  <c r="OM9" i="16"/>
  <c r="OM15" i="16" s="1"/>
  <c r="OM27" i="16" s="1"/>
  <c r="PC9" i="16"/>
  <c r="PC15" i="16" s="1"/>
  <c r="PC27" i="16" s="1"/>
  <c r="PS9" i="16"/>
  <c r="PS15" i="16" s="1"/>
  <c r="PS27" i="16" s="1"/>
  <c r="QI9" i="16"/>
  <c r="QI15" i="16" s="1"/>
  <c r="QI27" i="16" s="1"/>
  <c r="RE9" i="16"/>
  <c r="RE15" i="16" s="1"/>
  <c r="RE27" i="16" s="1"/>
  <c r="N9" i="16"/>
  <c r="N33" i="16"/>
  <c r="N42" i="16"/>
  <c r="J42" i="16" l="1"/>
  <c r="N15" i="16"/>
  <c r="N27" i="16" l="1"/>
  <c r="JZ23" i="16" l="1"/>
  <c r="JZ60" i="16" s="1"/>
  <c r="JZ24" i="16" s="1"/>
  <c r="F75" i="4"/>
  <c r="LK23" i="16"/>
  <c r="LK60" i="16" s="1"/>
  <c r="LK24" i="16" s="1"/>
  <c r="LL23" i="16"/>
  <c r="LL60" i="16" s="1"/>
  <c r="LL24" i="16" s="1"/>
  <c r="LM23" i="16"/>
  <c r="LM60" i="16" s="1"/>
  <c r="LM24" i="16" s="1"/>
  <c r="LN23" i="16"/>
  <c r="LN60" i="16" s="1"/>
  <c r="LN24" i="16" s="1"/>
  <c r="LO23" i="16"/>
  <c r="LO60" i="16" s="1"/>
  <c r="LO24" i="16" s="1"/>
  <c r="LP23" i="16"/>
  <c r="LP60" i="16" s="1"/>
  <c r="LP24" i="16" s="1"/>
  <c r="LQ23" i="16"/>
  <c r="LQ60" i="16" s="1"/>
  <c r="LQ24" i="16" s="1"/>
  <c r="LR23" i="16"/>
  <c r="LR60" i="16" s="1"/>
  <c r="LR24" i="16" s="1"/>
  <c r="LS23" i="16"/>
  <c r="LS60" i="16" s="1"/>
  <c r="LS24" i="16" s="1"/>
  <c r="LT23" i="16"/>
  <c r="LT60" i="16" s="1"/>
  <c r="LT24" i="16" s="1"/>
  <c r="LU23" i="16"/>
  <c r="LU60" i="16" s="1"/>
  <c r="LU24" i="16" s="1"/>
  <c r="LV23" i="16"/>
  <c r="LV60" i="16" s="1"/>
  <c r="LV24" i="16" s="1"/>
  <c r="LW23" i="16"/>
  <c r="LW60" i="16" s="1"/>
  <c r="LW24" i="16" s="1"/>
  <c r="LX23" i="16"/>
  <c r="LX60" i="16" s="1"/>
  <c r="LX24" i="16" s="1"/>
  <c r="LY23" i="16"/>
  <c r="LY60" i="16" s="1"/>
  <c r="LY24" i="16" s="1"/>
  <c r="LZ23" i="16"/>
  <c r="LZ60" i="16" s="1"/>
  <c r="LZ24" i="16" s="1"/>
  <c r="MA23" i="16"/>
  <c r="MA60" i="16" s="1"/>
  <c r="MA24" i="16" s="1"/>
  <c r="MB23" i="16"/>
  <c r="MB60" i="16" s="1"/>
  <c r="MB24" i="16" s="1"/>
  <c r="MC23" i="16"/>
  <c r="MC60" i="16" s="1"/>
  <c r="MC24" i="16" s="1"/>
  <c r="MD23" i="16"/>
  <c r="MD60" i="16" s="1"/>
  <c r="MD24" i="16" s="1"/>
  <c r="ME23" i="16"/>
  <c r="ME60" i="16" s="1"/>
  <c r="ME24" i="16" s="1"/>
  <c r="MF23" i="16"/>
  <c r="MF60" i="16" s="1"/>
  <c r="MF24" i="16" s="1"/>
  <c r="MG23" i="16"/>
  <c r="MG60" i="16" s="1"/>
  <c r="MG24" i="16" s="1"/>
  <c r="MH23" i="16"/>
  <c r="MH60" i="16" s="1"/>
  <c r="MH24" i="16" s="1"/>
  <c r="MI23" i="16"/>
  <c r="MI60" i="16" s="1"/>
  <c r="MI24" i="16" s="1"/>
  <c r="MJ23" i="16"/>
  <c r="MJ60" i="16" s="1"/>
  <c r="MJ24" i="16" s="1"/>
  <c r="MK23" i="16"/>
  <c r="MK60" i="16" s="1"/>
  <c r="MK24" i="16" s="1"/>
  <c r="ML23" i="16"/>
  <c r="ML60" i="16" s="1"/>
  <c r="ML24" i="16" s="1"/>
  <c r="MM23" i="16"/>
  <c r="MM60" i="16" s="1"/>
  <c r="MM24" i="16" s="1"/>
  <c r="MN23" i="16"/>
  <c r="MN60" i="16" s="1"/>
  <c r="MN24" i="16" s="1"/>
  <c r="MO23" i="16"/>
  <c r="MO60" i="16" s="1"/>
  <c r="MO24" i="16" s="1"/>
  <c r="MP23" i="16"/>
  <c r="MP60" i="16" s="1"/>
  <c r="MP24" i="16" s="1"/>
  <c r="MQ26" i="16"/>
  <c r="MQ61" i="16" s="1"/>
  <c r="MQ27" i="16" s="1"/>
  <c r="MR26" i="16"/>
  <c r="MR61" i="16" s="1"/>
  <c r="MR27" i="16" s="1"/>
  <c r="MS26" i="16"/>
  <c r="MS61" i="16" s="1"/>
  <c r="MS27" i="16" s="1"/>
  <c r="MT26" i="16"/>
  <c r="MT61" i="16" s="1"/>
  <c r="MT27" i="16" s="1"/>
  <c r="MU26" i="16"/>
  <c r="MU61" i="16" s="1"/>
  <c r="MU27" i="16" s="1"/>
  <c r="MV26" i="16"/>
  <c r="MV61" i="16" s="1"/>
  <c r="MV27" i="16" s="1"/>
  <c r="MW26" i="16"/>
  <c r="MW61" i="16" s="1"/>
  <c r="MW27" i="16" s="1"/>
  <c r="MX26" i="16"/>
  <c r="MX61" i="16" s="1"/>
  <c r="MX27" i="16" s="1"/>
  <c r="MY26" i="16"/>
  <c r="MY61" i="16" s="1"/>
  <c r="MY27" i="16" s="1"/>
  <c r="MZ26" i="16"/>
  <c r="MZ61" i="16" s="1"/>
  <c r="MZ27" i="16" s="1"/>
  <c r="NA26" i="16"/>
  <c r="NA61" i="16" s="1"/>
  <c r="NA27" i="16" s="1"/>
  <c r="NB26" i="16"/>
  <c r="NB61" i="16" s="1"/>
  <c r="NB27" i="16" s="1"/>
  <c r="NC26" i="16"/>
  <c r="NC61" i="16" s="1"/>
  <c r="NC27" i="16" s="1"/>
  <c r="ND26" i="16"/>
  <c r="ND61" i="16" s="1"/>
  <c r="ND27" i="16" s="1"/>
  <c r="NE26" i="16"/>
  <c r="NE61" i="16" s="1"/>
  <c r="NE27" i="16" s="1"/>
  <c r="NF26" i="16"/>
  <c r="NF61" i="16" s="1"/>
  <c r="NF27" i="16" s="1"/>
  <c r="NG26" i="16"/>
  <c r="NG61" i="16" s="1"/>
  <c r="NG27" i="16" s="1"/>
  <c r="NH62" i="16"/>
  <c r="NH30" i="16" s="1"/>
  <c r="NI29" i="16"/>
  <c r="NI62" i="16" s="1"/>
  <c r="NI30" i="16" s="1"/>
  <c r="NJ29" i="16"/>
  <c r="NJ62" i="16" s="1"/>
  <c r="NJ30" i="16" s="1"/>
  <c r="NK29" i="16"/>
  <c r="NK62" i="16" s="1"/>
  <c r="NK30" i="16" s="1"/>
  <c r="NL29" i="16"/>
  <c r="NL62" i="16" s="1"/>
  <c r="NL30" i="16" s="1"/>
  <c r="NM29" i="16"/>
  <c r="NM62" i="16" s="1"/>
  <c r="NM30" i="16" s="1"/>
  <c r="NN29" i="16"/>
  <c r="NN62" i="16" s="1"/>
  <c r="NN30" i="16" s="1"/>
  <c r="NO29" i="16"/>
  <c r="NO62" i="16" s="1"/>
  <c r="NO30" i="16" s="1"/>
  <c r="NP29" i="16"/>
  <c r="NP62" i="16" s="1"/>
  <c r="NP30" i="16" s="1"/>
  <c r="NQ29" i="16"/>
  <c r="NQ62" i="16" s="1"/>
  <c r="NQ30" i="16" s="1"/>
  <c r="NR29" i="16"/>
  <c r="NR62" i="16" s="1"/>
  <c r="NR30" i="16" s="1"/>
  <c r="NS29" i="16"/>
  <c r="NS62" i="16" s="1"/>
  <c r="NS30" i="16" s="1"/>
  <c r="NT29" i="16"/>
  <c r="NT62" i="16" s="1"/>
  <c r="NT30" i="16" s="1"/>
  <c r="UD32" i="16"/>
  <c r="UD63" i="16" s="1"/>
  <c r="UD33" i="16" s="1"/>
  <c r="UE32" i="16"/>
  <c r="UE63" i="16" s="1"/>
  <c r="UE33" i="16" s="1"/>
  <c r="UF32" i="16"/>
  <c r="UF63" i="16" s="1"/>
  <c r="UF33" i="16" s="1"/>
  <c r="UG32" i="16"/>
  <c r="UG63" i="16" s="1"/>
  <c r="UG33" i="16" s="1"/>
  <c r="UH32" i="16"/>
  <c r="UH63" i="16" s="1"/>
  <c r="UH33" i="16" s="1"/>
  <c r="UI32" i="16"/>
  <c r="UI63" i="16" s="1"/>
  <c r="UI33" i="16" s="1"/>
  <c r="UJ32" i="16"/>
  <c r="UJ63" i="16" s="1"/>
  <c r="UJ33" i="16" s="1"/>
  <c r="UK32" i="16"/>
  <c r="UK63" i="16" s="1"/>
  <c r="UK33" i="16" s="1"/>
  <c r="UL32" i="16"/>
  <c r="UL63" i="16" s="1"/>
  <c r="UL33" i="16" s="1"/>
  <c r="UM32" i="16"/>
  <c r="UM63" i="16" s="1"/>
  <c r="UM33" i="16" s="1"/>
  <c r="UN32" i="16"/>
  <c r="UN63" i="16" s="1"/>
  <c r="UN33" i="16" s="1"/>
  <c r="UO32" i="16"/>
  <c r="UO63" i="16" s="1"/>
  <c r="UO33" i="16" s="1"/>
  <c r="UP32" i="16"/>
  <c r="UP63" i="16" s="1"/>
  <c r="UP33" i="16" s="1"/>
  <c r="UQ32" i="16"/>
  <c r="UQ63" i="16" s="1"/>
  <c r="UQ33" i="16" s="1"/>
  <c r="UR32" i="16"/>
  <c r="UR63" i="16" s="1"/>
  <c r="UR33" i="16" s="1"/>
  <c r="US32" i="16"/>
  <c r="US63" i="16" s="1"/>
  <c r="US33" i="16" s="1"/>
  <c r="UT32" i="16"/>
  <c r="UT63" i="16" s="1"/>
  <c r="UT33" i="16" s="1"/>
  <c r="UU32" i="16"/>
  <c r="UU63" i="16" s="1"/>
  <c r="UU33" i="16" s="1"/>
  <c r="UV32" i="16"/>
  <c r="UV63" i="16" s="1"/>
  <c r="UV33" i="16" s="1"/>
  <c r="UW32" i="16"/>
  <c r="UW63" i="16" s="1"/>
  <c r="UW33" i="16" s="1"/>
  <c r="UX32" i="16"/>
  <c r="UX63" i="16" s="1"/>
  <c r="UX33" i="16" s="1"/>
  <c r="UY32" i="16"/>
  <c r="UY63" i="16" s="1"/>
  <c r="UY33" i="16" s="1"/>
  <c r="UZ32" i="16"/>
  <c r="UZ63" i="16" s="1"/>
  <c r="UZ33" i="16" s="1"/>
  <c r="VA32" i="16"/>
  <c r="VA63" i="16" s="1"/>
  <c r="VA33" i="16" s="1"/>
  <c r="VB32" i="16"/>
  <c r="VB63" i="16" s="1"/>
  <c r="VB33" i="16" s="1"/>
  <c r="VC32" i="16"/>
  <c r="VC63" i="16" s="1"/>
  <c r="VC33" i="16" s="1"/>
  <c r="VD32" i="16"/>
  <c r="VD63" i="16" s="1"/>
  <c r="VD33" i="16" s="1"/>
  <c r="VE32" i="16"/>
  <c r="VE63" i="16" s="1"/>
  <c r="VE33" i="16" s="1"/>
  <c r="VF32" i="16"/>
  <c r="VF63" i="16" s="1"/>
  <c r="VF33" i="16" s="1"/>
  <c r="VG32" i="16"/>
  <c r="VG63" i="16" s="1"/>
  <c r="VG33" i="16" s="1"/>
  <c r="VH32" i="16"/>
  <c r="VH63" i="16" s="1"/>
  <c r="VH33" i="16" s="1"/>
  <c r="VI32" i="16"/>
  <c r="VI63" i="16" s="1"/>
  <c r="VI33" i="16" s="1"/>
  <c r="VJ32" i="16"/>
  <c r="VJ63" i="16" s="1"/>
  <c r="VJ33" i="16" s="1"/>
  <c r="VK32" i="16"/>
  <c r="VK63" i="16" s="1"/>
  <c r="VK33" i="16" s="1"/>
  <c r="VL32" i="16"/>
  <c r="VL63" i="16" s="1"/>
  <c r="VL33" i="16" s="1"/>
  <c r="VM32" i="16"/>
  <c r="VM63" i="16" s="1"/>
  <c r="VM33" i="16" s="1"/>
  <c r="VN32" i="16"/>
  <c r="VN63" i="16" s="1"/>
  <c r="VN33" i="16" s="1"/>
  <c r="VO32" i="16"/>
  <c r="VO63" i="16" s="1"/>
  <c r="VO33" i="16" s="1"/>
  <c r="VP32" i="16"/>
  <c r="VP63" i="16" s="1"/>
  <c r="VP33" i="16" s="1"/>
  <c r="VQ32" i="16"/>
  <c r="VQ63" i="16" s="1"/>
  <c r="VQ33" i="16" s="1"/>
  <c r="VR32" i="16"/>
  <c r="VR63" i="16" s="1"/>
  <c r="VR33" i="16" s="1"/>
  <c r="VS32" i="16"/>
  <c r="VS63" i="16" s="1"/>
  <c r="VS33" i="16" s="1"/>
  <c r="VT32" i="16"/>
  <c r="VT63" i="16" s="1"/>
  <c r="VT33" i="16" s="1"/>
  <c r="VU32" i="16"/>
  <c r="VU63" i="16" s="1"/>
  <c r="VU33" i="16" s="1"/>
  <c r="VV32" i="16"/>
  <c r="VV63" i="16" s="1"/>
  <c r="VV33" i="16" s="1"/>
  <c r="VW32" i="16"/>
  <c r="VW63" i="16" s="1"/>
  <c r="VW33" i="16" s="1"/>
  <c r="VX32" i="16"/>
  <c r="VX63" i="16" s="1"/>
  <c r="VX33" i="16" s="1"/>
  <c r="VY32" i="16"/>
  <c r="VY63" i="16" s="1"/>
  <c r="VY33" i="16" s="1"/>
  <c r="VZ32" i="16"/>
  <c r="VZ63" i="16" s="1"/>
  <c r="VZ33" i="16" s="1"/>
  <c r="WA32" i="16"/>
  <c r="WA63" i="16" s="1"/>
  <c r="WA33" i="16" s="1"/>
  <c r="WB32" i="16"/>
  <c r="WB63" i="16" s="1"/>
  <c r="WB33" i="16" s="1"/>
  <c r="WC32" i="16"/>
  <c r="WC63" i="16" s="1"/>
  <c r="WC33" i="16" s="1"/>
  <c r="WD32" i="16"/>
  <c r="WD63" i="16" s="1"/>
  <c r="WD33" i="16" s="1"/>
  <c r="WE32" i="16"/>
  <c r="WE63" i="16" s="1"/>
  <c r="WE33" i="16" s="1"/>
  <c r="WF32" i="16"/>
  <c r="WF63" i="16" s="1"/>
  <c r="WF33" i="16" s="1"/>
  <c r="WG32" i="16"/>
  <c r="WG63" i="16" s="1"/>
  <c r="WG33" i="16" s="1"/>
  <c r="WH32" i="16"/>
  <c r="WH63" i="16" s="1"/>
  <c r="WH33" i="16" s="1"/>
  <c r="WI32" i="16"/>
  <c r="WI63" i="16" s="1"/>
  <c r="WI33" i="16" s="1"/>
  <c r="WJ32" i="16"/>
  <c r="WJ63" i="16" s="1"/>
  <c r="WJ33" i="16" s="1"/>
  <c r="WK32" i="16"/>
  <c r="WK63" i="16" s="1"/>
  <c r="WK33" i="16" s="1"/>
  <c r="WL32" i="16"/>
  <c r="WL63" i="16" s="1"/>
  <c r="WL33" i="16" s="1"/>
  <c r="WM32" i="16"/>
  <c r="WM63" i="16" s="1"/>
  <c r="WM33" i="16" s="1"/>
  <c r="WN32" i="16"/>
  <c r="WN63" i="16" s="1"/>
  <c r="WN33" i="16" s="1"/>
  <c r="WO32" i="16"/>
  <c r="WO63" i="16" s="1"/>
  <c r="WO33" i="16" s="1"/>
  <c r="WP32" i="16"/>
  <c r="WP63" i="16" s="1"/>
  <c r="WP33" i="16" s="1"/>
  <c r="WQ32" i="16"/>
  <c r="WQ63" i="16" s="1"/>
  <c r="WQ33" i="16" s="1"/>
  <c r="WR32" i="16"/>
  <c r="WR63" i="16" s="1"/>
  <c r="WR33" i="16" s="1"/>
  <c r="WS32" i="16"/>
  <c r="WS63" i="16" s="1"/>
  <c r="WS33" i="16" s="1"/>
  <c r="QO35" i="16"/>
  <c r="QO66" i="16" s="1"/>
  <c r="QO36" i="16" s="1"/>
  <c r="QP35" i="16"/>
  <c r="QP66" i="16" s="1"/>
  <c r="QP36" i="16" s="1"/>
  <c r="QQ35" i="16"/>
  <c r="QQ66" i="16" s="1"/>
  <c r="QQ36" i="16" s="1"/>
  <c r="QR35" i="16"/>
  <c r="QR66" i="16" s="1"/>
  <c r="QR36" i="16" s="1"/>
  <c r="QS35" i="16"/>
  <c r="QS66" i="16" s="1"/>
  <c r="QS36" i="16" s="1"/>
  <c r="QT35" i="16"/>
  <c r="QT66" i="16" s="1"/>
  <c r="QT36" i="16" s="1"/>
  <c r="RA64" i="16"/>
  <c r="RA39" i="16" s="1"/>
  <c r="RB64" i="16"/>
  <c r="RB39" i="16" s="1"/>
  <c r="RC64" i="16"/>
  <c r="RC39" i="16" s="1"/>
  <c r="RD64" i="16"/>
  <c r="RD39" i="16" s="1"/>
  <c r="RE64" i="16"/>
  <c r="RE39" i="16" s="1"/>
  <c r="RF64" i="16"/>
  <c r="RF39" i="16" s="1"/>
  <c r="B3" i="18"/>
  <c r="B3" i="21"/>
  <c r="B2" i="15"/>
  <c r="B2" i="12"/>
  <c r="B3" i="6"/>
  <c r="B3" i="10"/>
  <c r="B3" i="5"/>
  <c r="B3" i="4"/>
  <c r="B3" i="2"/>
  <c r="E5" i="16"/>
  <c r="D5" i="16"/>
  <c r="C5" i="16"/>
  <c r="J11" i="10"/>
  <c r="J36" i="16" l="1"/>
  <c r="J39" i="16"/>
  <c r="J30" i="16"/>
  <c r="LJ23" i="16"/>
  <c r="LJ60" i="16" s="1"/>
  <c r="LJ24" i="16" s="1"/>
  <c r="LI23" i="16"/>
  <c r="LI60" i="16" s="1"/>
  <c r="LI24" i="16" s="1"/>
  <c r="LH23" i="16"/>
  <c r="LH60" i="16" s="1"/>
  <c r="LH24" i="16" s="1"/>
  <c r="LG23" i="16"/>
  <c r="LG60" i="16" s="1"/>
  <c r="LG24" i="16" s="1"/>
  <c r="LF23" i="16"/>
  <c r="LF60" i="16" s="1"/>
  <c r="LF24" i="16" s="1"/>
  <c r="LE23" i="16"/>
  <c r="LE60" i="16" s="1"/>
  <c r="LE24" i="16" s="1"/>
  <c r="LD23" i="16"/>
  <c r="LD60" i="16" s="1"/>
  <c r="LD24" i="16" s="1"/>
  <c r="LC23" i="16"/>
  <c r="LC60" i="16" s="1"/>
  <c r="LC24" i="16" s="1"/>
  <c r="LB23" i="16"/>
  <c r="LB60" i="16" s="1"/>
  <c r="LB24" i="16" s="1"/>
  <c r="LA23" i="16"/>
  <c r="LA60" i="16" s="1"/>
  <c r="LA24" i="16" s="1"/>
  <c r="KZ23" i="16"/>
  <c r="KZ60" i="16" s="1"/>
  <c r="KZ24" i="16" s="1"/>
  <c r="KY23" i="16"/>
  <c r="KY60" i="16" s="1"/>
  <c r="KY24" i="16" s="1"/>
  <c r="KX23" i="16"/>
  <c r="KX60" i="16" s="1"/>
  <c r="KX24" i="16" s="1"/>
  <c r="K92" i="2"/>
  <c r="KW23" i="16"/>
  <c r="KW60" i="16" s="1"/>
  <c r="KW24" i="16" s="1"/>
  <c r="KV23" i="16"/>
  <c r="KV60" i="16" s="1"/>
  <c r="KV24" i="16" s="1"/>
  <c r="KU23" i="16"/>
  <c r="KU60" i="16" s="1"/>
  <c r="KU24" i="16" s="1"/>
  <c r="KT23" i="16"/>
  <c r="KT60" i="16" s="1"/>
  <c r="KT24" i="16" s="1"/>
  <c r="KS23" i="16"/>
  <c r="KS60" i="16" s="1"/>
  <c r="KS24" i="16" s="1"/>
  <c r="KR23" i="16"/>
  <c r="KR60" i="16" s="1"/>
  <c r="KR24" i="16" s="1"/>
  <c r="A2" i="6" l="1"/>
  <c r="A2" i="5"/>
  <c r="M2" i="5" s="1"/>
  <c r="A2" i="4"/>
  <c r="A2" i="2"/>
  <c r="J99" i="5"/>
  <c r="J70" i="6"/>
  <c r="G70" i="6"/>
  <c r="I100" i="5"/>
  <c r="F100" i="5"/>
  <c r="K99" i="5"/>
  <c r="K97" i="5"/>
  <c r="J97" i="5"/>
  <c r="K96" i="5"/>
  <c r="J96" i="5"/>
  <c r="K95" i="5"/>
  <c r="J95" i="5"/>
  <c r="K94" i="5"/>
  <c r="J94" i="5"/>
  <c r="K93" i="5"/>
  <c r="J93" i="5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K68" i="5"/>
  <c r="J68" i="5"/>
  <c r="K67" i="5"/>
  <c r="J67" i="5"/>
  <c r="K66" i="5"/>
  <c r="J66" i="5"/>
  <c r="K65" i="5"/>
  <c r="J65" i="5"/>
  <c r="K64" i="5"/>
  <c r="J64" i="5"/>
  <c r="K63" i="5"/>
  <c r="J63" i="5"/>
  <c r="K62" i="5"/>
  <c r="J62" i="5"/>
  <c r="K61" i="5"/>
  <c r="J61" i="5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K36" i="5"/>
  <c r="J36" i="5"/>
  <c r="K35" i="5"/>
  <c r="J35" i="5"/>
  <c r="K34" i="5"/>
  <c r="J34" i="5"/>
  <c r="K33" i="5"/>
  <c r="J33" i="5"/>
  <c r="K32" i="5"/>
  <c r="J32" i="5"/>
  <c r="K31" i="5"/>
  <c r="J31" i="5"/>
  <c r="K30" i="5"/>
  <c r="J30" i="5"/>
  <c r="K29" i="5"/>
  <c r="J29" i="5"/>
  <c r="K28" i="5"/>
  <c r="J28" i="5"/>
  <c r="K27" i="5"/>
  <c r="J27" i="5"/>
  <c r="K26" i="5"/>
  <c r="J26" i="5"/>
  <c r="K25" i="5"/>
  <c r="J25" i="5"/>
  <c r="K24" i="5"/>
  <c r="J24" i="5"/>
  <c r="U23" i="5"/>
  <c r="R23" i="5"/>
  <c r="K23" i="5"/>
  <c r="J23" i="5"/>
  <c r="K22" i="5"/>
  <c r="J22" i="5"/>
  <c r="K21" i="5"/>
  <c r="J21" i="5"/>
  <c r="K20" i="5"/>
  <c r="J20" i="5"/>
  <c r="K19" i="5"/>
  <c r="J19" i="5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J11" i="5"/>
  <c r="K10" i="5"/>
  <c r="J10" i="5"/>
  <c r="K9" i="5"/>
  <c r="J9" i="5"/>
  <c r="K8" i="5"/>
  <c r="J8" i="5"/>
  <c r="K7" i="5"/>
  <c r="J7" i="5"/>
  <c r="K6" i="5"/>
  <c r="K100" i="5" s="1"/>
  <c r="J6" i="5"/>
  <c r="I94" i="2"/>
  <c r="F94" i="2"/>
  <c r="K93" i="2"/>
  <c r="J93" i="2"/>
  <c r="K73" i="4"/>
  <c r="J73" i="4"/>
  <c r="K24" i="21"/>
  <c r="J24" i="21"/>
  <c r="K23" i="21"/>
  <c r="J23" i="21"/>
  <c r="K22" i="21"/>
  <c r="J22" i="21"/>
  <c r="K21" i="21"/>
  <c r="J21" i="21"/>
  <c r="K20" i="21"/>
  <c r="J20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K25" i="21" s="1"/>
  <c r="J5" i="21"/>
  <c r="A2" i="10"/>
  <c r="A2" i="18"/>
  <c r="NT53" i="16"/>
  <c r="NG53" i="16"/>
  <c r="NG52" i="16"/>
  <c r="Y100" i="5" l="1"/>
  <c r="X100" i="5"/>
  <c r="J25" i="21"/>
  <c r="J100" i="5"/>
  <c r="J29" i="16"/>
  <c r="J35" i="16"/>
  <c r="J38" i="16"/>
  <c r="J26" i="16"/>
  <c r="J32" i="16"/>
  <c r="F12" i="1"/>
  <c r="E12" i="1"/>
  <c r="I25" i="21"/>
  <c r="D12" i="1" s="1"/>
  <c r="G25" i="21"/>
  <c r="C12" i="1" s="1"/>
  <c r="A2" i="21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F27" i="18"/>
  <c r="J23" i="15"/>
  <c r="K4" i="12"/>
  <c r="J4" i="12"/>
  <c r="I72" i="12"/>
  <c r="G72" i="12"/>
  <c r="ED8" i="16"/>
  <c r="ED55" i="16" s="1"/>
  <c r="ED9" i="16" s="1"/>
  <c r="ED15" i="16" s="1"/>
  <c r="ED27" i="16" s="1"/>
  <c r="KQ23" i="16"/>
  <c r="KQ60" i="16" s="1"/>
  <c r="KQ24" i="16" s="1"/>
  <c r="KP23" i="16"/>
  <c r="KP60" i="16" s="1"/>
  <c r="KP24" i="16" s="1"/>
  <c r="KO23" i="16"/>
  <c r="KO60" i="16" s="1"/>
  <c r="KO24" i="16" s="1"/>
  <c r="KN23" i="16"/>
  <c r="KN60" i="16" s="1"/>
  <c r="KN24" i="16" s="1"/>
  <c r="KM23" i="16"/>
  <c r="KM60" i="16" s="1"/>
  <c r="KM24" i="16" s="1"/>
  <c r="KL23" i="16"/>
  <c r="KL60" i="16" s="1"/>
  <c r="KL24" i="16" s="1"/>
  <c r="KK23" i="16"/>
  <c r="KK60" i="16" s="1"/>
  <c r="KK24" i="16" s="1"/>
  <c r="KJ23" i="16"/>
  <c r="KJ60" i="16" s="1"/>
  <c r="KJ24" i="16" s="1"/>
  <c r="KI23" i="16"/>
  <c r="KI60" i="16" s="1"/>
  <c r="KI24" i="16" s="1"/>
  <c r="KH23" i="16"/>
  <c r="KH60" i="16" s="1"/>
  <c r="KH24" i="16" s="1"/>
  <c r="KG23" i="16"/>
  <c r="KG60" i="16" s="1"/>
  <c r="KG24" i="16" s="1"/>
  <c r="KF23" i="16"/>
  <c r="KF60" i="16" s="1"/>
  <c r="KF24" i="16" s="1"/>
  <c r="KE23" i="16"/>
  <c r="KE60" i="16" s="1"/>
  <c r="KE24" i="16" s="1"/>
  <c r="KD23" i="16"/>
  <c r="KD60" i="16" s="1"/>
  <c r="KD24" i="16" s="1"/>
  <c r="KC23" i="16"/>
  <c r="KC60" i="16" s="1"/>
  <c r="KC24" i="16" s="1"/>
  <c r="KB23" i="16"/>
  <c r="KB60" i="16" s="1"/>
  <c r="KB24" i="16" s="1"/>
  <c r="KA23" i="16"/>
  <c r="KA60" i="16" s="1"/>
  <c r="KA24" i="16" s="1"/>
  <c r="JY20" i="16"/>
  <c r="JY59" i="16" s="1"/>
  <c r="JY21" i="16" s="1"/>
  <c r="JY42" i="16" s="1"/>
  <c r="JX20" i="16"/>
  <c r="JX59" i="16" s="1"/>
  <c r="JX21" i="16" s="1"/>
  <c r="JX42" i="16" s="1"/>
  <c r="JW20" i="16"/>
  <c r="JW59" i="16" s="1"/>
  <c r="JW21" i="16" s="1"/>
  <c r="JW42" i="16" s="1"/>
  <c r="JV20" i="16"/>
  <c r="JV59" i="16" s="1"/>
  <c r="JV21" i="16" s="1"/>
  <c r="JV42" i="16" s="1"/>
  <c r="JU20" i="16"/>
  <c r="JU59" i="16" s="1"/>
  <c r="JU21" i="16" s="1"/>
  <c r="JU42" i="16" s="1"/>
  <c r="JT20" i="16"/>
  <c r="JT59" i="16" s="1"/>
  <c r="JT21" i="16" s="1"/>
  <c r="JT42" i="16" s="1"/>
  <c r="JS20" i="16"/>
  <c r="JS59" i="16" s="1"/>
  <c r="JS21" i="16" s="1"/>
  <c r="JS42" i="16" s="1"/>
  <c r="JR20" i="16"/>
  <c r="JR59" i="16" s="1"/>
  <c r="JR21" i="16" s="1"/>
  <c r="JR42" i="16" s="1"/>
  <c r="JQ20" i="16"/>
  <c r="JQ59" i="16" s="1"/>
  <c r="JQ21" i="16" s="1"/>
  <c r="JQ42" i="16" s="1"/>
  <c r="JP20" i="16"/>
  <c r="JP59" i="16" s="1"/>
  <c r="JP21" i="16" s="1"/>
  <c r="JP42" i="16" s="1"/>
  <c r="JO20" i="16"/>
  <c r="JO59" i="16" s="1"/>
  <c r="JO21" i="16" s="1"/>
  <c r="JO42" i="16" s="1"/>
  <c r="JN20" i="16"/>
  <c r="JN59" i="16" s="1"/>
  <c r="JN21" i="16" s="1"/>
  <c r="JN42" i="16" s="1"/>
  <c r="JM17" i="16"/>
  <c r="JM58" i="16" s="1"/>
  <c r="JM18" i="16" s="1"/>
  <c r="JM33" i="16" s="1"/>
  <c r="JL17" i="16"/>
  <c r="JL58" i="16" s="1"/>
  <c r="JL18" i="16" s="1"/>
  <c r="JL33" i="16" s="1"/>
  <c r="JK17" i="16"/>
  <c r="JK58" i="16" s="1"/>
  <c r="JK18" i="16" s="1"/>
  <c r="JJ17" i="16"/>
  <c r="JJ58" i="16" s="1"/>
  <c r="JJ18" i="16" s="1"/>
  <c r="JJ33" i="16" s="1"/>
  <c r="JI17" i="16"/>
  <c r="JI58" i="16" s="1"/>
  <c r="JI18" i="16" s="1"/>
  <c r="JI33" i="16" s="1"/>
  <c r="JH17" i="16"/>
  <c r="JH58" i="16" s="1"/>
  <c r="JH18" i="16" s="1"/>
  <c r="JH33" i="16" s="1"/>
  <c r="JG17" i="16"/>
  <c r="JG58" i="16" s="1"/>
  <c r="JG18" i="16" s="1"/>
  <c r="JF17" i="16"/>
  <c r="JF58" i="16" s="1"/>
  <c r="JF18" i="16" s="1"/>
  <c r="JF33" i="16" s="1"/>
  <c r="JE17" i="16"/>
  <c r="JE58" i="16" s="1"/>
  <c r="JE18" i="16" s="1"/>
  <c r="JE33" i="16" s="1"/>
  <c r="JD17" i="16"/>
  <c r="JD58" i="16" s="1"/>
  <c r="JD18" i="16" s="1"/>
  <c r="JD33" i="16" s="1"/>
  <c r="JC17" i="16"/>
  <c r="JC58" i="16" s="1"/>
  <c r="JC18" i="16" s="1"/>
  <c r="JB17" i="16"/>
  <c r="JB58" i="16" s="1"/>
  <c r="JB18" i="16" s="1"/>
  <c r="JB33" i="16" s="1"/>
  <c r="JA17" i="16"/>
  <c r="JA58" i="16" s="1"/>
  <c r="JA18" i="16" s="1"/>
  <c r="JA33" i="16" s="1"/>
  <c r="IZ17" i="16"/>
  <c r="IZ58" i="16" s="1"/>
  <c r="IZ18" i="16" s="1"/>
  <c r="IZ33" i="16" s="1"/>
  <c r="IY17" i="16"/>
  <c r="IY58" i="16" s="1"/>
  <c r="IY18" i="16" s="1"/>
  <c r="IX17" i="16"/>
  <c r="IX58" i="16" s="1"/>
  <c r="IX18" i="16" s="1"/>
  <c r="IX33" i="16" s="1"/>
  <c r="IW17" i="16"/>
  <c r="IW58" i="16" s="1"/>
  <c r="IW18" i="16" s="1"/>
  <c r="IW33" i="16" s="1"/>
  <c r="IV17" i="16"/>
  <c r="IV58" i="16" s="1"/>
  <c r="IV18" i="16" s="1"/>
  <c r="IV33" i="16" s="1"/>
  <c r="IU17" i="16"/>
  <c r="IU58" i="16" s="1"/>
  <c r="IU18" i="16" s="1"/>
  <c r="IT17" i="16"/>
  <c r="IT58" i="16" s="1"/>
  <c r="IT18" i="16" s="1"/>
  <c r="IT33" i="16" s="1"/>
  <c r="IS17" i="16"/>
  <c r="IS58" i="16" s="1"/>
  <c r="IS18" i="16" s="1"/>
  <c r="IS33" i="16" s="1"/>
  <c r="IR17" i="16"/>
  <c r="IR58" i="16" s="1"/>
  <c r="IR18" i="16" s="1"/>
  <c r="IR33" i="16" s="1"/>
  <c r="IQ17" i="16"/>
  <c r="IQ58" i="16" s="1"/>
  <c r="IQ18" i="16" s="1"/>
  <c r="IP17" i="16"/>
  <c r="IP58" i="16" s="1"/>
  <c r="IP18" i="16" s="1"/>
  <c r="IP33" i="16" s="1"/>
  <c r="IO17" i="16"/>
  <c r="IO58" i="16" s="1"/>
  <c r="IO18" i="16" s="1"/>
  <c r="IO33" i="16" s="1"/>
  <c r="IN17" i="16"/>
  <c r="IN58" i="16" s="1"/>
  <c r="IN18" i="16" s="1"/>
  <c r="IN33" i="16" s="1"/>
  <c r="IM17" i="16"/>
  <c r="IM58" i="16" s="1"/>
  <c r="IM18" i="16" s="1"/>
  <c r="IL17" i="16"/>
  <c r="IL58" i="16" s="1"/>
  <c r="IL18" i="16" s="1"/>
  <c r="IL33" i="16" s="1"/>
  <c r="IK17" i="16"/>
  <c r="IK58" i="16" s="1"/>
  <c r="IK18" i="16" s="1"/>
  <c r="IK33" i="16" s="1"/>
  <c r="IJ17" i="16"/>
  <c r="IJ58" i="16" s="1"/>
  <c r="IJ18" i="16" s="1"/>
  <c r="IJ33" i="16" s="1"/>
  <c r="II17" i="16"/>
  <c r="II58" i="16" s="1"/>
  <c r="II18" i="16" s="1"/>
  <c r="IH17" i="16"/>
  <c r="IH58" i="16" s="1"/>
  <c r="IH18" i="16" s="1"/>
  <c r="IH33" i="16" s="1"/>
  <c r="IG17" i="16"/>
  <c r="IG58" i="16" s="1"/>
  <c r="IG18" i="16" s="1"/>
  <c r="IG33" i="16" s="1"/>
  <c r="IF17" i="16"/>
  <c r="IF58" i="16" s="1"/>
  <c r="IF18" i="16" s="1"/>
  <c r="IF33" i="16" s="1"/>
  <c r="IE17" i="16"/>
  <c r="IE58" i="16" s="1"/>
  <c r="IE18" i="16" s="1"/>
  <c r="ID17" i="16"/>
  <c r="ID58" i="16" s="1"/>
  <c r="ID18" i="16" s="1"/>
  <c r="ID33" i="16" s="1"/>
  <c r="IC17" i="16"/>
  <c r="IC58" i="16" s="1"/>
  <c r="IC18" i="16" s="1"/>
  <c r="IC33" i="16" s="1"/>
  <c r="IB17" i="16"/>
  <c r="IB58" i="16" s="1"/>
  <c r="IB18" i="16" s="1"/>
  <c r="IB33" i="16" s="1"/>
  <c r="IA17" i="16"/>
  <c r="IA58" i="16" s="1"/>
  <c r="IA18" i="16" s="1"/>
  <c r="HZ17" i="16"/>
  <c r="HZ58" i="16" s="1"/>
  <c r="HZ18" i="16" s="1"/>
  <c r="HZ33" i="16" s="1"/>
  <c r="HY17" i="16"/>
  <c r="HY58" i="16" s="1"/>
  <c r="HY18" i="16" s="1"/>
  <c r="HY33" i="16" s="1"/>
  <c r="HX17" i="16"/>
  <c r="HX58" i="16" s="1"/>
  <c r="HX18" i="16" s="1"/>
  <c r="HX33" i="16" s="1"/>
  <c r="HW17" i="16"/>
  <c r="HW58" i="16" s="1"/>
  <c r="HW18" i="16" s="1"/>
  <c r="HV17" i="16"/>
  <c r="HV58" i="16" s="1"/>
  <c r="HV18" i="16" s="1"/>
  <c r="HV33" i="16" s="1"/>
  <c r="HU17" i="16"/>
  <c r="HU58" i="16" s="1"/>
  <c r="HU18" i="16" s="1"/>
  <c r="HU33" i="16" s="1"/>
  <c r="HT17" i="16"/>
  <c r="HT58" i="16" s="1"/>
  <c r="HT18" i="16" s="1"/>
  <c r="HT33" i="16" s="1"/>
  <c r="HS17" i="16"/>
  <c r="HS58" i="16" s="1"/>
  <c r="HS18" i="16" s="1"/>
  <c r="HR17" i="16"/>
  <c r="HR58" i="16" s="1"/>
  <c r="HR18" i="16" s="1"/>
  <c r="HR33" i="16" s="1"/>
  <c r="HQ17" i="16"/>
  <c r="HQ58" i="16" s="1"/>
  <c r="HQ18" i="16" s="1"/>
  <c r="HQ33" i="16" s="1"/>
  <c r="HP17" i="16"/>
  <c r="HP58" i="16" s="1"/>
  <c r="HP18" i="16" s="1"/>
  <c r="HP33" i="16" s="1"/>
  <c r="HO17" i="16"/>
  <c r="HO58" i="16" s="1"/>
  <c r="HO18" i="16" s="1"/>
  <c r="HN17" i="16"/>
  <c r="HN58" i="16" s="1"/>
  <c r="HN18" i="16" s="1"/>
  <c r="HN33" i="16" s="1"/>
  <c r="HM17" i="16"/>
  <c r="HM58" i="16" s="1"/>
  <c r="HM18" i="16" s="1"/>
  <c r="HM33" i="16" s="1"/>
  <c r="HL17" i="16"/>
  <c r="HL58" i="16" s="1"/>
  <c r="HL18" i="16" s="1"/>
  <c r="HL33" i="16" s="1"/>
  <c r="HK17" i="16"/>
  <c r="HK58" i="16" s="1"/>
  <c r="HK18" i="16" s="1"/>
  <c r="HJ17" i="16"/>
  <c r="HJ58" i="16" s="1"/>
  <c r="HJ18" i="16" s="1"/>
  <c r="HJ33" i="16" s="1"/>
  <c r="HI17" i="16"/>
  <c r="HI58" i="16" s="1"/>
  <c r="HI18" i="16" s="1"/>
  <c r="HI33" i="16" s="1"/>
  <c r="HH17" i="16"/>
  <c r="HH58" i="16" s="1"/>
  <c r="HH18" i="16" s="1"/>
  <c r="HH33" i="16" s="1"/>
  <c r="HG17" i="16"/>
  <c r="HG58" i="16" s="1"/>
  <c r="HG18" i="16" s="1"/>
  <c r="HF17" i="16"/>
  <c r="HF58" i="16" s="1"/>
  <c r="HF18" i="16" s="1"/>
  <c r="HF33" i="16" s="1"/>
  <c r="HE17" i="16"/>
  <c r="HE58" i="16" s="1"/>
  <c r="HE18" i="16" s="1"/>
  <c r="HE33" i="16" s="1"/>
  <c r="HD17" i="16"/>
  <c r="HD58" i="16" s="1"/>
  <c r="HD18" i="16" s="1"/>
  <c r="HD33" i="16" s="1"/>
  <c r="HC17" i="16"/>
  <c r="HC58" i="16" s="1"/>
  <c r="HC18" i="16" s="1"/>
  <c r="HB17" i="16"/>
  <c r="HB58" i="16" s="1"/>
  <c r="HB18" i="16" s="1"/>
  <c r="HA14" i="16"/>
  <c r="HA57" i="16" s="1"/>
  <c r="HA15" i="16" s="1"/>
  <c r="HA27" i="16" s="1"/>
  <c r="GZ14" i="16"/>
  <c r="GZ57" i="16" s="1"/>
  <c r="GZ15" i="16" s="1"/>
  <c r="GZ27" i="16" s="1"/>
  <c r="GY14" i="16"/>
  <c r="GY57" i="16" s="1"/>
  <c r="GY15" i="16" s="1"/>
  <c r="GY27" i="16" s="1"/>
  <c r="GX14" i="16"/>
  <c r="GX57" i="16" s="1"/>
  <c r="GX15" i="16" s="1"/>
  <c r="GX27" i="16" s="1"/>
  <c r="GW14" i="16"/>
  <c r="GW57" i="16" s="1"/>
  <c r="GW15" i="16" s="1"/>
  <c r="GW27" i="16" s="1"/>
  <c r="GV11" i="16"/>
  <c r="GV56" i="16" s="1"/>
  <c r="GV12" i="16" s="1"/>
  <c r="GV21" i="16" s="1"/>
  <c r="GV42" i="16" s="1"/>
  <c r="GU11" i="16"/>
  <c r="GU56" i="16" s="1"/>
  <c r="GU12" i="16" s="1"/>
  <c r="GT11" i="16"/>
  <c r="GT56" i="16" s="1"/>
  <c r="GT12" i="16" s="1"/>
  <c r="GS11" i="16"/>
  <c r="GS56" i="16" s="1"/>
  <c r="GS12" i="16" s="1"/>
  <c r="GS21" i="16" s="1"/>
  <c r="GS42" i="16" s="1"/>
  <c r="GR11" i="16"/>
  <c r="GR56" i="16" s="1"/>
  <c r="GR12" i="16" s="1"/>
  <c r="GR21" i="16" s="1"/>
  <c r="GR42" i="16" s="1"/>
  <c r="GQ11" i="16"/>
  <c r="GQ56" i="16" s="1"/>
  <c r="GQ12" i="16" s="1"/>
  <c r="GP11" i="16"/>
  <c r="GP56" i="16" s="1"/>
  <c r="GP12" i="16" s="1"/>
  <c r="GO11" i="16"/>
  <c r="GO56" i="16" s="1"/>
  <c r="GO12" i="16" s="1"/>
  <c r="GO21" i="16" s="1"/>
  <c r="GO42" i="16" s="1"/>
  <c r="GN11" i="16"/>
  <c r="GN56" i="16" s="1"/>
  <c r="GN12" i="16" s="1"/>
  <c r="GN21" i="16" s="1"/>
  <c r="GN42" i="16" s="1"/>
  <c r="GM11" i="16"/>
  <c r="GM56" i="16" s="1"/>
  <c r="GM12" i="16" s="1"/>
  <c r="GL11" i="16"/>
  <c r="GL56" i="16" s="1"/>
  <c r="GL12" i="16" s="1"/>
  <c r="GK11" i="16"/>
  <c r="GK56" i="16" s="1"/>
  <c r="GK12" i="16" s="1"/>
  <c r="GK21" i="16" s="1"/>
  <c r="GK42" i="16" s="1"/>
  <c r="GJ11" i="16"/>
  <c r="GJ56" i="16" s="1"/>
  <c r="GJ12" i="16" s="1"/>
  <c r="GI11" i="16"/>
  <c r="GI56" i="16" s="1"/>
  <c r="GI12" i="16" s="1"/>
  <c r="GH11" i="16"/>
  <c r="GH56" i="16" s="1"/>
  <c r="GH12" i="16" s="1"/>
  <c r="GG11" i="16"/>
  <c r="GG56" i="16" s="1"/>
  <c r="GG12" i="16" s="1"/>
  <c r="GG21" i="16" s="1"/>
  <c r="GG42" i="16" s="1"/>
  <c r="GF11" i="16"/>
  <c r="GF56" i="16" s="1"/>
  <c r="GF12" i="16" s="1"/>
  <c r="GF21" i="16" s="1"/>
  <c r="GF42" i="16" s="1"/>
  <c r="GE11" i="16"/>
  <c r="GE56" i="16" s="1"/>
  <c r="GE12" i="16" s="1"/>
  <c r="GD11" i="16"/>
  <c r="GD56" i="16" s="1"/>
  <c r="GD12" i="16" s="1"/>
  <c r="GC11" i="16"/>
  <c r="GC56" i="16" s="1"/>
  <c r="GC12" i="16" s="1"/>
  <c r="GC21" i="16" s="1"/>
  <c r="GC42" i="16" s="1"/>
  <c r="GB11" i="16"/>
  <c r="GB56" i="16" s="1"/>
  <c r="GB12" i="16" s="1"/>
  <c r="GB21" i="16" s="1"/>
  <c r="GB42" i="16" s="1"/>
  <c r="GA11" i="16"/>
  <c r="GA56" i="16" s="1"/>
  <c r="GA12" i="16" s="1"/>
  <c r="FZ11" i="16"/>
  <c r="FZ56" i="16" s="1"/>
  <c r="FZ12" i="16" s="1"/>
  <c r="FY11" i="16"/>
  <c r="FY56" i="16" s="1"/>
  <c r="FY12" i="16" s="1"/>
  <c r="FY21" i="16" s="1"/>
  <c r="FY42" i="16" s="1"/>
  <c r="FX11" i="16"/>
  <c r="FX56" i="16" s="1"/>
  <c r="FX12" i="16" s="1"/>
  <c r="FX21" i="16" s="1"/>
  <c r="FX42" i="16" s="1"/>
  <c r="FW11" i="16"/>
  <c r="FW56" i="16" s="1"/>
  <c r="FW12" i="16" s="1"/>
  <c r="FV11" i="16"/>
  <c r="FV56" i="16" s="1"/>
  <c r="FV12" i="16" s="1"/>
  <c r="FU11" i="16"/>
  <c r="FU56" i="16" s="1"/>
  <c r="FU12" i="16" s="1"/>
  <c r="FU21" i="16" s="1"/>
  <c r="FU42" i="16" s="1"/>
  <c r="FT11" i="16"/>
  <c r="FT56" i="16" s="1"/>
  <c r="FT12" i="16" s="1"/>
  <c r="FS11" i="16"/>
  <c r="FS56" i="16" s="1"/>
  <c r="FS12" i="16" s="1"/>
  <c r="FR11" i="16"/>
  <c r="FR56" i="16" s="1"/>
  <c r="FR12" i="16" s="1"/>
  <c r="FQ11" i="16"/>
  <c r="FQ56" i="16" s="1"/>
  <c r="FQ12" i="16" s="1"/>
  <c r="FQ21" i="16" s="1"/>
  <c r="FQ42" i="16" s="1"/>
  <c r="FP11" i="16"/>
  <c r="FP56" i="16" s="1"/>
  <c r="FP12" i="16" s="1"/>
  <c r="FP21" i="16" s="1"/>
  <c r="FP42" i="16" s="1"/>
  <c r="FO11" i="16"/>
  <c r="FO56" i="16" s="1"/>
  <c r="FO12" i="16" s="1"/>
  <c r="FN11" i="16"/>
  <c r="FN56" i="16" s="1"/>
  <c r="FN12" i="16" s="1"/>
  <c r="FM11" i="16"/>
  <c r="FM56" i="16" s="1"/>
  <c r="FM12" i="16" s="1"/>
  <c r="FM21" i="16" s="1"/>
  <c r="FM42" i="16" s="1"/>
  <c r="FL11" i="16"/>
  <c r="FL56" i="16" s="1"/>
  <c r="FL12" i="16" s="1"/>
  <c r="FL21" i="16" s="1"/>
  <c r="FL42" i="16" s="1"/>
  <c r="FK11" i="16"/>
  <c r="FK56" i="16" s="1"/>
  <c r="FK12" i="16" s="1"/>
  <c r="FJ11" i="16"/>
  <c r="FJ56" i="16" s="1"/>
  <c r="FJ12" i="16" s="1"/>
  <c r="FI11" i="16"/>
  <c r="FI56" i="16" s="1"/>
  <c r="FI12" i="16" s="1"/>
  <c r="FI21" i="16" s="1"/>
  <c r="FI42" i="16" s="1"/>
  <c r="FH11" i="16"/>
  <c r="FH56" i="16" s="1"/>
  <c r="FH12" i="16" s="1"/>
  <c r="FH21" i="16" s="1"/>
  <c r="FH42" i="16" s="1"/>
  <c r="FG11" i="16"/>
  <c r="FG56" i="16" s="1"/>
  <c r="FG12" i="16" s="1"/>
  <c r="FF11" i="16"/>
  <c r="FF56" i="16" s="1"/>
  <c r="FF12" i="16" s="1"/>
  <c r="FE11" i="16"/>
  <c r="FE56" i="16" s="1"/>
  <c r="FE12" i="16" s="1"/>
  <c r="FE21" i="16" s="1"/>
  <c r="FE42" i="16" s="1"/>
  <c r="FD11" i="16"/>
  <c r="FD56" i="16" s="1"/>
  <c r="FD12" i="16" s="1"/>
  <c r="FC11" i="16"/>
  <c r="FC56" i="16" s="1"/>
  <c r="FC12" i="16" s="1"/>
  <c r="FB11" i="16"/>
  <c r="FB56" i="16" s="1"/>
  <c r="FB12" i="16" s="1"/>
  <c r="FA11" i="16"/>
  <c r="FA56" i="16" s="1"/>
  <c r="FA12" i="16" s="1"/>
  <c r="FA21" i="16" s="1"/>
  <c r="FA42" i="16" s="1"/>
  <c r="EZ11" i="16"/>
  <c r="EZ56" i="16" s="1"/>
  <c r="EZ12" i="16" s="1"/>
  <c r="EZ21" i="16" s="1"/>
  <c r="EZ42" i="16" s="1"/>
  <c r="EY11" i="16"/>
  <c r="EY56" i="16" s="1"/>
  <c r="EY12" i="16" s="1"/>
  <c r="EX11" i="16"/>
  <c r="EX56" i="16" s="1"/>
  <c r="EX12" i="16" s="1"/>
  <c r="EW11" i="16"/>
  <c r="EW56" i="16" s="1"/>
  <c r="EW12" i="16" s="1"/>
  <c r="EW21" i="16" s="1"/>
  <c r="EW42" i="16" s="1"/>
  <c r="EV11" i="16"/>
  <c r="EV56" i="16" s="1"/>
  <c r="EV12" i="16" s="1"/>
  <c r="EV21" i="16" s="1"/>
  <c r="EV42" i="16" s="1"/>
  <c r="EU11" i="16"/>
  <c r="EU56" i="16" s="1"/>
  <c r="EU12" i="16" s="1"/>
  <c r="ET11" i="16"/>
  <c r="ET56" i="16" s="1"/>
  <c r="ET12" i="16" s="1"/>
  <c r="ES11" i="16"/>
  <c r="ES56" i="16" s="1"/>
  <c r="ES12" i="16" s="1"/>
  <c r="ES21" i="16" s="1"/>
  <c r="ES42" i="16" s="1"/>
  <c r="ER11" i="16"/>
  <c r="ER56" i="16" s="1"/>
  <c r="ER12" i="16" s="1"/>
  <c r="ER21" i="16" s="1"/>
  <c r="ER42" i="16" s="1"/>
  <c r="EQ11" i="16"/>
  <c r="EQ56" i="16" s="1"/>
  <c r="EQ12" i="16" s="1"/>
  <c r="EP11" i="16"/>
  <c r="EP56" i="16" s="1"/>
  <c r="EP12" i="16" s="1"/>
  <c r="EO11" i="16"/>
  <c r="EO56" i="16" s="1"/>
  <c r="EO12" i="16" s="1"/>
  <c r="EO21" i="16" s="1"/>
  <c r="EO42" i="16" s="1"/>
  <c r="EN11" i="16"/>
  <c r="EN56" i="16" s="1"/>
  <c r="EN12" i="16" s="1"/>
  <c r="EM11" i="16"/>
  <c r="EM56" i="16" s="1"/>
  <c r="EM12" i="16" s="1"/>
  <c r="EL11" i="16"/>
  <c r="EL56" i="16" s="1"/>
  <c r="EL12" i="16" s="1"/>
  <c r="EK11" i="16"/>
  <c r="EK56" i="16" s="1"/>
  <c r="EK12" i="16" s="1"/>
  <c r="EK21" i="16" s="1"/>
  <c r="EK42" i="16" s="1"/>
  <c r="EJ11" i="16"/>
  <c r="EJ56" i="16" s="1"/>
  <c r="EJ12" i="16" s="1"/>
  <c r="EJ21" i="16" s="1"/>
  <c r="EJ42" i="16" s="1"/>
  <c r="EI11" i="16"/>
  <c r="EI56" i="16" s="1"/>
  <c r="EI12" i="16" s="1"/>
  <c r="EH11" i="16"/>
  <c r="EH56" i="16" s="1"/>
  <c r="EH12" i="16" s="1"/>
  <c r="EG11" i="16"/>
  <c r="EG56" i="16" s="1"/>
  <c r="EG12" i="16" s="1"/>
  <c r="EG21" i="16" s="1"/>
  <c r="EG42" i="16" s="1"/>
  <c r="EF11" i="16"/>
  <c r="EF56" i="16" s="1"/>
  <c r="EF12" i="16" s="1"/>
  <c r="EE8" i="16"/>
  <c r="EE55" i="16" s="1"/>
  <c r="EE9" i="16" s="1"/>
  <c r="EE15" i="16" s="1"/>
  <c r="EE27" i="16" s="1"/>
  <c r="EC8" i="16"/>
  <c r="EC55" i="16" s="1"/>
  <c r="EC9" i="16" s="1"/>
  <c r="EC15" i="16" s="1"/>
  <c r="EC27" i="16" s="1"/>
  <c r="EB8" i="16"/>
  <c r="EB55" i="16" s="1"/>
  <c r="EB9" i="16" s="1"/>
  <c r="EB15" i="16" s="1"/>
  <c r="EB27" i="16" s="1"/>
  <c r="EA8" i="16"/>
  <c r="EA55" i="16" s="1"/>
  <c r="EA9" i="16" s="1"/>
  <c r="EA15" i="16" s="1"/>
  <c r="DZ8" i="16"/>
  <c r="DZ55" i="16" s="1"/>
  <c r="DZ9" i="16" s="1"/>
  <c r="DZ15" i="16" s="1"/>
  <c r="DZ27" i="16" s="1"/>
  <c r="DY8" i="16"/>
  <c r="DY55" i="16" s="1"/>
  <c r="DY9" i="16" s="1"/>
  <c r="DY15" i="16" s="1"/>
  <c r="DY27" i="16" s="1"/>
  <c r="DX8" i="16"/>
  <c r="DX55" i="16" s="1"/>
  <c r="DX9" i="16" s="1"/>
  <c r="DX15" i="16" s="1"/>
  <c r="DX27" i="16" s="1"/>
  <c r="DW8" i="16"/>
  <c r="DW55" i="16" s="1"/>
  <c r="DW9" i="16" s="1"/>
  <c r="DW15" i="16" s="1"/>
  <c r="DW27" i="16" s="1"/>
  <c r="DV8" i="16"/>
  <c r="DV55" i="16" s="1"/>
  <c r="DV9" i="16" s="1"/>
  <c r="DV15" i="16" s="1"/>
  <c r="DV27" i="16" s="1"/>
  <c r="DU8" i="16"/>
  <c r="DU55" i="16" s="1"/>
  <c r="DU9" i="16" s="1"/>
  <c r="DU15" i="16" s="1"/>
  <c r="DU27" i="16" s="1"/>
  <c r="DT8" i="16"/>
  <c r="DT55" i="16" s="1"/>
  <c r="DT9" i="16" s="1"/>
  <c r="DT15" i="16" s="1"/>
  <c r="DT27" i="16" s="1"/>
  <c r="DS8" i="16"/>
  <c r="DS55" i="16" s="1"/>
  <c r="DS9" i="16" s="1"/>
  <c r="DS15" i="16" s="1"/>
  <c r="DS27" i="16" s="1"/>
  <c r="DR8" i="16"/>
  <c r="DR55" i="16" s="1"/>
  <c r="DR9" i="16" s="1"/>
  <c r="DQ8" i="16"/>
  <c r="DQ55" i="16" s="1"/>
  <c r="DQ9" i="16" s="1"/>
  <c r="DQ15" i="16" s="1"/>
  <c r="DQ27" i="16" s="1"/>
  <c r="DP8" i="16"/>
  <c r="DP55" i="16" s="1"/>
  <c r="DP9" i="16" s="1"/>
  <c r="DP15" i="16" s="1"/>
  <c r="DP27" i="16" s="1"/>
  <c r="DO8" i="16"/>
  <c r="DO55" i="16" s="1"/>
  <c r="DO9" i="16" s="1"/>
  <c r="DO15" i="16" s="1"/>
  <c r="DO27" i="16" s="1"/>
  <c r="DN8" i="16"/>
  <c r="DN55" i="16" s="1"/>
  <c r="DN9" i="16" s="1"/>
  <c r="DN15" i="16" s="1"/>
  <c r="DN27" i="16" s="1"/>
  <c r="DM8" i="16"/>
  <c r="DM55" i="16" s="1"/>
  <c r="DM9" i="16" s="1"/>
  <c r="DM15" i="16" s="1"/>
  <c r="DM27" i="16" s="1"/>
  <c r="DL8" i="16"/>
  <c r="DL55" i="16" s="1"/>
  <c r="DL9" i="16" s="1"/>
  <c r="DL15" i="16" s="1"/>
  <c r="DL27" i="16" s="1"/>
  <c r="DK8" i="16"/>
  <c r="DK55" i="16" s="1"/>
  <c r="DK9" i="16" s="1"/>
  <c r="DK15" i="16" s="1"/>
  <c r="DJ8" i="16"/>
  <c r="DJ55" i="16" s="1"/>
  <c r="DJ9" i="16" s="1"/>
  <c r="DJ15" i="16" s="1"/>
  <c r="DJ27" i="16" s="1"/>
  <c r="DI8" i="16"/>
  <c r="DI55" i="16" s="1"/>
  <c r="DI9" i="16" s="1"/>
  <c r="DI15" i="16" s="1"/>
  <c r="DI27" i="16" s="1"/>
  <c r="DH8" i="16"/>
  <c r="DH55" i="16" s="1"/>
  <c r="DH9" i="16" s="1"/>
  <c r="DH15" i="16" s="1"/>
  <c r="DH27" i="16" s="1"/>
  <c r="DG8" i="16"/>
  <c r="DG55" i="16" s="1"/>
  <c r="DG9" i="16" s="1"/>
  <c r="DG15" i="16" s="1"/>
  <c r="DG27" i="16" s="1"/>
  <c r="DF8" i="16"/>
  <c r="DF55" i="16" s="1"/>
  <c r="DF9" i="16" s="1"/>
  <c r="DF15" i="16" s="1"/>
  <c r="DF27" i="16" s="1"/>
  <c r="DE8" i="16"/>
  <c r="DE55" i="16" s="1"/>
  <c r="DE9" i="16" s="1"/>
  <c r="DE15" i="16" s="1"/>
  <c r="DE27" i="16" s="1"/>
  <c r="DD8" i="16"/>
  <c r="DD55" i="16" s="1"/>
  <c r="DD9" i="16" s="1"/>
  <c r="DD15" i="16" s="1"/>
  <c r="DD27" i="16" s="1"/>
  <c r="DC8" i="16"/>
  <c r="DC55" i="16" s="1"/>
  <c r="DC9" i="16" s="1"/>
  <c r="DC15" i="16" s="1"/>
  <c r="DC27" i="16" s="1"/>
  <c r="DB8" i="16"/>
  <c r="DB55" i="16" s="1"/>
  <c r="DB9" i="16" s="1"/>
  <c r="DA8" i="16"/>
  <c r="DA55" i="16" s="1"/>
  <c r="DA9" i="16" s="1"/>
  <c r="DA15" i="16" s="1"/>
  <c r="DA27" i="16" s="1"/>
  <c r="CZ8" i="16"/>
  <c r="CZ55" i="16" s="1"/>
  <c r="CZ9" i="16" s="1"/>
  <c r="CZ15" i="16" s="1"/>
  <c r="CZ27" i="16" s="1"/>
  <c r="CY8" i="16"/>
  <c r="CY55" i="16" s="1"/>
  <c r="CY9" i="16" s="1"/>
  <c r="CY15" i="16" s="1"/>
  <c r="CY27" i="16" s="1"/>
  <c r="CX8" i="16"/>
  <c r="CX55" i="16" s="1"/>
  <c r="CX9" i="16" s="1"/>
  <c r="CX15" i="16" s="1"/>
  <c r="CX27" i="16" s="1"/>
  <c r="CW8" i="16"/>
  <c r="CW55" i="16" s="1"/>
  <c r="CW9" i="16" s="1"/>
  <c r="CW15" i="16" s="1"/>
  <c r="CW27" i="16" s="1"/>
  <c r="CV8" i="16"/>
  <c r="CV55" i="16" s="1"/>
  <c r="CV9" i="16" s="1"/>
  <c r="CV15" i="16" s="1"/>
  <c r="CV27" i="16" s="1"/>
  <c r="CU8" i="16"/>
  <c r="CU55" i="16" s="1"/>
  <c r="CU9" i="16" s="1"/>
  <c r="CU15" i="16" s="1"/>
  <c r="CT8" i="16"/>
  <c r="CT55" i="16" s="1"/>
  <c r="CT9" i="16" s="1"/>
  <c r="CT15" i="16" s="1"/>
  <c r="CT27" i="16" s="1"/>
  <c r="CS8" i="16"/>
  <c r="CS55" i="16" s="1"/>
  <c r="CS9" i="16" s="1"/>
  <c r="CS15" i="16" s="1"/>
  <c r="CS27" i="16" s="1"/>
  <c r="CR8" i="16"/>
  <c r="CR55" i="16" s="1"/>
  <c r="CR9" i="16" s="1"/>
  <c r="CR15" i="16" s="1"/>
  <c r="CR27" i="16" s="1"/>
  <c r="CQ8" i="16"/>
  <c r="CQ55" i="16" s="1"/>
  <c r="CQ9" i="16" s="1"/>
  <c r="CQ15" i="16" s="1"/>
  <c r="CQ27" i="16" s="1"/>
  <c r="CP8" i="16"/>
  <c r="CP55" i="16" s="1"/>
  <c r="CP9" i="16" s="1"/>
  <c r="CP15" i="16" s="1"/>
  <c r="CP27" i="16" s="1"/>
  <c r="CO8" i="16"/>
  <c r="CO55" i="16" s="1"/>
  <c r="CO9" i="16" s="1"/>
  <c r="CO15" i="16" s="1"/>
  <c r="CO27" i="16" s="1"/>
  <c r="CN8" i="16"/>
  <c r="CN55" i="16" s="1"/>
  <c r="CN9" i="16" s="1"/>
  <c r="CN15" i="16" s="1"/>
  <c r="CN27" i="16" s="1"/>
  <c r="CM8" i="16"/>
  <c r="CM55" i="16" s="1"/>
  <c r="CM9" i="16" s="1"/>
  <c r="CM15" i="16" s="1"/>
  <c r="CM27" i="16" s="1"/>
  <c r="CL8" i="16"/>
  <c r="CL55" i="16" s="1"/>
  <c r="CL9" i="16" s="1"/>
  <c r="CK8" i="16"/>
  <c r="CK55" i="16" s="1"/>
  <c r="CK9" i="16" s="1"/>
  <c r="CK15" i="16" s="1"/>
  <c r="CK27" i="16" s="1"/>
  <c r="CJ8" i="16"/>
  <c r="CJ55" i="16" s="1"/>
  <c r="CJ9" i="16" s="1"/>
  <c r="CJ15" i="16" s="1"/>
  <c r="CJ27" i="16" s="1"/>
  <c r="CI5" i="16"/>
  <c r="CI54" i="16" s="1"/>
  <c r="CI6" i="16" s="1"/>
  <c r="CH5" i="16"/>
  <c r="CH54" i="16" s="1"/>
  <c r="CH6" i="16" s="1"/>
  <c r="CH9" i="16" s="1"/>
  <c r="CH15" i="16" s="1"/>
  <c r="CH27" i="16" s="1"/>
  <c r="CG5" i="16"/>
  <c r="CG54" i="16" s="1"/>
  <c r="CG6" i="16" s="1"/>
  <c r="CG9" i="16" s="1"/>
  <c r="CG15" i="16" s="1"/>
  <c r="CG27" i="16" s="1"/>
  <c r="CF5" i="16"/>
  <c r="CF54" i="16" s="1"/>
  <c r="CF6" i="16" s="1"/>
  <c r="CE5" i="16"/>
  <c r="CE54" i="16" s="1"/>
  <c r="CE6" i="16" s="1"/>
  <c r="CE9" i="16" s="1"/>
  <c r="CE15" i="16" s="1"/>
  <c r="CD5" i="16"/>
  <c r="CD54" i="16" s="1"/>
  <c r="CD6" i="16" s="1"/>
  <c r="CC5" i="16"/>
  <c r="CC54" i="16" s="1"/>
  <c r="CC6" i="16" s="1"/>
  <c r="CC9" i="16" s="1"/>
  <c r="CC15" i="16" s="1"/>
  <c r="CC27" i="16" s="1"/>
  <c r="CB5" i="16"/>
  <c r="CB54" i="16" s="1"/>
  <c r="CB6" i="16" s="1"/>
  <c r="CA5" i="16"/>
  <c r="CA54" i="16" s="1"/>
  <c r="CA6" i="16" s="1"/>
  <c r="BZ5" i="16"/>
  <c r="BZ54" i="16" s="1"/>
  <c r="BZ6" i="16" s="1"/>
  <c r="BZ9" i="16" s="1"/>
  <c r="BZ15" i="16" s="1"/>
  <c r="BZ27" i="16" s="1"/>
  <c r="BY5" i="16"/>
  <c r="BY54" i="16" s="1"/>
  <c r="BY6" i="16" s="1"/>
  <c r="BY9" i="16" s="1"/>
  <c r="BY15" i="16" s="1"/>
  <c r="BY27" i="16" s="1"/>
  <c r="BX5" i="16"/>
  <c r="BX54" i="16" s="1"/>
  <c r="BX6" i="16" s="1"/>
  <c r="BW5" i="16"/>
  <c r="BW54" i="16" s="1"/>
  <c r="BW6" i="16" s="1"/>
  <c r="BV5" i="16"/>
  <c r="BV54" i="16" s="1"/>
  <c r="BV6" i="16" s="1"/>
  <c r="BV9" i="16" s="1"/>
  <c r="BV15" i="16" s="1"/>
  <c r="BV27" i="16" s="1"/>
  <c r="BU5" i="16"/>
  <c r="BU54" i="16" s="1"/>
  <c r="BU6" i="16" s="1"/>
  <c r="BU9" i="16" s="1"/>
  <c r="BU15" i="16" s="1"/>
  <c r="BU27" i="16" s="1"/>
  <c r="BT5" i="16"/>
  <c r="BT54" i="16" s="1"/>
  <c r="BT6" i="16" s="1"/>
  <c r="BS5" i="16"/>
  <c r="BS54" i="16" s="1"/>
  <c r="BS6" i="16" s="1"/>
  <c r="BR5" i="16"/>
  <c r="BR54" i="16" s="1"/>
  <c r="BR6" i="16" s="1"/>
  <c r="BR9" i="16" s="1"/>
  <c r="BR15" i="16" s="1"/>
  <c r="BR27" i="16" s="1"/>
  <c r="BQ5" i="16"/>
  <c r="BQ54" i="16" s="1"/>
  <c r="BQ6" i="16" s="1"/>
  <c r="BQ9" i="16" s="1"/>
  <c r="BQ15" i="16" s="1"/>
  <c r="BQ27" i="16" s="1"/>
  <c r="BP5" i="16"/>
  <c r="BP54" i="16" s="1"/>
  <c r="BP6" i="16" s="1"/>
  <c r="BO5" i="16"/>
  <c r="BO54" i="16" s="1"/>
  <c r="BO6" i="16" s="1"/>
  <c r="BO9" i="16" s="1"/>
  <c r="BO15" i="16" s="1"/>
  <c r="BN5" i="16"/>
  <c r="BN54" i="16" s="1"/>
  <c r="BN6" i="16" s="1"/>
  <c r="BN9" i="16" s="1"/>
  <c r="BN15" i="16" s="1"/>
  <c r="BN27" i="16" s="1"/>
  <c r="BM5" i="16"/>
  <c r="BM54" i="16" s="1"/>
  <c r="BM6" i="16" s="1"/>
  <c r="BM9" i="16" s="1"/>
  <c r="BM15" i="16" s="1"/>
  <c r="BM27" i="16" s="1"/>
  <c r="BL5" i="16"/>
  <c r="BL54" i="16" s="1"/>
  <c r="BL6" i="16" s="1"/>
  <c r="BK5" i="16"/>
  <c r="BK54" i="16" s="1"/>
  <c r="BK6" i="16" s="1"/>
  <c r="BJ5" i="16"/>
  <c r="BJ54" i="16" s="1"/>
  <c r="BJ6" i="16" s="1"/>
  <c r="BJ9" i="16" s="1"/>
  <c r="BJ15" i="16" s="1"/>
  <c r="BJ27" i="16" s="1"/>
  <c r="BI5" i="16"/>
  <c r="BI54" i="16" s="1"/>
  <c r="BI6" i="16" s="1"/>
  <c r="BI9" i="16" s="1"/>
  <c r="BI15" i="16" s="1"/>
  <c r="BI27" i="16" s="1"/>
  <c r="BH5" i="16"/>
  <c r="BH54" i="16" s="1"/>
  <c r="BH6" i="16" s="1"/>
  <c r="BG5" i="16"/>
  <c r="BG54" i="16" s="1"/>
  <c r="BG6" i="16" s="1"/>
  <c r="BF5" i="16"/>
  <c r="BF54" i="16" s="1"/>
  <c r="BF6" i="16" s="1"/>
  <c r="BF9" i="16" s="1"/>
  <c r="BF15" i="16" s="1"/>
  <c r="BF27" i="16" s="1"/>
  <c r="BE5" i="16"/>
  <c r="BE54" i="16" s="1"/>
  <c r="BE6" i="16" s="1"/>
  <c r="BE9" i="16" s="1"/>
  <c r="BE15" i="16" s="1"/>
  <c r="BE27" i="16" s="1"/>
  <c r="BD5" i="16"/>
  <c r="BD54" i="16" s="1"/>
  <c r="BD6" i="16" s="1"/>
  <c r="BC5" i="16"/>
  <c r="BC54" i="16" s="1"/>
  <c r="BC6" i="16" s="1"/>
  <c r="BB5" i="16"/>
  <c r="BB54" i="16" s="1"/>
  <c r="BB6" i="16" s="1"/>
  <c r="BB9" i="16" s="1"/>
  <c r="BB15" i="16" s="1"/>
  <c r="BB27" i="16" s="1"/>
  <c r="BA5" i="16"/>
  <c r="BA54" i="16" s="1"/>
  <c r="BA6" i="16" s="1"/>
  <c r="BA9" i="16" s="1"/>
  <c r="BA15" i="16" s="1"/>
  <c r="BA27" i="16" s="1"/>
  <c r="AZ5" i="16"/>
  <c r="AZ54" i="16" s="1"/>
  <c r="AZ6" i="16" s="1"/>
  <c r="AY5" i="16"/>
  <c r="AY54" i="16" s="1"/>
  <c r="AY6" i="16" s="1"/>
  <c r="AY9" i="16" s="1"/>
  <c r="AY15" i="16" s="1"/>
  <c r="AX5" i="16"/>
  <c r="AX54" i="16" s="1"/>
  <c r="AX6" i="16" s="1"/>
  <c r="AX9" i="16" s="1"/>
  <c r="AX15" i="16" s="1"/>
  <c r="AX27" i="16" s="1"/>
  <c r="AW5" i="16"/>
  <c r="AW54" i="16" s="1"/>
  <c r="AW6" i="16" s="1"/>
  <c r="AW9" i="16" s="1"/>
  <c r="AW15" i="16" s="1"/>
  <c r="AW27" i="16" s="1"/>
  <c r="AV5" i="16"/>
  <c r="AV54" i="16" s="1"/>
  <c r="AV6" i="16" s="1"/>
  <c r="AU5" i="16"/>
  <c r="AU54" i="16" s="1"/>
  <c r="AU6" i="16" s="1"/>
  <c r="AT5" i="16"/>
  <c r="AT54" i="16" s="1"/>
  <c r="AT6" i="16" s="1"/>
  <c r="AT9" i="16" s="1"/>
  <c r="AT15" i="16" s="1"/>
  <c r="AT27" i="16" s="1"/>
  <c r="AS5" i="16"/>
  <c r="AS54" i="16" s="1"/>
  <c r="AS6" i="16" s="1"/>
  <c r="AS9" i="16" s="1"/>
  <c r="AS15" i="16" s="1"/>
  <c r="AS27" i="16" s="1"/>
  <c r="AR5" i="16"/>
  <c r="AR54" i="16" s="1"/>
  <c r="AR6" i="16" s="1"/>
  <c r="AQ5" i="16"/>
  <c r="AQ54" i="16" s="1"/>
  <c r="AQ6" i="16" s="1"/>
  <c r="AP5" i="16"/>
  <c r="AP54" i="16" s="1"/>
  <c r="AP6" i="16" s="1"/>
  <c r="AP9" i="16" s="1"/>
  <c r="AP15" i="16" s="1"/>
  <c r="AP27" i="16" s="1"/>
  <c r="AO5" i="16"/>
  <c r="AO54" i="16" s="1"/>
  <c r="AO6" i="16" s="1"/>
  <c r="AO9" i="16" s="1"/>
  <c r="AO15" i="16" s="1"/>
  <c r="AO27" i="16" s="1"/>
  <c r="AN5" i="16"/>
  <c r="AN54" i="16" s="1"/>
  <c r="AN6" i="16" s="1"/>
  <c r="AM5" i="16"/>
  <c r="AM54" i="16" s="1"/>
  <c r="AM6" i="16" s="1"/>
  <c r="AL5" i="16"/>
  <c r="AL54" i="16" s="1"/>
  <c r="AL6" i="16" s="1"/>
  <c r="AL9" i="16" s="1"/>
  <c r="AL15" i="16" s="1"/>
  <c r="AL27" i="16" s="1"/>
  <c r="AK5" i="16"/>
  <c r="AK54" i="16" s="1"/>
  <c r="AK6" i="16" s="1"/>
  <c r="AK9" i="16" s="1"/>
  <c r="AK15" i="16" s="1"/>
  <c r="AK27" i="16" s="1"/>
  <c r="AJ5" i="16"/>
  <c r="AJ54" i="16" s="1"/>
  <c r="AJ6" i="16" s="1"/>
  <c r="AI5" i="16"/>
  <c r="AI54" i="16" s="1"/>
  <c r="AI6" i="16" s="1"/>
  <c r="AI9" i="16" s="1"/>
  <c r="AI15" i="16" s="1"/>
  <c r="AH5" i="16"/>
  <c r="AH54" i="16" s="1"/>
  <c r="AH6" i="16" s="1"/>
  <c r="AH9" i="16" s="1"/>
  <c r="AH15" i="16" s="1"/>
  <c r="AH27" i="16" s="1"/>
  <c r="AG5" i="16"/>
  <c r="AG54" i="16" s="1"/>
  <c r="AG6" i="16" s="1"/>
  <c r="AG9" i="16" s="1"/>
  <c r="AG15" i="16" s="1"/>
  <c r="AG27" i="16" s="1"/>
  <c r="AF5" i="16"/>
  <c r="AF54" i="16" s="1"/>
  <c r="AF6" i="16" s="1"/>
  <c r="AE5" i="16"/>
  <c r="AE54" i="16" s="1"/>
  <c r="AE6" i="16" s="1"/>
  <c r="AD5" i="16"/>
  <c r="AD54" i="16" s="1"/>
  <c r="AD6" i="16" s="1"/>
  <c r="AD9" i="16" s="1"/>
  <c r="AD15" i="16" s="1"/>
  <c r="AD27" i="16" s="1"/>
  <c r="AC5" i="16"/>
  <c r="AC54" i="16" s="1"/>
  <c r="AC6" i="16" s="1"/>
  <c r="AC9" i="16" s="1"/>
  <c r="AC15" i="16" s="1"/>
  <c r="AC27" i="16" s="1"/>
  <c r="AB5" i="16"/>
  <c r="AB54" i="16" s="1"/>
  <c r="AB6" i="16" s="1"/>
  <c r="AA5" i="16"/>
  <c r="AA54" i="16" s="1"/>
  <c r="AA6" i="16" s="1"/>
  <c r="Z5" i="16"/>
  <c r="Z54" i="16" s="1"/>
  <c r="Z6" i="16" s="1"/>
  <c r="Z9" i="16" s="1"/>
  <c r="Z15" i="16" s="1"/>
  <c r="Z27" i="16" s="1"/>
  <c r="Y5" i="16"/>
  <c r="Y54" i="16" s="1"/>
  <c r="Y6" i="16" s="1"/>
  <c r="Y9" i="16" s="1"/>
  <c r="Y15" i="16" s="1"/>
  <c r="Y27" i="16" s="1"/>
  <c r="X5" i="16"/>
  <c r="X54" i="16" s="1"/>
  <c r="X6" i="16" s="1"/>
  <c r="W5" i="16"/>
  <c r="W54" i="16" s="1"/>
  <c r="W6" i="16" s="1"/>
  <c r="V5" i="16"/>
  <c r="V54" i="16" s="1"/>
  <c r="V6" i="16" s="1"/>
  <c r="V9" i="16" s="1"/>
  <c r="V15" i="16" s="1"/>
  <c r="V27" i="16" s="1"/>
  <c r="U5" i="16"/>
  <c r="U54" i="16" s="1"/>
  <c r="U6" i="16" s="1"/>
  <c r="U9" i="16" s="1"/>
  <c r="T5" i="16"/>
  <c r="T54" i="16" s="1"/>
  <c r="T6" i="16" s="1"/>
  <c r="W17" i="2"/>
  <c r="V17" i="2"/>
  <c r="W16" i="2"/>
  <c r="V16" i="2"/>
  <c r="W15" i="2"/>
  <c r="V15" i="2"/>
  <c r="W14" i="2"/>
  <c r="V14" i="2"/>
  <c r="W13" i="2"/>
  <c r="V13" i="2"/>
  <c r="W12" i="2"/>
  <c r="V12" i="2"/>
  <c r="U18" i="2"/>
  <c r="Z96" i="2" s="1"/>
  <c r="R18" i="2"/>
  <c r="Y96" i="2" s="1"/>
  <c r="W6" i="2"/>
  <c r="V6" i="2"/>
  <c r="C14" i="1" l="1"/>
  <c r="J24" i="16"/>
  <c r="EF21" i="16"/>
  <c r="J12" i="16"/>
  <c r="J6" i="16"/>
  <c r="U15" i="16"/>
  <c r="J9" i="16"/>
  <c r="HB33" i="16"/>
  <c r="J33" i="16" s="1"/>
  <c r="J18" i="16"/>
  <c r="G27" i="18"/>
  <c r="E14" i="1" s="1"/>
  <c r="J17" i="16"/>
  <c r="J20" i="16"/>
  <c r="J23" i="16"/>
  <c r="J11" i="16"/>
  <c r="J5" i="16"/>
  <c r="J8" i="16"/>
  <c r="J14" i="16"/>
  <c r="D7" i="1"/>
  <c r="C7" i="1"/>
  <c r="K71" i="4"/>
  <c r="J71" i="4"/>
  <c r="K70" i="4"/>
  <c r="J70" i="4"/>
  <c r="K69" i="4"/>
  <c r="J69" i="4"/>
  <c r="K68" i="4"/>
  <c r="J68" i="4"/>
  <c r="K67" i="4"/>
  <c r="J67" i="4"/>
  <c r="K66" i="4"/>
  <c r="J66" i="4"/>
  <c r="W22" i="5"/>
  <c r="V22" i="5"/>
  <c r="W21" i="5"/>
  <c r="V21" i="5"/>
  <c r="W20" i="5"/>
  <c r="V20" i="5"/>
  <c r="W19" i="5"/>
  <c r="V19" i="5"/>
  <c r="W18" i="5"/>
  <c r="V18" i="5"/>
  <c r="W17" i="5"/>
  <c r="V17" i="5"/>
  <c r="W16" i="5"/>
  <c r="V16" i="5"/>
  <c r="W15" i="5"/>
  <c r="V15" i="5"/>
  <c r="W14" i="5"/>
  <c r="V14" i="5"/>
  <c r="W13" i="5"/>
  <c r="V13" i="5"/>
  <c r="W12" i="5"/>
  <c r="V12" i="5"/>
  <c r="W11" i="5"/>
  <c r="V11" i="5"/>
  <c r="W10" i="5"/>
  <c r="V10" i="5"/>
  <c r="W9" i="5"/>
  <c r="V9" i="5"/>
  <c r="W8" i="5"/>
  <c r="V8" i="5"/>
  <c r="W7" i="5"/>
  <c r="V7" i="5"/>
  <c r="W6" i="5"/>
  <c r="V6" i="5"/>
  <c r="J52" i="16" l="1"/>
  <c r="J54" i="16" s="1"/>
  <c r="J51" i="16" s="1"/>
  <c r="U27" i="16"/>
  <c r="J27" i="16" s="1"/>
  <c r="J15" i="16"/>
  <c r="EF42" i="16"/>
  <c r="J21" i="16"/>
  <c r="J55" i="16" s="1"/>
  <c r="W23" i="5"/>
  <c r="V23" i="5"/>
  <c r="J50" i="16" l="1"/>
  <c r="D8" i="1"/>
  <c r="K65" i="4"/>
  <c r="J65" i="4"/>
  <c r="K64" i="4"/>
  <c r="J64" i="4"/>
  <c r="K63" i="4"/>
  <c r="J63" i="4"/>
  <c r="K62" i="4"/>
  <c r="J62" i="4"/>
  <c r="K61" i="4"/>
  <c r="J61" i="4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K36" i="4"/>
  <c r="J36" i="4"/>
  <c r="K35" i="4"/>
  <c r="J35" i="4"/>
  <c r="K34" i="4"/>
  <c r="J34" i="4"/>
  <c r="K33" i="4"/>
  <c r="J33" i="4"/>
  <c r="K32" i="4"/>
  <c r="J32" i="4"/>
  <c r="K31" i="4"/>
  <c r="J31" i="4"/>
  <c r="K30" i="4"/>
  <c r="J30" i="4"/>
  <c r="K29" i="4"/>
  <c r="J29" i="4"/>
  <c r="K28" i="4"/>
  <c r="J28" i="4"/>
  <c r="K27" i="4"/>
  <c r="J27" i="4"/>
  <c r="K26" i="4"/>
  <c r="J26" i="4"/>
  <c r="K25" i="4"/>
  <c r="J25" i="4"/>
  <c r="K24" i="4"/>
  <c r="J24" i="4"/>
  <c r="K23" i="4"/>
  <c r="J23" i="4"/>
  <c r="K22" i="4"/>
  <c r="J22" i="4"/>
  <c r="K21" i="4"/>
  <c r="J21" i="4"/>
  <c r="K20" i="4"/>
  <c r="J20" i="4"/>
  <c r="K19" i="4"/>
  <c r="J19" i="4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C8" i="1" l="1"/>
  <c r="D10" i="1" l="1"/>
  <c r="K71" i="12"/>
  <c r="J71" i="12"/>
  <c r="K70" i="12"/>
  <c r="J70" i="12"/>
  <c r="K69" i="12"/>
  <c r="J69" i="12"/>
  <c r="K68" i="12"/>
  <c r="J68" i="12"/>
  <c r="K67" i="12"/>
  <c r="J67" i="12"/>
  <c r="K66" i="12"/>
  <c r="J66" i="12"/>
  <c r="K65" i="12"/>
  <c r="J65" i="12"/>
  <c r="K64" i="12"/>
  <c r="J64" i="12"/>
  <c r="K63" i="12"/>
  <c r="J63" i="12"/>
  <c r="K62" i="12"/>
  <c r="J62" i="12"/>
  <c r="K61" i="12"/>
  <c r="J61" i="12"/>
  <c r="K60" i="12"/>
  <c r="J60" i="12"/>
  <c r="K59" i="12"/>
  <c r="J59" i="12"/>
  <c r="K58" i="12"/>
  <c r="J58" i="12"/>
  <c r="K57" i="12"/>
  <c r="J57" i="12"/>
  <c r="K56" i="12"/>
  <c r="J56" i="12"/>
  <c r="K55" i="12"/>
  <c r="J55" i="12"/>
  <c r="K54" i="12"/>
  <c r="J54" i="12"/>
  <c r="K53" i="12"/>
  <c r="J53" i="12"/>
  <c r="K52" i="12"/>
  <c r="J52" i="12"/>
  <c r="K51" i="12"/>
  <c r="J51" i="12"/>
  <c r="K50" i="12"/>
  <c r="J50" i="12"/>
  <c r="K49" i="12"/>
  <c r="J49" i="12"/>
  <c r="K48" i="12"/>
  <c r="J48" i="12"/>
  <c r="K47" i="12"/>
  <c r="J47" i="12"/>
  <c r="K46" i="12"/>
  <c r="J46" i="12"/>
  <c r="K45" i="12"/>
  <c r="J45" i="12"/>
  <c r="K44" i="12"/>
  <c r="J44" i="12"/>
  <c r="K43" i="12"/>
  <c r="J43" i="12"/>
  <c r="K42" i="12"/>
  <c r="J42" i="12"/>
  <c r="K41" i="12"/>
  <c r="J41" i="12"/>
  <c r="K40" i="12"/>
  <c r="J40" i="12"/>
  <c r="K39" i="12"/>
  <c r="J39" i="12"/>
  <c r="K38" i="12"/>
  <c r="J38" i="12"/>
  <c r="K37" i="12"/>
  <c r="J37" i="12"/>
  <c r="K36" i="12"/>
  <c r="J36" i="12"/>
  <c r="K35" i="12"/>
  <c r="J35" i="12"/>
  <c r="K34" i="12"/>
  <c r="J34" i="12"/>
  <c r="K33" i="12"/>
  <c r="J33" i="12"/>
  <c r="K32" i="12"/>
  <c r="J32" i="12"/>
  <c r="K31" i="12"/>
  <c r="J31" i="12"/>
  <c r="K30" i="12"/>
  <c r="J30" i="12"/>
  <c r="K29" i="12"/>
  <c r="J29" i="12"/>
  <c r="K28" i="12"/>
  <c r="J28" i="12"/>
  <c r="K27" i="12"/>
  <c r="J27" i="12"/>
  <c r="K26" i="12"/>
  <c r="J26" i="12"/>
  <c r="K25" i="12"/>
  <c r="J25" i="12"/>
  <c r="K24" i="12"/>
  <c r="J24" i="12"/>
  <c r="K23" i="12"/>
  <c r="J23" i="12"/>
  <c r="K22" i="12"/>
  <c r="J22" i="12"/>
  <c r="K21" i="12"/>
  <c r="J21" i="12"/>
  <c r="K20" i="12"/>
  <c r="J20" i="12"/>
  <c r="K19" i="12"/>
  <c r="J19" i="12"/>
  <c r="K18" i="12"/>
  <c r="J18" i="12"/>
  <c r="K17" i="12"/>
  <c r="J17" i="12"/>
  <c r="K16" i="12"/>
  <c r="J16" i="12"/>
  <c r="K15" i="12"/>
  <c r="J15" i="12"/>
  <c r="K14" i="12"/>
  <c r="J14" i="12"/>
  <c r="K13" i="12"/>
  <c r="J13" i="12"/>
  <c r="K12" i="12"/>
  <c r="J12" i="12"/>
  <c r="K11" i="12"/>
  <c r="J11" i="12"/>
  <c r="K10" i="12"/>
  <c r="J10" i="12"/>
  <c r="K9" i="12"/>
  <c r="J9" i="12"/>
  <c r="K8" i="12"/>
  <c r="J8" i="12"/>
  <c r="K7" i="12"/>
  <c r="J7" i="12"/>
  <c r="K6" i="12"/>
  <c r="J6" i="12"/>
  <c r="K5" i="12"/>
  <c r="J5" i="1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H23" i="15"/>
  <c r="L22" i="15"/>
  <c r="K22" i="15"/>
  <c r="L21" i="15"/>
  <c r="K21" i="15"/>
  <c r="L20" i="15"/>
  <c r="K20" i="15"/>
  <c r="L19" i="15"/>
  <c r="K19" i="15"/>
  <c r="L18" i="15"/>
  <c r="K18" i="15"/>
  <c r="L17" i="15"/>
  <c r="K17" i="15"/>
  <c r="L16" i="15"/>
  <c r="K16" i="15"/>
  <c r="L15" i="15"/>
  <c r="K15" i="15"/>
  <c r="L14" i="15"/>
  <c r="K14" i="15"/>
  <c r="L13" i="15"/>
  <c r="K13" i="15"/>
  <c r="L12" i="15"/>
  <c r="K12" i="15"/>
  <c r="L11" i="15"/>
  <c r="K11" i="15"/>
  <c r="L10" i="15"/>
  <c r="K10" i="15"/>
  <c r="L9" i="15"/>
  <c r="K9" i="15"/>
  <c r="L8" i="15"/>
  <c r="K8" i="15"/>
  <c r="L7" i="15"/>
  <c r="K7" i="15"/>
  <c r="L6" i="15"/>
  <c r="K6" i="15"/>
  <c r="I29" i="10"/>
  <c r="D9" i="1" s="1"/>
  <c r="G29" i="10"/>
  <c r="C9" i="1" s="1"/>
  <c r="K72" i="12" l="1"/>
  <c r="F10" i="1" s="1"/>
  <c r="J72" i="12"/>
  <c r="E10" i="1" s="1"/>
  <c r="C10" i="1"/>
  <c r="C5" i="1"/>
  <c r="D5" i="1"/>
  <c r="D27" i="15"/>
  <c r="D26" i="15"/>
  <c r="D25" i="15"/>
  <c r="K28" i="10" l="1"/>
  <c r="J28" i="10"/>
  <c r="K27" i="10"/>
  <c r="J27" i="10"/>
  <c r="K26" i="10"/>
  <c r="J26" i="10"/>
  <c r="K25" i="10"/>
  <c r="J25" i="10"/>
  <c r="K24" i="10"/>
  <c r="J24" i="10"/>
  <c r="K23" i="10"/>
  <c r="J23" i="10"/>
  <c r="K22" i="10"/>
  <c r="J22" i="10"/>
  <c r="K21" i="10"/>
  <c r="J21" i="10"/>
  <c r="K20" i="10"/>
  <c r="J20" i="10"/>
  <c r="K19" i="10"/>
  <c r="J19" i="10"/>
  <c r="K18" i="10"/>
  <c r="J18" i="10"/>
  <c r="K17" i="10"/>
  <c r="J17" i="10"/>
  <c r="K16" i="10"/>
  <c r="J16" i="10"/>
  <c r="K15" i="10"/>
  <c r="J15" i="10"/>
  <c r="K10" i="10"/>
  <c r="J10" i="10"/>
  <c r="K9" i="10"/>
  <c r="J9" i="10"/>
  <c r="K8" i="10"/>
  <c r="J8" i="10"/>
  <c r="K7" i="10"/>
  <c r="J7" i="10"/>
  <c r="K6" i="10"/>
  <c r="J6" i="10"/>
  <c r="D6" i="1"/>
  <c r="F8" i="1" l="1"/>
  <c r="E8" i="1"/>
  <c r="K29" i="10"/>
  <c r="F9" i="1" s="1"/>
  <c r="J29" i="10"/>
  <c r="E9" i="1" s="1"/>
  <c r="C6" i="1"/>
  <c r="I45" i="10" l="1"/>
  <c r="G45" i="10"/>
  <c r="K6" i="4" l="1"/>
  <c r="J6" i="4"/>
  <c r="W11" i="2"/>
  <c r="V11" i="2"/>
  <c r="W10" i="2"/>
  <c r="V10" i="2"/>
  <c r="W9" i="2"/>
  <c r="V9" i="2"/>
  <c r="W8" i="2"/>
  <c r="V8" i="2"/>
  <c r="W7" i="2"/>
  <c r="V7" i="2"/>
  <c r="K6" i="2"/>
  <c r="K94" i="2" s="1"/>
  <c r="J6" i="2"/>
  <c r="J94" i="2" s="1"/>
  <c r="K75" i="4" l="1"/>
  <c r="F7" i="1" s="1"/>
  <c r="J75" i="4"/>
  <c r="E7" i="1" s="1"/>
  <c r="W18" i="2"/>
  <c r="F6" i="1" s="1"/>
  <c r="V18" i="2"/>
  <c r="E6" i="1" s="1"/>
  <c r="L69" i="6" l="1"/>
  <c r="K69" i="6"/>
  <c r="L68" i="6"/>
  <c r="K68" i="6"/>
  <c r="L67" i="6"/>
  <c r="K67" i="6"/>
  <c r="L66" i="6"/>
  <c r="K66" i="6"/>
  <c r="L65" i="6"/>
  <c r="K65" i="6"/>
  <c r="L64" i="6"/>
  <c r="K64" i="6"/>
  <c r="L63" i="6"/>
  <c r="K63" i="6"/>
  <c r="L62" i="6"/>
  <c r="K62" i="6"/>
  <c r="L61" i="6"/>
  <c r="K61" i="6"/>
  <c r="L60" i="6"/>
  <c r="K60" i="6"/>
  <c r="L59" i="6"/>
  <c r="K59" i="6"/>
  <c r="L58" i="6"/>
  <c r="K58" i="6"/>
  <c r="L57" i="6"/>
  <c r="K57" i="6"/>
  <c r="L56" i="6"/>
  <c r="K56" i="6"/>
  <c r="L55" i="6"/>
  <c r="K55" i="6"/>
  <c r="L54" i="6"/>
  <c r="K54" i="6"/>
  <c r="L53" i="6"/>
  <c r="K53" i="6"/>
  <c r="L52" i="6"/>
  <c r="K52" i="6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L8" i="6"/>
  <c r="K8" i="6"/>
  <c r="L7" i="6"/>
  <c r="K7" i="6"/>
  <c r="L6" i="6"/>
  <c r="K6" i="6"/>
  <c r="L5" i="15"/>
  <c r="K5" i="15"/>
  <c r="K23" i="15" s="1"/>
  <c r="E5" i="1" s="1"/>
  <c r="L23" i="15" l="1"/>
  <c r="F5" i="1" s="1"/>
  <c r="L70" i="6"/>
  <c r="F11" i="1" s="1"/>
  <c r="K70" i="6"/>
  <c r="E11" i="1" s="1"/>
  <c r="F15" i="1" l="1"/>
  <c r="C11" i="1" l="1"/>
  <c r="E15" i="1" l="1"/>
  <c r="F16" i="1" s="1"/>
  <c r="F17" i="1" s="1"/>
  <c r="F18" i="1" s="1"/>
  <c r="F20" i="1" s="1"/>
  <c r="F22" i="1" s="1"/>
  <c r="D11" i="1"/>
  <c r="D15" i="1" l="1"/>
  <c r="C15" i="1" l="1"/>
  <c r="D16" i="1" s="1"/>
  <c r="K54" i="16" l="1"/>
  <c r="K51" i="16"/>
</calcChain>
</file>

<file path=xl/sharedStrings.xml><?xml version="1.0" encoding="utf-8"?>
<sst xmlns="http://schemas.openxmlformats.org/spreadsheetml/2006/main" count="2982" uniqueCount="643">
  <si>
    <t>No</t>
  </si>
  <si>
    <t>Kls</t>
  </si>
  <si>
    <t>Hal</t>
  </si>
  <si>
    <t>Harga</t>
  </si>
  <si>
    <t>1</t>
  </si>
  <si>
    <t>Pkn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</si>
  <si>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</si>
  <si>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</si>
  <si>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</si>
  <si>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</si>
  <si>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</si>
  <si>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</si>
  <si>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</si>
  <si>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</si>
  <si>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</si>
  <si>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</si>
  <si>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</si>
  <si>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</si>
  <si>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Matematika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</si>
  <si>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</si>
  <si>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</si>
  <si>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</si>
  <si>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</si>
  <si>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</si>
  <si>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</si>
  <si>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</si>
  <si>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</si>
  <si>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</si>
  <si>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</si>
  <si>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</si>
  <si>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</si>
  <si>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</si>
  <si>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</si>
  <si>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</si>
  <si>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</si>
  <si>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</si>
  <si>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</si>
  <si>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</si>
  <si>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</si>
  <si>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</si>
  <si>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</si>
  <si>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</si>
  <si>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</si>
  <si>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Penjas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</si>
  <si>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</si>
  <si>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</si>
  <si>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</si>
  <si>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</si>
  <si>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</si>
  <si>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</si>
  <si>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</si>
  <si>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</si>
  <si>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</si>
  <si>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</si>
  <si>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</si>
  <si>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</si>
  <si>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</si>
  <si>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</si>
  <si>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</si>
  <si>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</si>
  <si>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</si>
  <si>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</si>
  <si>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</si>
  <si>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</si>
  <si>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</si>
  <si>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</si>
  <si>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</si>
  <si>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Administrasi Sistem Jaringan</t>
  </si>
  <si>
    <t>Basis Data</t>
  </si>
  <si>
    <t>DAFTAR LKS ZAMRUD  SMP</t>
  </si>
  <si>
    <t>IPA Terpadu</t>
  </si>
  <si>
    <t>IPS Terpadu</t>
  </si>
  <si>
    <t>DAFTAR LKS ZAMRUD SMA</t>
  </si>
  <si>
    <t>61</t>
  </si>
  <si>
    <t>62</t>
  </si>
  <si>
    <t>63</t>
  </si>
  <si>
    <t>Bidang Studi</t>
  </si>
  <si>
    <t>NO</t>
  </si>
  <si>
    <t>Produk</t>
  </si>
  <si>
    <t>Nominal</t>
  </si>
  <si>
    <t>ZAMRUD ESTIMASI SMK</t>
  </si>
  <si>
    <t>Nama</t>
  </si>
  <si>
    <t>Area</t>
  </si>
  <si>
    <t>64</t>
  </si>
  <si>
    <t>65</t>
  </si>
  <si>
    <t>66</t>
  </si>
  <si>
    <t>Bahasa Indonesia</t>
  </si>
  <si>
    <t>Bahasa Inggris</t>
  </si>
  <si>
    <t>Kelas</t>
  </si>
  <si>
    <t>Bahasa Jawa</t>
  </si>
  <si>
    <t>Fajar (MI Terpadu)</t>
  </si>
  <si>
    <t>MI</t>
  </si>
  <si>
    <t xml:space="preserve">Alquran Hadis </t>
  </si>
  <si>
    <t xml:space="preserve">Fikih </t>
  </si>
  <si>
    <t xml:space="preserve">Akidah Akhlak </t>
  </si>
  <si>
    <t xml:space="preserve">SKI </t>
  </si>
  <si>
    <t xml:space="preserve">Bahasa Arab </t>
  </si>
  <si>
    <t>Alquran Hadis</t>
  </si>
  <si>
    <t>MTs</t>
  </si>
  <si>
    <t>Fikih</t>
  </si>
  <si>
    <t>Akidah Akhlak</t>
  </si>
  <si>
    <t>Sejarah Kebudayaan Islam</t>
  </si>
  <si>
    <t>Bahasa Arab</t>
  </si>
  <si>
    <t xml:space="preserve">MA </t>
  </si>
  <si>
    <t>TINGKAT</t>
  </si>
  <si>
    <t>Madrasah</t>
  </si>
  <si>
    <t>Biaya Kirim</t>
  </si>
  <si>
    <t>TOTAL</t>
  </si>
  <si>
    <t>PEMBAYARAN</t>
  </si>
  <si>
    <t>SALDO</t>
  </si>
  <si>
    <t>Gambar Teknik Manufaktur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</si>
  <si>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</si>
  <si>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</si>
  <si>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</si>
  <si>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</si>
  <si>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</si>
  <si>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</si>
  <si>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</si>
  <si>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</si>
  <si>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</si>
  <si>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</si>
  <si>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</si>
  <si>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</si>
  <si>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</si>
  <si>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</si>
  <si>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</si>
  <si>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</si>
  <si>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</si>
  <si>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</si>
  <si>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</si>
  <si>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</si>
  <si>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</si>
  <si>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</si>
  <si>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</si>
  <si>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</si>
  <si>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</si>
  <si>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 xml:space="preserve">Area </t>
  </si>
  <si>
    <t>( ………………………………………………………..)</t>
  </si>
  <si>
    <t>Tanda tangan dan nama Terang</t>
  </si>
  <si>
    <t>Informatika</t>
  </si>
  <si>
    <t>BIDANG STUDY KUR 13</t>
  </si>
  <si>
    <t>DAFTAR ESTIMASI ZAMRUD MADRASAH</t>
  </si>
  <si>
    <t>TIK</t>
  </si>
  <si>
    <t>Potongan</t>
  </si>
  <si>
    <t>Pembelian Netto</t>
  </si>
  <si>
    <t>Tanggal</t>
  </si>
  <si>
    <t>:</t>
  </si>
  <si>
    <t>Ket :</t>
  </si>
  <si>
    <t xml:space="preserve">Diisi </t>
  </si>
  <si>
    <t>REKAP ESTIMASI ZAMRUD</t>
  </si>
  <si>
    <t>Pengelolaan Bengkel Sepeda Motor</t>
  </si>
  <si>
    <t>Teknik Pemesinan Bubut</t>
  </si>
  <si>
    <t>Teknik Pemesinan Gerinda</t>
  </si>
  <si>
    <t>PJOK</t>
  </si>
  <si>
    <t>Pendidikan Agama Islam</t>
  </si>
  <si>
    <t>Seni Musik</t>
  </si>
  <si>
    <t>Seni Rupa</t>
  </si>
  <si>
    <t>Seni Tari</t>
  </si>
  <si>
    <t>Seni Teater</t>
  </si>
  <si>
    <t>PPkn</t>
  </si>
  <si>
    <t>Matematika [ SMA / SMK ]</t>
  </si>
  <si>
    <t>Bahasa Inggris [ SMA ]</t>
  </si>
  <si>
    <t>Penjas [ SMA / SMK ]</t>
  </si>
  <si>
    <t>Pendidikan Agama Islam [ SMA / SMK ]</t>
  </si>
  <si>
    <t>Seni Musik [ SMA / SMK ]</t>
  </si>
  <si>
    <t>Seni Rupa [ SMA / SMK ]</t>
  </si>
  <si>
    <t>Seni Tari [ SMA / SMK ]</t>
  </si>
  <si>
    <t>Seni Teater [ SMA / SMK ]</t>
  </si>
  <si>
    <t>Informatika [ SMA ]</t>
  </si>
  <si>
    <t>Kode</t>
  </si>
  <si>
    <t>CATATAN :</t>
  </si>
  <si>
    <t>(Mohon diisi)</t>
  </si>
  <si>
    <t>Bahasa Indonesia tk. Lanjut [ SMA ]</t>
  </si>
  <si>
    <t>Matematika tk. Lanjut [ SMA ]</t>
  </si>
  <si>
    <t>Fisika [ SMA ]</t>
  </si>
  <si>
    <t>Biologi [ SMA ]</t>
  </si>
  <si>
    <t>Ekonomi [ SMA ]</t>
  </si>
  <si>
    <t>Geografi [ SMA ]</t>
  </si>
  <si>
    <t>Sosiologi [ SMA ]</t>
  </si>
  <si>
    <t>Antropologi [ SMA ]</t>
  </si>
  <si>
    <t>Bahasa Inggris tk. Lanjut [ SMA ]</t>
  </si>
  <si>
    <t>Jenjang</t>
  </si>
  <si>
    <t>Jenis</t>
  </si>
  <si>
    <t>SD</t>
  </si>
  <si>
    <t>SMP</t>
  </si>
  <si>
    <t>SMA</t>
  </si>
  <si>
    <t>SMK</t>
  </si>
  <si>
    <t>MTS</t>
  </si>
  <si>
    <t>AKM</t>
  </si>
  <si>
    <t>AKMI</t>
  </si>
  <si>
    <t>SMA-SMK</t>
  </si>
  <si>
    <t>MAK</t>
  </si>
  <si>
    <t>NO SPB</t>
  </si>
  <si>
    <t>Sample</t>
  </si>
  <si>
    <t>Jumlah</t>
  </si>
  <si>
    <t>Rencana</t>
  </si>
  <si>
    <t>Tgl Pesanan/</t>
  </si>
  <si>
    <t>BAJATIM</t>
  </si>
  <si>
    <t>Produktif</t>
  </si>
  <si>
    <t>Kimia [ SMA ]</t>
  </si>
  <si>
    <t>Buku</t>
  </si>
  <si>
    <t>Penj/Retur</t>
  </si>
  <si>
    <t>Expl</t>
  </si>
  <si>
    <t>Ekspedisi</t>
  </si>
  <si>
    <t xml:space="preserve"> Tgl.Kirim</t>
  </si>
  <si>
    <t>Tgl. Retur dtg</t>
  </si>
  <si>
    <t>PG BAJATIM</t>
  </si>
  <si>
    <t>ORDER LKS</t>
  </si>
  <si>
    <t>PG Beli</t>
  </si>
  <si>
    <t>PG BELI</t>
  </si>
  <si>
    <t>Exp LKS</t>
  </si>
  <si>
    <t>Exp PG</t>
  </si>
  <si>
    <t>Harga PG</t>
  </si>
  <si>
    <t>Nominal LKS</t>
  </si>
  <si>
    <t>Nominal PG</t>
  </si>
  <si>
    <t>Total Pengambilan</t>
  </si>
  <si>
    <t>Eksemplar</t>
  </si>
  <si>
    <t>Pengisian PG adalah untuk yang beli saja selain sample yang didapatkan. PG SD setingkat 40: 1 selain SD 100: 1</t>
  </si>
  <si>
    <t>LKS</t>
  </si>
  <si>
    <t>PG</t>
  </si>
  <si>
    <t>Penjualan</t>
  </si>
  <si>
    <t>Batas</t>
  </si>
  <si>
    <t>Bidang Studi Kur. Merdeka</t>
  </si>
  <si>
    <t>KUR. Mer SD Terpadu</t>
  </si>
  <si>
    <t>Prakarya &amp; KWU - Budidaya</t>
  </si>
  <si>
    <t>Prakarya &amp; KWU - Kerajinan</t>
  </si>
  <si>
    <t>Prakarya &amp; KWU - Pengolahan</t>
  </si>
  <si>
    <t>Prakarya &amp; KWU - Rekayasa</t>
  </si>
  <si>
    <t>Bidang Studi Kur Merdeka</t>
  </si>
  <si>
    <t>PPkn [ SMA/SMK ]</t>
  </si>
  <si>
    <t>Bahasa Indonesia [ SMA/ SMK ]</t>
  </si>
  <si>
    <t>Sejarah [ SMA ]</t>
  </si>
  <si>
    <t>Seni Musik [ SMA ]</t>
  </si>
  <si>
    <t>Seni Rupa [ SMA ]</t>
  </si>
  <si>
    <t>Seni Tari [ SMA ]</t>
  </si>
  <si>
    <t>Seni Teater [ SMA ]</t>
  </si>
  <si>
    <t>Informatika SMK</t>
  </si>
  <si>
    <t>Teknik Jaringan Komputer dan Telekomunikasi</t>
  </si>
  <si>
    <t>Bidang Studi KUR. MERDEKA</t>
  </si>
  <si>
    <t>No. Est</t>
  </si>
  <si>
    <t>BAJATIM SD Merdeka</t>
  </si>
  <si>
    <t>Bhs. Jawa Timur Merdeka</t>
  </si>
  <si>
    <t>Bim. Konseling  Merdeka</t>
  </si>
  <si>
    <t>Bahasa Jawa Timur Merdeka</t>
  </si>
  <si>
    <t>MERDEKA</t>
  </si>
  <si>
    <t>Bahasa Jawa Tengah</t>
  </si>
  <si>
    <t>Bhs. JATENG Merdeka</t>
  </si>
  <si>
    <t>Teknik Pemesinan frais</t>
  </si>
  <si>
    <t>Teknik Pemesinan Nonkonvensional</t>
  </si>
  <si>
    <t>Konversi Energi Kendaraan Ringan</t>
  </si>
  <si>
    <t>Proses Pelayanan dan Manajemen Bengkel Kendaraan Ringan</t>
  </si>
  <si>
    <t>Prosedur Penggunaan Kendaraan Ringan</t>
  </si>
  <si>
    <t>Perawatan Berkala Kendaraan Ringan</t>
  </si>
  <si>
    <t>Sistem Engine Kendaraan Ringan</t>
  </si>
  <si>
    <t>Sistem Pemindah Tenaga Kendaraan Ringan</t>
  </si>
  <si>
    <t>Sistem Sasis Kendaraan Ringan</t>
  </si>
  <si>
    <t>Sistem Elektrikal Kendaraan Ringan</t>
  </si>
  <si>
    <t>Sistem Pengaman dan Sistem Kontrol Elektronik Kendaraan Ringan</t>
  </si>
  <si>
    <t>Perawatan dan Perbaikan Engine Sepeda Motor</t>
  </si>
  <si>
    <t>Perawatan dan Perbaikan Sasis Sepeda Motor</t>
  </si>
  <si>
    <t>Perawatan dan Perbaikan Sistem Pemindah Tenaga Sepeda Motor</t>
  </si>
  <si>
    <t>Perawatan dan Perbaikan Sistem Kelistrikan Sepeda Motor</t>
  </si>
  <si>
    <t>Perawatan dan Perbaikan Sepeda Motor Listrik dan Hybrid</t>
  </si>
  <si>
    <t>Perawatan dan Perbaikan Engine Management System Sepeda Motor</t>
  </si>
  <si>
    <t>Pemrograman Berbasis Teks, Grafis, dan Multimedia</t>
  </si>
  <si>
    <t>Pemrograman Web</t>
  </si>
  <si>
    <t>Pemrograman Perangkat Bergerak</t>
  </si>
  <si>
    <t>Perencanaan dan Pengalamatan Jaringan</t>
  </si>
  <si>
    <t>Teknologi Jaringan Kabel dan Nirkabel</t>
  </si>
  <si>
    <t>Keamanan Jaringan</t>
  </si>
  <si>
    <t>Pemasangan dan Konfigurasi Perangkat Jaringan</t>
  </si>
  <si>
    <t>Teknik Kerja Bengkel dan Kelistrikan</t>
  </si>
  <si>
    <t>Sistem Komputer, Elektronika dan Mikroprosesor</t>
  </si>
  <si>
    <t>FTTx</t>
  </si>
  <si>
    <t>VSAT</t>
  </si>
  <si>
    <t>Customer Premise Equipment</t>
  </si>
  <si>
    <t>Marketing</t>
  </si>
  <si>
    <t>Perencanaan bisnis</t>
  </si>
  <si>
    <t>Komunikasi bisnis</t>
  </si>
  <si>
    <t>Digital branding</t>
  </si>
  <si>
    <t>Digital onboarding</t>
  </si>
  <si>
    <t>Digital marketing</t>
  </si>
  <si>
    <t>Digital operation</t>
  </si>
  <si>
    <t>Customer service</t>
  </si>
  <si>
    <t>Pengelolaan bisnis ritel</t>
  </si>
  <si>
    <t>Strategi marketing visual merchandising</t>
  </si>
  <si>
    <t>Pengemasan dan pendistribusian produk</t>
  </si>
  <si>
    <t>Administrasi transaksi</t>
  </si>
  <si>
    <t>Pengelolaan administrasi umum</t>
  </si>
  <si>
    <t>Komunikasi di tempat kerja</t>
  </si>
  <si>
    <t>Pengelolaan kearsipan</t>
  </si>
  <si>
    <t>Teknologi Perkantoran</t>
  </si>
  <si>
    <t xml:space="preserve">Pengelolaan rapat/pertemuan </t>
  </si>
  <si>
    <t>Pengelolaan keuangan sederhana</t>
  </si>
  <si>
    <t>Pengelolaan sumber daya manusia (SDM)</t>
  </si>
  <si>
    <t>Pengelolaan sarana dan prasarana</t>
  </si>
  <si>
    <t>Pengelolaan humas dan keprotokolan</t>
  </si>
  <si>
    <t>Perpajakan</t>
  </si>
  <si>
    <t>Akuntansi perusahaan jasa, dagang dan manufaktur</t>
  </si>
  <si>
    <t>Akuntansi lembaga/instansi pemerintah</t>
  </si>
  <si>
    <t>Akuntansi keuangan</t>
  </si>
  <si>
    <t>Komputer akuntansi</t>
  </si>
  <si>
    <t xml:space="preserve">Front Office </t>
  </si>
  <si>
    <t>Housekeeping dan Laundry</t>
  </si>
  <si>
    <t>Food and Beverage Service</t>
  </si>
  <si>
    <t>Prinsip Dasar Desain dan Komunikasi</t>
  </si>
  <si>
    <t>Perangkat Lunak Desain</t>
  </si>
  <si>
    <t>Menerapkan Design Brief</t>
  </si>
  <si>
    <t>Karya Desain</t>
  </si>
  <si>
    <t>Proses Produksi Desain</t>
  </si>
  <si>
    <t xml:space="preserve">Manajemen Perkantoran dan Layanan Bisnis  </t>
  </si>
  <si>
    <t xml:space="preserve">Pengembangan Perangkat Lunak dan Gim  </t>
  </si>
  <si>
    <t xml:space="preserve">Teknik Mesin  </t>
  </si>
  <si>
    <r>
      <t xml:space="preserve">ZAMRUD </t>
    </r>
    <r>
      <rPr>
        <sz val="24"/>
        <rFont val="Berlin Sans FB Demi"/>
        <family val="2"/>
      </rPr>
      <t>PRODUKTIF</t>
    </r>
    <r>
      <rPr>
        <sz val="18"/>
        <rFont val="Franklin Gothic Medium Cond"/>
        <family val="2"/>
      </rPr>
      <t xml:space="preserve">  KURMER   </t>
    </r>
  </si>
  <si>
    <t>P5 SD</t>
  </si>
  <si>
    <t>P5 SMP</t>
  </si>
  <si>
    <t>P5 SMA</t>
  </si>
  <si>
    <t>ESTIMASI ZAMRUD AKM - AKMI - P5</t>
  </si>
  <si>
    <t>IPAS Semester 1</t>
  </si>
  <si>
    <t>IPAS Semester 2</t>
  </si>
  <si>
    <t>AKM &amp; P5</t>
  </si>
  <si>
    <t xml:space="preserve">Produktif </t>
  </si>
  <si>
    <t>SD MERDEKA</t>
  </si>
  <si>
    <t>SMP MERDEKA</t>
  </si>
  <si>
    <t>SMA MERDEKA</t>
  </si>
  <si>
    <t>SMK MERDEKA</t>
  </si>
  <si>
    <t xml:space="preserve">Jumlah </t>
  </si>
  <si>
    <t>Informatika Merdeka</t>
  </si>
  <si>
    <t>Terkirim</t>
  </si>
  <si>
    <t>Sejarah TL [ SMA ]</t>
  </si>
  <si>
    <t>Pendidikan Pancasila SMA/SMK</t>
  </si>
  <si>
    <t>Bahasa Indonesia SMA/SMK</t>
  </si>
  <si>
    <t>Matematika SMA/SMK</t>
  </si>
  <si>
    <t>Matematika Tingkat Lanjut SMA</t>
  </si>
  <si>
    <t>Fisika SMA</t>
  </si>
  <si>
    <t>Biologi SMA</t>
  </si>
  <si>
    <t>Kimia SMA</t>
  </si>
  <si>
    <t>Sejarah SMA/SMK</t>
  </si>
  <si>
    <t>Ekonomi SMA</t>
  </si>
  <si>
    <t>Geografi SMA</t>
  </si>
  <si>
    <t>Sosiologi SMA</t>
  </si>
  <si>
    <t>Bahasa Inggris SMA/SMK</t>
  </si>
  <si>
    <t>Pend. Agama Islam &amp; BP SMA/SMK</t>
  </si>
  <si>
    <t>Pendidikan Pancasila</t>
  </si>
  <si>
    <t>HIKMAH</t>
  </si>
  <si>
    <t>FATTAH</t>
  </si>
  <si>
    <t>FITRAH</t>
  </si>
  <si>
    <t>Petunjuk pengisian :</t>
  </si>
  <si>
    <t>c. Pada sheet REKAP mohon diisi nama area dan tanggal</t>
  </si>
  <si>
    <t>Estimasi Mohon Segera di Masukkan demi ketersediaan stok dikemudian hari</t>
  </si>
  <si>
    <t>TIDAK UNTUK DIISI</t>
  </si>
  <si>
    <t xml:space="preserve">a. Silahkan diisi pada sheet selain REKAP dan Base sesuai yang dibutuhkan </t>
  </si>
  <si>
    <t>SMA_SMK</t>
  </si>
  <si>
    <t>Jumlah Halaman</t>
  </si>
  <si>
    <t>Finishing</t>
  </si>
  <si>
    <t>BENDING</t>
  </si>
  <si>
    <t>Wireless Access</t>
  </si>
  <si>
    <t>Pemasaran</t>
  </si>
  <si>
    <t>Perhotelan</t>
  </si>
  <si>
    <t>IPAS [SMK] / 1 tahun</t>
  </si>
  <si>
    <t>Sejarah [ SMK ]</t>
  </si>
  <si>
    <t>Sejarah [ SMK ] / 1 tahun</t>
  </si>
  <si>
    <t>IPAS Rumpun Bisnis</t>
  </si>
  <si>
    <t>IPAS Rumpun Kesehatan</t>
  </si>
  <si>
    <t xml:space="preserve">IPAS Rumpun Teknologi </t>
  </si>
  <si>
    <t xml:space="preserve">Akuntansi dan Keuangan Lembaga  </t>
  </si>
  <si>
    <t xml:space="preserve">Desain Komunikasi Visual   </t>
  </si>
  <si>
    <t xml:space="preserve">Seni Rupa </t>
  </si>
  <si>
    <t xml:space="preserve">Teknik Otomotif  </t>
  </si>
  <si>
    <t>INTENS SMK</t>
  </si>
  <si>
    <t>Sejarah TL SMA</t>
  </si>
  <si>
    <t>B. Inggris Tingkat Lanjut SMA</t>
  </si>
  <si>
    <t>PJOK SMA/SMK</t>
  </si>
  <si>
    <t>Informatika SMA</t>
  </si>
  <si>
    <t>Bahasa Indonesia [ SMA/ SMK ] 1 Tahun</t>
  </si>
  <si>
    <t>Bahasa Indonesia tk. Lanjut [ SMA ] 1 Tahun</t>
  </si>
  <si>
    <t>Matematika [ SMA / SMK ] 1 Tahun</t>
  </si>
  <si>
    <t>Matematika tk. Lanjut [ SMA ] 1 Tahun</t>
  </si>
  <si>
    <t>Fisika [ SMA ] 1 Tahun</t>
  </si>
  <si>
    <t>Biologi [ SMA ] 1 Tahun</t>
  </si>
  <si>
    <t>Kimia [ SMA ] 1 Tahun</t>
  </si>
  <si>
    <t>Sejarah [ SMA ] 1 Tahun</t>
  </si>
  <si>
    <t>Sejarah TL [ SMA ] 1 Tahun</t>
  </si>
  <si>
    <t>Ekonomi [ SMA ] 1 Tahun</t>
  </si>
  <si>
    <t>Geografi [ SMA ] 1 Tahun</t>
  </si>
  <si>
    <t>Sosiologi [ SMA ] 1 Tahun</t>
  </si>
  <si>
    <t>Antropologi [ SMA ] 1 Tahun</t>
  </si>
  <si>
    <t>Bahasa Inggris [ SMA ] 1 Tahun</t>
  </si>
  <si>
    <t>Bahasa Inggris tk. Lanjut [ SMA ] 1 Tahun</t>
  </si>
  <si>
    <t>Penjas [ SMA / SMK ] 1 Tahun</t>
  </si>
  <si>
    <t>Pendidikan Agama Islam [ SMA / SMK ] 1 Tahun</t>
  </si>
  <si>
    <t>Seni Musik [ SMA ] 1 Tahun</t>
  </si>
  <si>
    <t>Seni Rupa [ SMA ] 1 Tahun</t>
  </si>
  <si>
    <t>Seni Tari [ SMA ] 1 Tahun</t>
  </si>
  <si>
    <t>Seni Teater [ SMA ] 1 Tahun</t>
  </si>
  <si>
    <t>Prakarya &amp; KWU - Budidaya 1 Tahun</t>
  </si>
  <si>
    <t>Prakarya &amp; KWU - Kerajinan 1 Tahun</t>
  </si>
  <si>
    <t>Prakarya &amp; KWU - Pengolahan 1 Tahun</t>
  </si>
  <si>
    <t>Prakarya &amp; KWU - Rekayasa 1 Tahun</t>
  </si>
  <si>
    <t>Bahasa Jawa Tengah 1 Tahun</t>
  </si>
  <si>
    <t>Informatika [ SMA ] 1 Tahun</t>
  </si>
  <si>
    <t>Bim. Konseling  Merdeka 1 Tahun</t>
  </si>
  <si>
    <t>Bahasa Jawa Timur Merdeka 1 Tahun</t>
  </si>
  <si>
    <t>Seni Terpadu</t>
  </si>
  <si>
    <t>Prakarya Terpadu</t>
  </si>
  <si>
    <t>b. Jangan mengganti apapun selain order pada colom yang telah disediakan data di atas jika ada penambahan mohon dibuat tersendiri.</t>
  </si>
  <si>
    <t>MADRASAH</t>
  </si>
  <si>
    <t>INTENS SMA</t>
  </si>
  <si>
    <t>Prima</t>
  </si>
  <si>
    <t>PG SD</t>
  </si>
  <si>
    <t>PG SMP</t>
  </si>
  <si>
    <t>PG SMA</t>
  </si>
  <si>
    <t>PG SMK</t>
  </si>
  <si>
    <t>PG MADRASAH</t>
  </si>
  <si>
    <t>PG INTENS SMA</t>
  </si>
  <si>
    <t>PG INTENS SMK</t>
  </si>
  <si>
    <t>Intens SMA</t>
  </si>
  <si>
    <t>Intens SMK</t>
  </si>
  <si>
    <t>Karima (SD Merdeka Terpadu)</t>
  </si>
  <si>
    <t>IPAS smt 1</t>
  </si>
  <si>
    <t>IPAS smt 2</t>
  </si>
  <si>
    <t>Pendidikan Agama Islam dan BP</t>
  </si>
  <si>
    <t>Prakarya Kerajinan</t>
  </si>
  <si>
    <t>Prakarya Pengolahan</t>
  </si>
  <si>
    <t>Pengembangan Diri</t>
  </si>
  <si>
    <t>Pendidikan Pancasila [ SMA/SMK ]</t>
  </si>
  <si>
    <t>Bahasa Inggris [ SMA/SMK ]</t>
  </si>
  <si>
    <t>Pendidikan Agama Islam &amp; BP [ SMA / SMK ]</t>
  </si>
  <si>
    <t>Prakarya  Pengolahan</t>
  </si>
  <si>
    <t>Informatika [ SMK ]</t>
  </si>
  <si>
    <t>IPAS [SMK]</t>
  </si>
  <si>
    <t>Bahasa Jawa Timur</t>
  </si>
  <si>
    <t>Prakarya Budidaya</t>
  </si>
  <si>
    <t>Prakarya Rekayasa</t>
  </si>
  <si>
    <t>Seni Teater [ SMA/SMK ]</t>
  </si>
  <si>
    <t>Sejarah SMA</t>
  </si>
  <si>
    <t>PRIMA</t>
  </si>
  <si>
    <t>PG PRIMA</t>
  </si>
  <si>
    <t>DAFTAR ESTIMASI ZAMRUD SD MERDEKA</t>
  </si>
  <si>
    <t>Hal PG</t>
  </si>
  <si>
    <t>Jurnal 7 Kebiasaan Anak Hebat Indonesia</t>
  </si>
  <si>
    <t>Sekolahku - SMT. 1</t>
  </si>
  <si>
    <t>Kasihku untuk Ayah dan Ibu - SMT. 1</t>
  </si>
  <si>
    <t>Aku Cinta Lingkungan  - SMT. 1</t>
  </si>
  <si>
    <t>Aku Anak Indonesia - SMT. 2</t>
  </si>
  <si>
    <t>Aku Bisa Jaga Diri - SMT. 2</t>
  </si>
  <si>
    <t>Liburanku Seru! - SMT. 2</t>
  </si>
  <si>
    <t>Fisik Motorik - TK A</t>
  </si>
  <si>
    <t>Calistung - TK A</t>
  </si>
  <si>
    <t>Baca Tulis Al-Qur'an - TK A</t>
  </si>
  <si>
    <t>Mengenal Huruf Hijaiyah - TK A</t>
  </si>
  <si>
    <t>Belajar di Sekolah - SMT. 1</t>
  </si>
  <si>
    <t>Keluarga dan Teman Kita - SMT. 1</t>
  </si>
  <si>
    <t>Merawat Lingkungan - SMT. 1</t>
  </si>
  <si>
    <t>Aku Cinta Indonesia - SMT. 2</t>
  </si>
  <si>
    <t>Ayo Menjaga Diri - SMT. 2</t>
  </si>
  <si>
    <t>Asyiknya Liburanku! - SMT. 2</t>
  </si>
  <si>
    <t>Fisik Motorik - TK B</t>
  </si>
  <si>
    <t>Calistung - TK B</t>
  </si>
  <si>
    <t>Baca Tulis Al-Qur'an - TK B</t>
  </si>
  <si>
    <t>Mengenal Huruf Hijaiyah - TK B</t>
  </si>
  <si>
    <t>UMUM</t>
  </si>
  <si>
    <t>TK A</t>
  </si>
  <si>
    <t>TK B</t>
  </si>
  <si>
    <t>JURNAL &amp; TK</t>
  </si>
  <si>
    <t>TK</t>
  </si>
  <si>
    <t>Jurnal</t>
  </si>
  <si>
    <t>Umum</t>
  </si>
  <si>
    <t>DAFTAR BUKU TES KEMAMPUAN AKADEMIS ZAMRUD</t>
  </si>
  <si>
    <t>Tingkat</t>
  </si>
  <si>
    <t>Bidang</t>
  </si>
  <si>
    <t>ORDER</t>
  </si>
  <si>
    <t>SD/MI</t>
  </si>
  <si>
    <t>TKA SD TERPADU</t>
  </si>
  <si>
    <t>TKA SD Bahasa Indonesia</t>
  </si>
  <si>
    <t>TKA SD Matematika</t>
  </si>
  <si>
    <t>SMP/MTS</t>
  </si>
  <si>
    <t>TKA SMP Bahasa Indonesia</t>
  </si>
  <si>
    <t>TKA SMP Matematika</t>
  </si>
  <si>
    <t>SMA-SMK/MA</t>
  </si>
  <si>
    <t>TKA SMA Pendidikan Pancasila</t>
  </si>
  <si>
    <t>TKA SMA Bahasa Indonesia</t>
  </si>
  <si>
    <t>TKA SMA Bahasa Indonesia Tingkat Lanjut</t>
  </si>
  <si>
    <t>TKA SMA Matematika</t>
  </si>
  <si>
    <t>TKA SMA Matematika Tingkat Lanjut</t>
  </si>
  <si>
    <t>TKA SMA Fisika</t>
  </si>
  <si>
    <t>TKA SMA Biologi</t>
  </si>
  <si>
    <t>TKA SMA Kimia</t>
  </si>
  <si>
    <t>TKA SMA Sejarah</t>
  </si>
  <si>
    <t>TKA SMA Ekonomi</t>
  </si>
  <si>
    <t>TKA SMA Geografi</t>
  </si>
  <si>
    <t>TKA SMA Sosiologi</t>
  </si>
  <si>
    <t>TKA SMA Baha Inggris</t>
  </si>
  <si>
    <t>TKA SMA Baha Inggris Tingkat Lanjut</t>
  </si>
  <si>
    <t>TKA SMK/MAK Produk/Projek Kreatif dan Kewirausahaan</t>
  </si>
  <si>
    <t>SD Terpadu - PSAJ SD</t>
  </si>
  <si>
    <t>Pendidikan Agama Islam dan Budi Pekerti - PSAJ SD</t>
  </si>
  <si>
    <t>PPKn  - PSAJ SMP</t>
  </si>
  <si>
    <t>Bahasa Indonesia - PSAJ SMP</t>
  </si>
  <si>
    <t>Matematika - PSAJ SMP</t>
  </si>
  <si>
    <t>IPA - PSAJ SMP</t>
  </si>
  <si>
    <t>IPS - PSAJ SMP</t>
  </si>
  <si>
    <t>Bahasa Inggris - PSAJ SMP</t>
  </si>
  <si>
    <t>Pendidikan Agama Islam dan Budi Pekerti - PSAJ SMP</t>
  </si>
  <si>
    <t>Pendidikan Pancasila SMA/SMK - PSAJ</t>
  </si>
  <si>
    <t>Bahasa Indonesia SMA/SMK - PSAJ</t>
  </si>
  <si>
    <t>Matematika SMA/SMK - PSAJ</t>
  </si>
  <si>
    <t>Matematika Tingkat Lanjut SMA - PSAJ</t>
  </si>
  <si>
    <t>Fisika SMA - PSAJ</t>
  </si>
  <si>
    <t>Biologi SMA - PSAJ</t>
  </si>
  <si>
    <t>Kimia SMA - PSAJ</t>
  </si>
  <si>
    <t>Sejarah SMA/SMK - PSAJ</t>
  </si>
  <si>
    <t>Ekonomi SMA - PSAJ</t>
  </si>
  <si>
    <t>Geografi SMA - PSAJ</t>
  </si>
  <si>
    <t>Sosiologi SMA - PSAJ</t>
  </si>
  <si>
    <t>Bahasa Inggris SMA/SMK - PSAJ</t>
  </si>
  <si>
    <t>Bahasa Inggris Tingkat Lanjut SMA - PSAJ</t>
  </si>
  <si>
    <t>Pend. Agama Islam &amp; BP SMA/SMK - PSAJ</t>
  </si>
  <si>
    <t>MI TERPADU - UJIAN MADRASAH</t>
  </si>
  <si>
    <t>Alquran Hadis - UJIAN MADRASAH</t>
  </si>
  <si>
    <t>Fikih - UJIAN MADRASAH</t>
  </si>
  <si>
    <t>Akidah Akhlak - UJIAN MADRASAH</t>
  </si>
  <si>
    <t>Sejarah Kebudayaan Islam - UJIAN MADRASAH</t>
  </si>
  <si>
    <t>Bahasa Arab - UJIAN MADRASAH</t>
  </si>
  <si>
    <t>TK Akademik</t>
  </si>
  <si>
    <t>TKA SMP</t>
  </si>
  <si>
    <t>TKA SMA</t>
  </si>
  <si>
    <t>US SD</t>
  </si>
  <si>
    <t>US SMP</t>
  </si>
  <si>
    <t>US SMA</t>
  </si>
  <si>
    <t>Koding SD</t>
  </si>
  <si>
    <t>Indonesia</t>
  </si>
  <si>
    <t>Pancasila</t>
  </si>
  <si>
    <t>Indo TK ljt</t>
  </si>
  <si>
    <t>Mat Tk Lanjut</t>
  </si>
  <si>
    <t>Fisika</t>
  </si>
  <si>
    <t>Biologi</t>
  </si>
  <si>
    <t>Kimia</t>
  </si>
  <si>
    <t>Sejarah</t>
  </si>
  <si>
    <t>Ekonomi</t>
  </si>
  <si>
    <t>Geografi</t>
  </si>
  <si>
    <t>Sosiologi</t>
  </si>
  <si>
    <t>Inggris</t>
  </si>
  <si>
    <t>Ingg Tk Lanjut</t>
  </si>
  <si>
    <t>PKK</t>
  </si>
  <si>
    <t>SD TERPADU</t>
  </si>
  <si>
    <t>PG TK AKADEMIK</t>
  </si>
  <si>
    <t>Koding</t>
  </si>
  <si>
    <t>KODING</t>
  </si>
  <si>
    <r>
      <t>PPkn [ SMA/SMK ]</t>
    </r>
    <r>
      <rPr>
        <b/>
        <sz val="11"/>
        <color indexed="8"/>
        <rFont val="Calibri"/>
        <family val="2"/>
      </rPr>
      <t xml:space="preserve"> 1 Tahun</t>
    </r>
  </si>
  <si>
    <t>KREATIVITAS, INOVASI, DAN KEWIRAUSAHAAN</t>
  </si>
  <si>
    <t>2.1.1 Teknik Pemesinan</t>
  </si>
  <si>
    <t>2.1.4 Desain Gambar Mesin</t>
  </si>
  <si>
    <t>Gambar Teknik Mesin (2024)</t>
  </si>
  <si>
    <t>Pekerjaan Dasar Teknik Mesin (2024)</t>
  </si>
  <si>
    <t>Dasar Perancangan Teknik Mesin (2024)</t>
  </si>
  <si>
    <t>Teknik Gambar Konstruksi</t>
  </si>
  <si>
    <t>Teknik Gambar Produksi</t>
  </si>
  <si>
    <t>Teknik Merancang dengan CAM</t>
  </si>
  <si>
    <t>2.2.1 Teknik Kendaraan Ringan</t>
  </si>
  <si>
    <t>Sistem Pengaman dan Sistem Kontrol Elektronik Kendaraan Ringan (2024)</t>
  </si>
  <si>
    <t>2.2.2 Teknik Sepeda Motor</t>
  </si>
  <si>
    <t>4.1.1 Rekayasa Perangkat Lunak</t>
  </si>
  <si>
    <t>4.2.1 Teknik Komputer dan Jaringan</t>
  </si>
  <si>
    <t>8.2.1 Manajemen Perkantoran</t>
  </si>
  <si>
    <t>Pengelolaan keuangan sederhana (2024)</t>
  </si>
  <si>
    <t>Pengelolaan sumber daya manusia (2024)</t>
  </si>
  <si>
    <t>Pengelolaan sarana dan prasarana (2024)</t>
  </si>
  <si>
    <t>Pengelolaan humas dan keprotokolan (2024)</t>
  </si>
  <si>
    <t>Pelayanan Kepada Kolega dan Pelanggan</t>
  </si>
  <si>
    <t>8.3.3 Akuntansi</t>
  </si>
  <si>
    <t>10.2.1 Desain Komunikasi Visual</t>
  </si>
  <si>
    <t>Prinsip Dasar Desain dan Komunikasi (2024)</t>
  </si>
  <si>
    <t>10.2.2 Teknik Grafika</t>
  </si>
  <si>
    <t>Teknik dasar proses produksi (2024)</t>
  </si>
  <si>
    <t>Desain Siap Cetak Berbagai Jenis Produk Cetakan</t>
  </si>
  <si>
    <t>Perhitungan biaya produksi produk cetakan</t>
  </si>
  <si>
    <t>Proses Pekerjaan Berbagai Teknik Cetak</t>
  </si>
  <si>
    <t>Proses Pekerjaan Purna Cetak</t>
  </si>
  <si>
    <t>SD Terpadu</t>
  </si>
  <si>
    <t>Koding SMK</t>
  </si>
  <si>
    <t>92</t>
  </si>
  <si>
    <t>Produktif Lama</t>
  </si>
  <si>
    <t>NAMA :</t>
  </si>
  <si>
    <t>Harga Satuan</t>
  </si>
  <si>
    <t>SD Terpadu - ASAJ SD</t>
  </si>
  <si>
    <t>Pendidikan Agama Islam dan Budi Pekerti - ASAJ SD</t>
  </si>
  <si>
    <t>PPKn  - ASAJ SMP</t>
  </si>
  <si>
    <t>Bahasa Indonesia - ASAJ SMP</t>
  </si>
  <si>
    <t>Matematika - ASAJ SMP</t>
  </si>
  <si>
    <t>IPA - ASAJ SMP</t>
  </si>
  <si>
    <t>IPS - ASAJ SMP</t>
  </si>
  <si>
    <t>Bahasa Inggris - ASAJ SMP</t>
  </si>
  <si>
    <t>Pendidikan Agama Islam dan Budi Pekerti - ASAJ SMP</t>
  </si>
  <si>
    <t>Pendidikan Pancasila SMA/SMK - ASAJ</t>
  </si>
  <si>
    <t>Bahasa Indonesia SMA/SMK - ASAJ</t>
  </si>
  <si>
    <t>Matematika SMA/SMK - ASAJ</t>
  </si>
  <si>
    <t>Matematika Tingkat Lanjut SMA - ASAJ</t>
  </si>
  <si>
    <t>Fisika SMA - ASAJ</t>
  </si>
  <si>
    <t>Biologi SMA - ASAJ</t>
  </si>
  <si>
    <t>Kimia SMA - ASAJ</t>
  </si>
  <si>
    <t>Sejarah SMA/SMK - ASAJ</t>
  </si>
  <si>
    <t>Ekonomi SMA - ASAJ</t>
  </si>
  <si>
    <t>Geografi SMA - ASAJ</t>
  </si>
  <si>
    <t>Sosiologi SMA - ASAJ</t>
  </si>
  <si>
    <t>Bahasa Inggris SMA/SMK - ASAJ</t>
  </si>
  <si>
    <t>Bahasa Inggris Tingkat Lanjut SMA - ASAJ</t>
  </si>
  <si>
    <t>Pend. Agama Islam &amp; BP SMA/SMK - ASAJ</t>
  </si>
  <si>
    <t>DAFTAR BUKU ASAJ &amp; UM ZAMRUD</t>
  </si>
  <si>
    <t>Smt. 2 Tahun Ajaran 2026 - 2027</t>
  </si>
  <si>
    <t>ASAJ</t>
  </si>
  <si>
    <t>UM</t>
  </si>
  <si>
    <t>PG ASAJ</t>
  </si>
  <si>
    <t>PG UM</t>
  </si>
  <si>
    <t>Bajatim</t>
  </si>
  <si>
    <t>SD TERPADU LAMA</t>
  </si>
  <si>
    <t>Prima SD</t>
  </si>
  <si>
    <t>PRIMA SMP</t>
  </si>
  <si>
    <t>PRIMA SMA</t>
  </si>
  <si>
    <t>PRIMA SMK</t>
  </si>
  <si>
    <t xml:space="preserve">TKA SD </t>
  </si>
  <si>
    <t>UM MI</t>
  </si>
  <si>
    <t>UMMTS</t>
  </si>
  <si>
    <t>UM MA</t>
  </si>
  <si>
    <t>Produkti Baru</t>
  </si>
  <si>
    <t>KREATIVITAS, INOVASI, DAN KEWIRAUSAHAAN (T.Permesin &amp; DG Mesin)</t>
  </si>
  <si>
    <t>KREATIVITAS, INOVASI, DAN KEWIRAUSAHAAN (TKR &amp; TSM)</t>
  </si>
  <si>
    <t>KREATIVITAS, INOVASI, DAN KEWIRAUSAHAAN (RPL)</t>
  </si>
  <si>
    <t>KREATIVITAS, INOVASI, DAN KEWIRAUSAHAAN (Tkomp.J)</t>
  </si>
  <si>
    <t>KREATIVITAS, INOVASI, DAN KEWIRAUSAHAAN (MJP)</t>
  </si>
  <si>
    <t>KREATIVITAS, INOVASI, DAN KEWIRAUSAHAAN (AKUNT)</t>
  </si>
  <si>
    <t>KREATIVITAS, INOVASI, DAN KEWIRAUSAHAAN (DKV &amp; Grafika)</t>
  </si>
  <si>
    <t>PG PRODUKTIF</t>
  </si>
  <si>
    <t>ASAJ UM</t>
  </si>
  <si>
    <t>Koding SMK - 1 tahun</t>
  </si>
  <si>
    <t>PG AKM &amp; P5</t>
  </si>
  <si>
    <t>akm</t>
  </si>
  <si>
    <t>TK AKADEMIK</t>
  </si>
  <si>
    <t>TKA</t>
  </si>
  <si>
    <t>Total</t>
  </si>
  <si>
    <t>ESTIMASI SMT 2 Th 2026-2027</t>
  </si>
  <si>
    <t>KODING SMA 1 th</t>
  </si>
  <si>
    <t>RETUR Maximal 5% dari total pengambilan (Jika melebihi akan kena pinalti 70%)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</si>
</sst>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&quot;Rp&quot;* #,##0_);_(&quot;Rp&quot;* \(#,##0\);_(&quot;Rp&quot;* &quot;-&quot;_);_(@_)"/>
    <numFmt numFmtId="165" formatCode="_(* #,##0_);_(* \(#,##0\);_(* &quot;-&quot;_);_(@_)"/>
    <numFmt numFmtId="166" formatCode="_(* #,##0.00_);_(* \(#,##0.00\);_(* &quot;-&quot;??_);_(@_)"/>
    <numFmt numFmtId="167" formatCode="_(&quot;$&quot;* #,##0.00_);_(&quot;$&quot;* \(#,##0.00\);_(&quot;$&quot;* &quot;-&quot;??_);_(@_)"/>
    <numFmt numFmtId="168" formatCode="_(* #,##0_);_(* \(#,##0\);_(* &quot;-&quot;??_);_(@_)"/>
    <numFmt numFmtId="169" formatCode="[$-409]d\-mmm\-yy;@"/>
    <numFmt numFmtId="170" formatCode="_-[$Rp-421]* #,##0_-;\-[$Rp-421]* #,##0_-;_-[$Rp-421]* &quot;-&quot;??_-;_-@_-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name val="Berlin Sans FB Demi"/>
      <family val="2"/>
    </font>
    <font>
      <sz val="11"/>
      <name val="Franklin Gothic Medium Cond"/>
      <family val="2"/>
    </font>
    <font>
      <sz val="11"/>
      <color theme="1"/>
      <name val="Calibri"/>
      <family val="2"/>
      <charset val="1"/>
    </font>
    <font>
      <sz val="11"/>
      <color rgb="FF7030A0"/>
      <name val="Franklin Gothic Medium Cond"/>
      <family val="2"/>
    </font>
    <font>
      <sz val="11"/>
      <color theme="1"/>
      <name val="Franklin Gothic Medium Cond"/>
      <family val="2"/>
    </font>
    <font>
      <b/>
      <sz val="16"/>
      <name val="Berlin Sans FB Demi"/>
      <family val="2"/>
    </font>
    <font>
      <b/>
      <sz val="11"/>
      <color theme="1"/>
      <name val="Calibri"/>
      <family val="2"/>
      <scheme val="minor"/>
    </font>
    <font>
      <sz val="18"/>
      <name val="Franklin Gothic Medium Cond"/>
      <family val="2"/>
    </font>
    <font>
      <sz val="24"/>
      <name val="Berlin Sans FB Demi"/>
      <family val="2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1"/>
      <name val="Franklin Gothic Medium Cond"/>
      <family val="2"/>
    </font>
    <font>
      <sz val="14"/>
      <name val="Franklin Gothic Medium Cond"/>
      <family val="2"/>
    </font>
    <font>
      <sz val="10"/>
      <name val="Franklin Gothic Medium Cond"/>
      <family val="2"/>
    </font>
    <font>
      <sz val="10"/>
      <color theme="1"/>
      <name val="Franklin Gothic Medium Cond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18"/>
      <color theme="1"/>
      <name val="Berlin Sans FB Demi"/>
      <family val="2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sz val="14"/>
      <color rgb="FFFF0000"/>
      <name val="Franklin Gothic Medium Cond"/>
      <family val="2"/>
    </font>
    <font>
      <sz val="20"/>
      <color rgb="FFFF0000"/>
      <name val="Bauhaus 93"/>
      <family val="5"/>
    </font>
    <font>
      <sz val="18"/>
      <color rgb="FFFF0000"/>
      <name val="Bauhaus 93"/>
      <family val="5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0"/>
      <name val="Franklin Gothic Medium Cond"/>
      <family val="2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2"/>
      <name val="Calibri"/>
      <family val="2"/>
    </font>
    <font>
      <sz val="12"/>
      <color indexed="8"/>
      <name val="Calibri"/>
      <family val="2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799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0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12" fillId="0" borderId="0"/>
    <xf numFmtId="0" fontId="4" fillId="0" borderId="0"/>
    <xf numFmtId="0" fontId="18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/>
    <xf numFmtId="0" fontId="1" fillId="0" borderId="0"/>
    <xf numFmtId="9" fontId="1" fillId="0" borderId="0" applyFont="0" applyFill="0" applyBorder="0" applyAlignment="0" applyProtection="0"/>
    <xf numFmtId="41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0" fontId="4" fillId="0" borderId="0"/>
    <xf numFmtId="0" fontId="1" fillId="0" borderId="0"/>
  </cellStyleXfs>
  <cellXfs count="386">
    <xf numFmtId="0" fontId="0" fillId="0" borderId="0" xfId="0"/>
    <xf numFmtId="0" fontId="2" fillId="0" borderId="0" xfId="0" applyFont="1"/>
    <xf numFmtId="168" fontId="0" fillId="0" borderId="1" xfId="1" applyNumberFormat="1" applyFont="1" applyBorder="1"/>
    <xf numFmtId="168" fontId="0" fillId="0" borderId="0" xfId="0" applyNumberFormat="1"/>
    <xf numFmtId="0" fontId="0" fillId="0" borderId="1" xfId="0" applyBorder="1"/>
    <xf numFmtId="1" fontId="3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vertical="center"/>
    </xf>
    <xf numFmtId="0" fontId="7" fillId="0" borderId="0" xfId="0" applyFont="1"/>
    <xf numFmtId="1" fontId="3" fillId="3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3" fillId="3" borderId="0" xfId="6" applyFont="1" applyFill="1" applyAlignment="1">
      <alignment horizontal="left" vertical="center"/>
    </xf>
    <xf numFmtId="1" fontId="3" fillId="3" borderId="0" xfId="6" applyNumberFormat="1" applyFont="1" applyFill="1" applyAlignment="1">
      <alignment horizontal="left" vertical="center"/>
    </xf>
    <xf numFmtId="0" fontId="9" fillId="3" borderId="0" xfId="0" applyFont="1" applyFill="1" applyAlignment="1">
      <alignment vertical="center"/>
    </xf>
    <xf numFmtId="0" fontId="3" fillId="0" borderId="1" xfId="5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0" fontId="3" fillId="0" borderId="1" xfId="0" quotePrefix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168" fontId="0" fillId="0" borderId="1" xfId="1" applyNumberFormat="1" applyFont="1" applyFill="1" applyBorder="1"/>
    <xf numFmtId="0" fontId="6" fillId="0" borderId="1" xfId="6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168" fontId="0" fillId="0" borderId="1" xfId="0" applyNumberFormat="1" applyBorder="1"/>
    <xf numFmtId="165" fontId="0" fillId="0" borderId="0" xfId="0" applyNumberFormat="1"/>
    <xf numFmtId="0" fontId="8" fillId="0" borderId="0" xfId="0" applyFont="1"/>
    <xf numFmtId="0" fontId="0" fillId="5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6" fontId="3" fillId="0" borderId="0" xfId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0" fontId="8" fillId="8" borderId="0" xfId="0" applyFont="1" applyFill="1" applyAlignment="1">
      <alignment vertical="center"/>
    </xf>
    <xf numFmtId="168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9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6" borderId="0" xfId="0" applyFill="1"/>
    <xf numFmtId="0" fontId="8" fillId="0" borderId="0" xfId="0" applyFont="1" applyAlignment="1">
      <alignment horizontal="right"/>
    </xf>
    <xf numFmtId="0" fontId="14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3" fillId="3" borderId="0" xfId="6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168" fontId="17" fillId="0" borderId="0" xfId="1" applyNumberFormat="1" applyFont="1"/>
    <xf numFmtId="168" fontId="17" fillId="0" borderId="1" xfId="1" applyNumberFormat="1" applyFont="1" applyBorder="1"/>
    <xf numFmtId="165" fontId="0" fillId="0" borderId="1" xfId="4" applyFont="1" applyBorder="1"/>
    <xf numFmtId="0" fontId="0" fillId="0" borderId="1" xfId="0" applyBorder="1" applyAlignment="1">
      <alignment horizontal="left"/>
    </xf>
    <xf numFmtId="0" fontId="9" fillId="3" borderId="7" xfId="0" quotePrefix="1" applyFont="1" applyFill="1" applyBorder="1" applyAlignment="1">
      <alignment vertical="center"/>
    </xf>
    <xf numFmtId="0" fontId="9" fillId="3" borderId="0" xfId="0" quotePrefix="1" applyFont="1" applyFill="1" applyAlignment="1">
      <alignment vertical="center"/>
    </xf>
    <xf numFmtId="168" fontId="3" fillId="2" borderId="1" xfId="1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1" fontId="14" fillId="3" borderId="0" xfId="0" applyNumberFormat="1" applyFont="1" applyFill="1" applyAlignment="1">
      <alignment horizontal="left" vertical="center"/>
    </xf>
    <xf numFmtId="1" fontId="14" fillId="3" borderId="0" xfId="0" applyNumberFormat="1" applyFont="1" applyFill="1" applyAlignment="1">
      <alignment horizontal="center" vertical="center"/>
    </xf>
    <xf numFmtId="168" fontId="6" fillId="0" borderId="1" xfId="1" applyNumberFormat="1" applyFont="1" applyBorder="1" applyAlignment="1">
      <alignment horizontal="center" vertical="center"/>
    </xf>
    <xf numFmtId="0" fontId="3" fillId="0" borderId="1" xfId="5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1" fontId="3" fillId="3" borderId="0" xfId="6" applyNumberFormat="1" applyFont="1" applyFill="1" applyAlignment="1">
      <alignment horizontal="center" vertical="center"/>
    </xf>
    <xf numFmtId="166" fontId="3" fillId="0" borderId="0" xfId="1" applyFont="1" applyAlignment="1">
      <alignment horizontal="left" vertical="center"/>
    </xf>
    <xf numFmtId="0" fontId="8" fillId="12" borderId="1" xfId="0" applyFont="1" applyFill="1" applyBorder="1" applyAlignment="1">
      <alignment horizontal="center"/>
    </xf>
    <xf numFmtId="168" fontId="3" fillId="0" borderId="1" xfId="1" applyNumberFormat="1" applyFont="1" applyBorder="1" applyAlignment="1">
      <alignment vertical="center"/>
    </xf>
    <xf numFmtId="168" fontId="0" fillId="0" borderId="0" xfId="1" applyNumberFormat="1" applyFont="1" applyBorder="1" applyAlignment="1">
      <alignment vertical="center"/>
    </xf>
    <xf numFmtId="0" fontId="0" fillId="8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5" fontId="5" fillId="0" borderId="1" xfId="2" applyNumberFormat="1" applyFont="1" applyFill="1" applyBorder="1" applyAlignment="1">
      <alignment horizontal="center" vertical="center"/>
    </xf>
    <xf numFmtId="168" fontId="3" fillId="13" borderId="1" xfId="1" applyNumberFormat="1" applyFont="1" applyFill="1" applyBorder="1" applyAlignment="1">
      <alignment horizontal="center" vertical="center"/>
    </xf>
    <xf numFmtId="168" fontId="0" fillId="0" borderId="0" xfId="1" applyNumberFormat="1" applyFont="1" applyFill="1" applyBorder="1" applyAlignment="1">
      <alignment vertical="center"/>
    </xf>
    <xf numFmtId="168" fontId="8" fillId="0" borderId="0" xfId="0" applyNumberFormat="1" applyFont="1"/>
    <xf numFmtId="165" fontId="0" fillId="0" borderId="0" xfId="4" applyFont="1"/>
    <xf numFmtId="168" fontId="3" fillId="13" borderId="0" xfId="1" applyNumberFormat="1" applyFont="1" applyFill="1" applyBorder="1" applyAlignment="1">
      <alignment horizontal="center" vertical="center"/>
    </xf>
    <xf numFmtId="9" fontId="8" fillId="6" borderId="0" xfId="13" applyFont="1" applyFill="1" applyAlignment="1"/>
    <xf numFmtId="9" fontId="8" fillId="0" borderId="0" xfId="13" applyFont="1" applyFill="1" applyAlignment="1"/>
    <xf numFmtId="168" fontId="0" fillId="5" borderId="3" xfId="1" applyNumberFormat="1" applyFont="1" applyFill="1" applyBorder="1" applyAlignment="1">
      <alignment vertical="center"/>
    </xf>
    <xf numFmtId="168" fontId="0" fillId="12" borderId="3" xfId="1" applyNumberFormat="1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0" fontId="23" fillId="0" borderId="1" xfId="5" applyFont="1" applyBorder="1" applyAlignment="1">
      <alignment vertical="center"/>
    </xf>
    <xf numFmtId="0" fontId="23" fillId="0" borderId="1" xfId="5" applyFont="1" applyBorder="1" applyAlignment="1">
      <alignment horizontal="center" vertical="center"/>
    </xf>
    <xf numFmtId="165" fontId="22" fillId="0" borderId="1" xfId="4" applyFont="1" applyBorder="1" applyAlignment="1">
      <alignment horizontal="center" vertical="center"/>
    </xf>
    <xf numFmtId="0" fontId="23" fillId="17" borderId="1" xfId="5" applyFont="1" applyFill="1" applyBorder="1" applyAlignment="1">
      <alignment vertical="center"/>
    </xf>
    <xf numFmtId="0" fontId="23" fillId="17" borderId="1" xfId="5" applyFont="1" applyFill="1" applyBorder="1" applyAlignment="1">
      <alignment horizontal="center" vertical="center"/>
    </xf>
    <xf numFmtId="165" fontId="22" fillId="17" borderId="1" xfId="4" applyFont="1" applyFill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164" fontId="0" fillId="0" borderId="1" xfId="1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0" fillId="0" borderId="0" xfId="4" applyFont="1" applyBorder="1"/>
    <xf numFmtId="165" fontId="0" fillId="0" borderId="8" xfId="4" applyFont="1" applyBorder="1"/>
    <xf numFmtId="165" fontId="0" fillId="0" borderId="0" xfId="4" applyFont="1" applyFill="1" applyBorder="1"/>
    <xf numFmtId="0" fontId="25" fillId="3" borderId="0" xfId="0" applyFont="1" applyFill="1" applyAlignment="1">
      <alignment horizontal="center" vertical="center"/>
    </xf>
    <xf numFmtId="0" fontId="26" fillId="0" borderId="0" xfId="0" applyFont="1"/>
    <xf numFmtId="0" fontId="27" fillId="0" borderId="0" xfId="0" applyFont="1"/>
    <xf numFmtId="0" fontId="8" fillId="0" borderId="0" xfId="0" applyFont="1" applyAlignment="1">
      <alignment horizontal="center" vertical="center"/>
    </xf>
    <xf numFmtId="0" fontId="23" fillId="18" borderId="1" xfId="5" applyFont="1" applyFill="1" applyBorder="1" applyAlignment="1">
      <alignment vertical="center"/>
    </xf>
    <xf numFmtId="0" fontId="23" fillId="18" borderId="1" xfId="5" applyFont="1" applyFill="1" applyBorder="1" applyAlignment="1">
      <alignment horizontal="center" vertical="center"/>
    </xf>
    <xf numFmtId="165" fontId="22" fillId="18" borderId="1" xfId="4" applyFont="1" applyFill="1" applyBorder="1" applyAlignment="1">
      <alignment horizontal="center" vertical="center"/>
    </xf>
    <xf numFmtId="0" fontId="15" fillId="0" borderId="0" xfId="7" applyFont="1" applyAlignment="1">
      <alignment horizontal="left" vertical="center"/>
    </xf>
    <xf numFmtId="0" fontId="15" fillId="0" borderId="0" xfId="7" applyFont="1" applyAlignment="1">
      <alignment horizontal="center" vertical="center"/>
    </xf>
    <xf numFmtId="165" fontId="15" fillId="0" borderId="1" xfId="4" applyFont="1" applyFill="1" applyBorder="1" applyAlignment="1">
      <alignment horizontal="center" vertical="center"/>
    </xf>
    <xf numFmtId="0" fontId="0" fillId="0" borderId="2" xfId="0" applyBorder="1"/>
    <xf numFmtId="0" fontId="8" fillId="12" borderId="1" xfId="4" applyNumberFormat="1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13" borderId="3" xfId="0" applyFill="1" applyBorder="1"/>
    <xf numFmtId="0" fontId="0" fillId="14" borderId="3" xfId="0" applyFill="1" applyBorder="1"/>
    <xf numFmtId="0" fontId="0" fillId="11" borderId="3" xfId="0" applyFill="1" applyBorder="1"/>
    <xf numFmtId="0" fontId="0" fillId="7" borderId="3" xfId="0" applyFill="1" applyBorder="1"/>
    <xf numFmtId="0" fontId="0" fillId="15" borderId="3" xfId="0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8" fillId="12" borderId="2" xfId="4" applyNumberFormat="1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2" xfId="0" applyFill="1" applyBorder="1"/>
    <xf numFmtId="0" fontId="0" fillId="14" borderId="2" xfId="0" applyFill="1" applyBorder="1"/>
    <xf numFmtId="0" fontId="0" fillId="15" borderId="2" xfId="0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8" fillId="0" borderId="0" xfId="0" applyFont="1" applyAlignment="1">
      <alignment horizontal="left"/>
    </xf>
    <xf numFmtId="164" fontId="8" fillId="10" borderId="0" xfId="1" applyNumberFormat="1" applyFont="1" applyFill="1" applyBorder="1" applyAlignment="1">
      <alignment vertical="center"/>
    </xf>
    <xf numFmtId="164" fontId="8" fillId="10" borderId="0" xfId="0" applyNumberFormat="1" applyFont="1" applyFill="1"/>
    <xf numFmtId="164" fontId="21" fillId="10" borderId="0" xfId="0" applyNumberFormat="1" applyFont="1" applyFill="1"/>
    <xf numFmtId="164" fontId="0" fillId="5" borderId="3" xfId="1" applyNumberFormat="1" applyFont="1" applyFill="1" applyBorder="1" applyAlignment="1">
      <alignment vertical="center"/>
    </xf>
    <xf numFmtId="164" fontId="0" fillId="12" borderId="3" xfId="1" applyNumberFormat="1" applyFont="1" applyFill="1" applyBorder="1" applyAlignment="1">
      <alignment vertical="center"/>
    </xf>
    <xf numFmtId="164" fontId="11" fillId="10" borderId="0" xfId="0" applyNumberFormat="1" applyFont="1" applyFill="1" applyAlignment="1">
      <alignment vertical="center"/>
    </xf>
    <xf numFmtId="165" fontId="0" fillId="0" borderId="1" xfId="4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3" xfId="4" applyFont="1" applyBorder="1" applyAlignment="1">
      <alignment horizontal="center" vertical="center"/>
    </xf>
    <xf numFmtId="0" fontId="30" fillId="0" borderId="1" xfId="19" applyFont="1" applyBorder="1" applyAlignment="1">
      <alignment vertical="center"/>
    </xf>
    <xf numFmtId="165" fontId="1" fillId="0" borderId="1" xfId="4" applyFont="1" applyFill="1" applyBorder="1"/>
    <xf numFmtId="165" fontId="1" fillId="0" borderId="1" xfId="4" applyFont="1" applyFill="1" applyBorder="1" applyAlignment="1">
      <alignment horizontal="center"/>
    </xf>
    <xf numFmtId="168" fontId="6" fillId="0" borderId="0" xfId="1" applyNumberFormat="1" applyFont="1" applyBorder="1" applyAlignment="1">
      <alignment vertical="center"/>
    </xf>
    <xf numFmtId="0" fontId="0" fillId="0" borderId="3" xfId="0" applyBorder="1" applyAlignment="1">
      <alignment horizontal="left"/>
    </xf>
    <xf numFmtId="0" fontId="0" fillId="7" borderId="3" xfId="0" applyFill="1" applyBorder="1" applyAlignment="1">
      <alignment vertical="center"/>
    </xf>
    <xf numFmtId="0" fontId="0" fillId="18" borderId="3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7" borderId="2" xfId="0" applyFill="1" applyBorder="1" applyAlignment="1">
      <alignment vertical="center"/>
    </xf>
    <xf numFmtId="0" fontId="0" fillId="0" borderId="10" xfId="0" applyBorder="1"/>
    <xf numFmtId="0" fontId="0" fillId="0" borderId="8" xfId="0" applyBorder="1"/>
    <xf numFmtId="165" fontId="1" fillId="0" borderId="0" xfId="4" applyFont="1" applyFill="1" applyBorder="1" applyAlignment="1">
      <alignment horizontal="center"/>
    </xf>
    <xf numFmtId="165" fontId="0" fillId="0" borderId="1" xfId="4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0" fillId="0" borderId="1" xfId="0" applyFont="1" applyBorder="1" applyAlignment="1">
      <alignment horizontal="left"/>
    </xf>
    <xf numFmtId="0" fontId="1" fillId="0" borderId="1" xfId="4" applyNumberFormat="1" applyFont="1" applyFill="1" applyBorder="1" applyAlignment="1">
      <alignment horizontal="center"/>
    </xf>
    <xf numFmtId="0" fontId="17" fillId="0" borderId="0" xfId="0" applyFont="1"/>
    <xf numFmtId="165" fontId="0" fillId="0" borderId="0" xfId="4" applyFont="1" applyBorder="1" applyAlignment="1">
      <alignment horizontal="center"/>
    </xf>
    <xf numFmtId="165" fontId="8" fillId="0" borderId="1" xfId="4" applyFont="1" applyBorder="1" applyAlignment="1">
      <alignment horizontal="center" vertical="center"/>
    </xf>
    <xf numFmtId="0" fontId="3" fillId="3" borderId="5" xfId="6" quotePrefix="1" applyFont="1" applyFill="1" applyBorder="1" applyAlignment="1">
      <alignment horizontal="center" vertical="center"/>
    </xf>
    <xf numFmtId="168" fontId="6" fillId="0" borderId="13" xfId="1" applyNumberFormat="1" applyFont="1" applyBorder="1" applyAlignment="1">
      <alignment horizontal="center" vertical="center"/>
    </xf>
    <xf numFmtId="0" fontId="3" fillId="3" borderId="14" xfId="6" quotePrefix="1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0" borderId="15" xfId="5" applyFont="1" applyBorder="1" applyAlignment="1">
      <alignment horizontal="left" vertical="center"/>
    </xf>
    <xf numFmtId="0" fontId="3" fillId="0" borderId="15" xfId="5" applyFont="1" applyBorder="1" applyAlignment="1">
      <alignment horizontal="center" vertical="center"/>
    </xf>
    <xf numFmtId="168" fontId="6" fillId="0" borderId="15" xfId="1" applyNumberFormat="1" applyFont="1" applyBorder="1" applyAlignment="1">
      <alignment horizontal="center" vertical="center"/>
    </xf>
    <xf numFmtId="168" fontId="3" fillId="0" borderId="15" xfId="1" applyNumberFormat="1" applyFont="1" applyBorder="1" applyAlignment="1">
      <alignment vertical="center"/>
    </xf>
    <xf numFmtId="168" fontId="6" fillId="0" borderId="17" xfId="1" applyNumberFormat="1" applyFont="1" applyBorder="1" applyAlignment="1">
      <alignment horizontal="center" vertical="center"/>
    </xf>
    <xf numFmtId="168" fontId="6" fillId="0" borderId="9" xfId="1" applyNumberFormat="1" applyFont="1" applyBorder="1" applyAlignment="1">
      <alignment vertical="center"/>
    </xf>
    <xf numFmtId="168" fontId="6" fillId="0" borderId="12" xfId="1" applyNumberFormat="1" applyFont="1" applyBorder="1" applyAlignment="1">
      <alignment vertical="center"/>
    </xf>
    <xf numFmtId="169" fontId="0" fillId="6" borderId="0" xfId="0" applyNumberFormat="1" applyFill="1" applyAlignment="1">
      <alignment vertical="center"/>
    </xf>
    <xf numFmtId="165" fontId="0" fillId="0" borderId="10" xfId="4" applyFont="1" applyBorder="1" applyAlignment="1">
      <alignment horizontal="center" vertical="center"/>
    </xf>
    <xf numFmtId="169" fontId="0" fillId="0" borderId="1" xfId="4" applyNumberFormat="1" applyFont="1" applyBorder="1" applyAlignment="1">
      <alignment horizontal="center" vertical="center"/>
    </xf>
    <xf numFmtId="0" fontId="31" fillId="13" borderId="0" xfId="0" applyFont="1" applyFill="1"/>
    <xf numFmtId="1" fontId="3" fillId="7" borderId="1" xfId="6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68" fontId="13" fillId="13" borderId="1" xfId="1" applyNumberFormat="1" applyFont="1" applyFill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168" fontId="3" fillId="0" borderId="1" xfId="1" applyNumberFormat="1" applyFont="1" applyFill="1" applyBorder="1" applyAlignment="1">
      <alignment vertical="center"/>
    </xf>
    <xf numFmtId="0" fontId="3" fillId="0" borderId="1" xfId="11" quotePrefix="1" applyFont="1" applyBorder="1" applyAlignment="1">
      <alignment horizontal="center" vertical="center"/>
    </xf>
    <xf numFmtId="0" fontId="15" fillId="0" borderId="1" xfId="7" applyFont="1" applyBorder="1" applyAlignment="1">
      <alignment horizontal="left" vertical="center"/>
    </xf>
    <xf numFmtId="0" fontId="15" fillId="0" borderId="1" xfId="7" applyFont="1" applyBorder="1" applyAlignment="1">
      <alignment horizontal="center" vertical="center"/>
    </xf>
    <xf numFmtId="170" fontId="28" fillId="0" borderId="1" xfId="1" applyNumberFormat="1" applyFont="1" applyFill="1" applyBorder="1" applyAlignment="1">
      <alignment horizontal="center" vertical="center" wrapText="1"/>
    </xf>
    <xf numFmtId="165" fontId="1" fillId="0" borderId="1" xfId="4" applyFont="1" applyFill="1" applyBorder="1" applyAlignment="1">
      <alignment vertical="center"/>
    </xf>
    <xf numFmtId="0" fontId="29" fillId="0" borderId="1" xfId="7" applyFont="1" applyBorder="1" applyAlignment="1">
      <alignment horizontal="left" vertical="center"/>
    </xf>
    <xf numFmtId="0" fontId="28" fillId="0" borderId="1" xfId="7" applyFont="1" applyBorder="1" applyAlignment="1">
      <alignment horizontal="center" vertical="center"/>
    </xf>
    <xf numFmtId="0" fontId="28" fillId="0" borderId="1" xfId="7" applyFont="1" applyBorder="1" applyAlignment="1">
      <alignment horizontal="left" vertical="center"/>
    </xf>
    <xf numFmtId="170" fontId="28" fillId="0" borderId="1" xfId="1" applyNumberFormat="1" applyFont="1" applyFill="1" applyBorder="1" applyAlignment="1">
      <alignment horizontal="center" vertical="center"/>
    </xf>
    <xf numFmtId="0" fontId="29" fillId="0" borderId="1" xfId="7" applyFont="1" applyBorder="1" applyAlignment="1">
      <alignment horizontal="center" vertical="center"/>
    </xf>
    <xf numFmtId="0" fontId="15" fillId="3" borderId="1" xfId="12" applyFont="1" applyFill="1" applyBorder="1" applyAlignment="1">
      <alignment horizontal="left" vertical="center"/>
    </xf>
    <xf numFmtId="0" fontId="15" fillId="3" borderId="1" xfId="12" applyFont="1" applyFill="1" applyBorder="1" applyAlignment="1">
      <alignment horizontal="center" vertical="center"/>
    </xf>
    <xf numFmtId="0" fontId="0" fillId="0" borderId="11" xfId="0" applyBorder="1"/>
    <xf numFmtId="0" fontId="34" fillId="7" borderId="1" xfId="0" applyFont="1" applyFill="1" applyBorder="1" applyAlignment="1">
      <alignment horizontal="left" vertical="center"/>
    </xf>
    <xf numFmtId="0" fontId="34" fillId="14" borderId="1" xfId="0" applyFont="1" applyFill="1" applyBorder="1" applyAlignment="1">
      <alignment horizontal="left" vertical="center"/>
    </xf>
    <xf numFmtId="0" fontId="34" fillId="19" borderId="1" xfId="0" applyFont="1" applyFill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4" fillId="20" borderId="1" xfId="0" applyFont="1" applyFill="1" applyBorder="1" applyAlignment="1">
      <alignment horizontal="left" vertical="center"/>
    </xf>
    <xf numFmtId="0" fontId="34" fillId="0" borderId="1" xfId="1" applyNumberFormat="1" applyFont="1" applyBorder="1" applyAlignment="1">
      <alignment horizontal="left" vertical="center"/>
    </xf>
    <xf numFmtId="0" fontId="34" fillId="20" borderId="1" xfId="1" applyNumberFormat="1" applyFont="1" applyFill="1" applyBorder="1" applyAlignment="1">
      <alignment horizontal="left" vertical="center"/>
    </xf>
    <xf numFmtId="0" fontId="34" fillId="0" borderId="1" xfId="0" quotePrefix="1" applyFont="1" applyBorder="1" applyAlignment="1">
      <alignment horizontal="left" vertical="center"/>
    </xf>
    <xf numFmtId="0" fontId="8" fillId="21" borderId="3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8" fillId="12" borderId="3" xfId="0" applyFont="1" applyFill="1" applyBorder="1" applyAlignment="1">
      <alignment horizontal="center"/>
    </xf>
    <xf numFmtId="0" fontId="8" fillId="1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6" borderId="1" xfId="0" applyFont="1" applyFill="1" applyBorder="1" applyAlignment="1">
      <alignment horizontal="center"/>
    </xf>
    <xf numFmtId="0" fontId="34" fillId="2" borderId="1" xfId="1" applyNumberFormat="1" applyFont="1" applyFill="1" applyBorder="1" applyAlignment="1">
      <alignment horizontal="left" vertical="center"/>
    </xf>
    <xf numFmtId="0" fontId="34" fillId="13" borderId="1" xfId="1" applyNumberFormat="1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center"/>
    </xf>
    <xf numFmtId="0" fontId="8" fillId="12" borderId="1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65" fontId="1" fillId="0" borderId="10" xfId="4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165" fontId="1" fillId="0" borderId="8" xfId="4" applyFont="1" applyFill="1" applyBorder="1" applyAlignment="1">
      <alignment horizontal="center"/>
    </xf>
    <xf numFmtId="165" fontId="0" fillId="0" borderId="8" xfId="4" applyFont="1" applyBorder="1" applyAlignment="1">
      <alignment horizontal="center"/>
    </xf>
    <xf numFmtId="165" fontId="8" fillId="0" borderId="3" xfId="4" applyFont="1" applyBorder="1" applyAlignment="1">
      <alignment horizontal="center" vertical="center"/>
    </xf>
    <xf numFmtId="0" fontId="3" fillId="3" borderId="19" xfId="6" quotePrefix="1" applyFont="1" applyFill="1" applyBorder="1" applyAlignment="1">
      <alignment horizontal="center" vertical="center"/>
    </xf>
    <xf numFmtId="0" fontId="3" fillId="0" borderId="3" xfId="5" applyFont="1" applyBorder="1" applyAlignment="1">
      <alignment horizontal="left" vertical="center"/>
    </xf>
    <xf numFmtId="168" fontId="6" fillId="0" borderId="3" xfId="1" applyNumberFormat="1" applyFont="1" applyBorder="1" applyAlignment="1">
      <alignment horizontal="center" vertical="center"/>
    </xf>
    <xf numFmtId="0" fontId="13" fillId="10" borderId="1" xfId="6" applyFont="1" applyFill="1" applyBorder="1" applyAlignment="1">
      <alignment horizontal="center" vertical="center"/>
    </xf>
    <xf numFmtId="1" fontId="13" fillId="10" borderId="1" xfId="6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/>
    </xf>
    <xf numFmtId="0" fontId="34" fillId="12" borderId="1" xfId="1" applyNumberFormat="1" applyFont="1" applyFill="1" applyBorder="1" applyAlignment="1">
      <alignment horizontal="center" vertical="center"/>
    </xf>
    <xf numFmtId="0" fontId="34" fillId="10" borderId="1" xfId="1" applyNumberFormat="1" applyFont="1" applyFill="1" applyBorder="1" applyAlignment="1">
      <alignment horizontal="left" vertical="center"/>
    </xf>
    <xf numFmtId="0" fontId="34" fillId="12" borderId="2" xfId="0" applyFont="1" applyFill="1" applyBorder="1" applyAlignment="1">
      <alignment horizontal="center" vertical="center"/>
    </xf>
    <xf numFmtId="0" fontId="34" fillId="10" borderId="2" xfId="0" applyFont="1" applyFill="1" applyBorder="1" applyAlignment="1">
      <alignment horizontal="center" vertical="center"/>
    </xf>
    <xf numFmtId="0" fontId="34" fillId="13" borderId="2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65" fontId="0" fillId="0" borderId="1" xfId="4" applyFont="1" applyBorder="1" applyAlignment="1">
      <alignment vertical="center"/>
    </xf>
    <xf numFmtId="168" fontId="1" fillId="0" borderId="1" xfId="1" applyNumberFormat="1" applyFont="1" applyBorder="1" applyAlignment="1">
      <alignment horizontal="center" vertical="center"/>
    </xf>
    <xf numFmtId="0" fontId="34" fillId="27" borderId="1" xfId="1" applyNumberFormat="1" applyFont="1" applyFill="1" applyBorder="1" applyAlignment="1">
      <alignment horizontal="left" vertical="center"/>
    </xf>
    <xf numFmtId="0" fontId="34" fillId="14" borderId="1" xfId="1" applyNumberFormat="1" applyFont="1" applyFill="1" applyBorder="1" applyAlignment="1">
      <alignment horizontal="left" vertical="center"/>
    </xf>
    <xf numFmtId="0" fontId="34" fillId="4" borderId="1" xfId="1" applyNumberFormat="1" applyFont="1" applyFill="1" applyBorder="1" applyAlignment="1">
      <alignment horizontal="left" vertical="center"/>
    </xf>
    <xf numFmtId="0" fontId="34" fillId="8" borderId="1" xfId="1" applyNumberFormat="1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34" fillId="0" borderId="2" xfId="0" applyFont="1" applyBorder="1" applyAlignment="1">
      <alignment horizontal="center" vertical="center"/>
    </xf>
    <xf numFmtId="0" fontId="34" fillId="14" borderId="2" xfId="0" applyFont="1" applyFill="1" applyBorder="1" applyAlignment="1">
      <alignment horizontal="center" vertical="center"/>
    </xf>
    <xf numFmtId="0" fontId="34" fillId="19" borderId="2" xfId="0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/>
    </xf>
    <xf numFmtId="0" fontId="8" fillId="12" borderId="2" xfId="0" applyFont="1" applyFill="1" applyBorder="1"/>
    <xf numFmtId="0" fontId="8" fillId="2" borderId="2" xfId="0" applyFont="1" applyFill="1" applyBorder="1"/>
    <xf numFmtId="0" fontId="8" fillId="26" borderId="2" xfId="0" applyFont="1" applyFill="1" applyBorder="1"/>
    <xf numFmtId="0" fontId="34" fillId="27" borderId="2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27" borderId="1" xfId="0" applyFill="1" applyBorder="1"/>
    <xf numFmtId="164" fontId="1" fillId="0" borderId="1" xfId="1" applyNumberFormat="1" applyFont="1" applyBorder="1" applyAlignment="1">
      <alignment vertical="center"/>
    </xf>
    <xf numFmtId="165" fontId="1" fillId="0" borderId="1" xfId="4" applyFont="1" applyBorder="1" applyAlignment="1">
      <alignment horizontal="center" vertical="center"/>
    </xf>
    <xf numFmtId="164" fontId="1" fillId="0" borderId="1" xfId="1" applyNumberFormat="1" applyFont="1" applyFill="1" applyBorder="1" applyAlignment="1">
      <alignment vertical="center"/>
    </xf>
    <xf numFmtId="164" fontId="1" fillId="17" borderId="1" xfId="1" applyNumberFormat="1" applyFont="1" applyFill="1" applyBorder="1" applyAlignment="1">
      <alignment vertical="center"/>
    </xf>
    <xf numFmtId="165" fontId="1" fillId="0" borderId="3" xfId="4" applyFont="1" applyBorder="1" applyAlignment="1">
      <alignment horizontal="center" vertical="center"/>
    </xf>
    <xf numFmtId="165" fontId="1" fillId="0" borderId="0" xfId="4" applyFont="1"/>
    <xf numFmtId="165" fontId="1" fillId="0" borderId="1" xfId="4" applyFont="1" applyBorder="1"/>
    <xf numFmtId="168" fontId="1" fillId="0" borderId="1" xfId="1" applyNumberFormat="1" applyFont="1" applyFill="1" applyBorder="1" applyAlignment="1">
      <alignment horizontal="center" vertical="center"/>
    </xf>
    <xf numFmtId="168" fontId="1" fillId="0" borderId="1" xfId="1" applyNumberFormat="1" applyFont="1" applyFill="1" applyBorder="1"/>
    <xf numFmtId="168" fontId="1" fillId="0" borderId="1" xfId="1" applyNumberFormat="1" applyFont="1" applyBorder="1"/>
    <xf numFmtId="0" fontId="32" fillId="23" borderId="18" xfId="0" applyFont="1" applyFill="1" applyBorder="1" applyAlignment="1">
      <alignment horizontal="center" vertical="center" wrapText="1"/>
    </xf>
    <xf numFmtId="1" fontId="37" fillId="0" borderId="1" xfId="17" applyNumberFormat="1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165" fontId="36" fillId="0" borderId="1" xfId="4" applyFont="1" applyFill="1" applyBorder="1" applyAlignment="1">
      <alignment vertical="center"/>
    </xf>
    <xf numFmtId="168" fontId="36" fillId="0" borderId="1" xfId="1" applyNumberFormat="1" applyFont="1" applyFill="1" applyBorder="1" applyAlignment="1">
      <alignment vertical="center"/>
    </xf>
    <xf numFmtId="0" fontId="36" fillId="3" borderId="1" xfId="7" applyFont="1" applyFill="1" applyBorder="1" applyAlignment="1">
      <alignment horizontal="left" vertical="center"/>
    </xf>
    <xf numFmtId="168" fontId="37" fillId="0" borderId="1" xfId="1" applyNumberFormat="1" applyFont="1" applyFill="1" applyBorder="1" applyAlignment="1">
      <alignment vertical="center"/>
    </xf>
    <xf numFmtId="0" fontId="36" fillId="3" borderId="2" xfId="7" applyFont="1" applyFill="1" applyBorder="1" applyAlignment="1">
      <alignment horizontal="left" vertical="center"/>
    </xf>
    <xf numFmtId="0" fontId="34" fillId="28" borderId="1" xfId="0" applyFont="1" applyFill="1" applyBorder="1" applyAlignment="1">
      <alignment horizontal="left" vertical="center"/>
    </xf>
    <xf numFmtId="0" fontId="34" fillId="28" borderId="1" xfId="1" applyNumberFormat="1" applyFont="1" applyFill="1" applyBorder="1" applyAlignment="1">
      <alignment horizontal="left" vertical="center"/>
    </xf>
    <xf numFmtId="0" fontId="34" fillId="28" borderId="2" xfId="0" applyFont="1" applyFill="1" applyBorder="1" applyAlignment="1">
      <alignment horizontal="center" vertical="center"/>
    </xf>
    <xf numFmtId="0" fontId="15" fillId="0" borderId="8" xfId="7" applyFont="1" applyBorder="1" applyAlignment="1">
      <alignment horizontal="left" vertical="center"/>
    </xf>
    <xf numFmtId="0" fontId="17" fillId="13" borderId="3" xfId="0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center" vertical="center"/>
    </xf>
    <xf numFmtId="0" fontId="17" fillId="13" borderId="7" xfId="0" applyFont="1" applyFill="1" applyBorder="1" applyAlignment="1">
      <alignment horizontal="center" vertical="center"/>
    </xf>
    <xf numFmtId="165" fontId="28" fillId="13" borderId="4" xfId="0" applyNumberFormat="1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65" fontId="0" fillId="0" borderId="0" xfId="4" applyFont="1" applyAlignment="1">
      <alignment vertical="center"/>
    </xf>
    <xf numFmtId="1" fontId="30" fillId="0" borderId="1" xfId="0" quotePrefix="1" applyNumberFormat="1" applyFont="1" applyBorder="1" applyAlignment="1">
      <alignment horizontal="center" vertical="center"/>
    </xf>
    <xf numFmtId="0" fontId="30" fillId="0" borderId="1" xfId="0" applyFont="1" applyBorder="1"/>
    <xf numFmtId="1" fontId="39" fillId="3" borderId="1" xfId="0" applyNumberFormat="1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0" borderId="1" xfId="0" quotePrefix="1" applyFont="1" applyBorder="1" applyAlignment="1">
      <alignment horizontal="center" vertical="center"/>
    </xf>
    <xf numFmtId="1" fontId="30" fillId="22" borderId="1" xfId="0" quotePrefix="1" applyNumberFormat="1" applyFont="1" applyFill="1" applyBorder="1" applyAlignment="1">
      <alignment horizontal="center" vertical="center"/>
    </xf>
    <xf numFmtId="0" fontId="30" fillId="22" borderId="1" xfId="0" applyFont="1" applyFill="1" applyBorder="1"/>
    <xf numFmtId="1" fontId="39" fillId="22" borderId="1" xfId="0" applyNumberFormat="1" applyFont="1" applyFill="1" applyBorder="1" applyAlignment="1">
      <alignment horizontal="center" vertical="center"/>
    </xf>
    <xf numFmtId="0" fontId="30" fillId="22" borderId="1" xfId="0" applyFont="1" applyFill="1" applyBorder="1" applyAlignment="1">
      <alignment horizontal="center" vertical="center"/>
    </xf>
    <xf numFmtId="165" fontId="1" fillId="22" borderId="1" xfId="4" applyFont="1" applyFill="1" applyBorder="1"/>
    <xf numFmtId="0" fontId="30" fillId="22" borderId="1" xfId="0" quotePrefix="1" applyFont="1" applyFill="1" applyBorder="1" applyAlignment="1">
      <alignment horizontal="center" vertical="center"/>
    </xf>
    <xf numFmtId="0" fontId="30" fillId="28" borderId="1" xfId="0" quotePrefix="1" applyFont="1" applyFill="1" applyBorder="1" applyAlignment="1">
      <alignment horizontal="center" vertical="center"/>
    </xf>
    <xf numFmtId="0" fontId="30" fillId="28" borderId="1" xfId="0" applyFont="1" applyFill="1" applyBorder="1"/>
    <xf numFmtId="1" fontId="39" fillId="28" borderId="1" xfId="0" applyNumberFormat="1" applyFont="1" applyFill="1" applyBorder="1" applyAlignment="1">
      <alignment horizontal="center" vertical="center"/>
    </xf>
    <xf numFmtId="0" fontId="30" fillId="28" borderId="1" xfId="0" applyFont="1" applyFill="1" applyBorder="1" applyAlignment="1">
      <alignment horizontal="center" vertical="center"/>
    </xf>
    <xf numFmtId="165" fontId="1" fillId="28" borderId="1" xfId="4" applyFont="1" applyFill="1" applyBorder="1"/>
    <xf numFmtId="1" fontId="30" fillId="28" borderId="1" xfId="0" quotePrefix="1" applyNumberFormat="1" applyFont="1" applyFill="1" applyBorder="1" applyAlignment="1">
      <alignment horizontal="center" vertical="center"/>
    </xf>
    <xf numFmtId="165" fontId="33" fillId="13" borderId="11" xfId="4" applyFont="1" applyFill="1" applyBorder="1" applyAlignment="1">
      <alignment vertical="center"/>
    </xf>
    <xf numFmtId="0" fontId="34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65" fontId="38" fillId="0" borderId="1" xfId="0" applyNumberFormat="1" applyFont="1" applyBorder="1" applyAlignment="1">
      <alignment horizontal="center"/>
    </xf>
    <xf numFmtId="0" fontId="3" fillId="28" borderId="5" xfId="6" quotePrefix="1" applyFont="1" applyFill="1" applyBorder="1" applyAlignment="1">
      <alignment horizontal="center" vertical="center"/>
    </xf>
    <xf numFmtId="0" fontId="12" fillId="28" borderId="1" xfId="0" applyFont="1" applyFill="1" applyBorder="1" applyAlignment="1">
      <alignment horizontal="center" vertical="center"/>
    </xf>
    <xf numFmtId="0" fontId="3" fillId="28" borderId="1" xfId="5" applyFont="1" applyFill="1" applyBorder="1" applyAlignment="1">
      <alignment horizontal="left" vertical="center"/>
    </xf>
    <xf numFmtId="168" fontId="6" fillId="28" borderId="1" xfId="1" applyNumberFormat="1" applyFont="1" applyFill="1" applyBorder="1" applyAlignment="1">
      <alignment horizontal="center" vertical="center"/>
    </xf>
    <xf numFmtId="168" fontId="3" fillId="28" borderId="1" xfId="1" applyNumberFormat="1" applyFont="1" applyFill="1" applyBorder="1" applyAlignment="1">
      <alignment vertical="center"/>
    </xf>
    <xf numFmtId="0" fontId="3" fillId="28" borderId="1" xfId="5" applyFont="1" applyFill="1" applyBorder="1" applyAlignment="1">
      <alignment horizontal="center" vertical="center"/>
    </xf>
    <xf numFmtId="168" fontId="6" fillId="28" borderId="13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12" fillId="28" borderId="2" xfId="0" applyFont="1" applyFill="1" applyBorder="1" applyAlignment="1">
      <alignment horizontal="center" vertical="center"/>
    </xf>
    <xf numFmtId="0" fontId="12" fillId="28" borderId="6" xfId="0" applyFont="1" applyFill="1" applyBorder="1" applyAlignment="1">
      <alignment horizontal="center" vertical="center"/>
    </xf>
    <xf numFmtId="0" fontId="12" fillId="28" borderId="3" xfId="0" applyFont="1" applyFill="1" applyBorder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168" fontId="3" fillId="13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8" fontId="3" fillId="2" borderId="1" xfId="1" applyNumberFormat="1" applyFont="1" applyFill="1" applyBorder="1" applyAlignment="1">
      <alignment horizontal="center" vertical="center"/>
    </xf>
    <xf numFmtId="168" fontId="3" fillId="2" borderId="2" xfId="1" applyNumberFormat="1" applyFont="1" applyFill="1" applyBorder="1" applyAlignment="1">
      <alignment horizontal="center" vertical="center"/>
    </xf>
    <xf numFmtId="168" fontId="3" fillId="2" borderId="3" xfId="1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8" fontId="3" fillId="13" borderId="2" xfId="1" applyNumberFormat="1" applyFont="1" applyFill="1" applyBorder="1" applyAlignment="1">
      <alignment horizontal="center" vertical="center"/>
    </xf>
    <xf numFmtId="168" fontId="3" fillId="13" borderId="3" xfId="1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" fontId="24" fillId="3" borderId="1" xfId="0" applyNumberFormat="1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168" fontId="24" fillId="2" borderId="1" xfId="1" applyNumberFormat="1" applyFont="1" applyFill="1" applyBorder="1" applyAlignment="1">
      <alignment horizontal="center" vertical="center"/>
    </xf>
    <xf numFmtId="168" fontId="13" fillId="13" borderId="1" xfId="1" applyNumberFormat="1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36" fillId="3" borderId="2" xfId="12" quotePrefix="1" applyFont="1" applyFill="1" applyBorder="1" applyAlignment="1">
      <alignment horizontal="center" vertical="center" textRotation="90" wrapText="1"/>
    </xf>
    <xf numFmtId="0" fontId="36" fillId="3" borderId="6" xfId="12" quotePrefix="1" applyFont="1" applyFill="1" applyBorder="1" applyAlignment="1">
      <alignment horizontal="center" vertical="center" textRotation="90" wrapText="1"/>
    </xf>
    <xf numFmtId="0" fontId="36" fillId="3" borderId="1" xfId="12" quotePrefix="1" applyFont="1" applyFill="1" applyBorder="1" applyAlignment="1">
      <alignment horizontal="center" vertical="center" textRotation="90"/>
    </xf>
    <xf numFmtId="0" fontId="36" fillId="3" borderId="10" xfId="12" quotePrefix="1" applyFont="1" applyFill="1" applyBorder="1" applyAlignment="1">
      <alignment horizontal="center" vertical="center"/>
    </xf>
    <xf numFmtId="0" fontId="36" fillId="3" borderId="8" xfId="12" quotePrefix="1" applyFont="1" applyFill="1" applyBorder="1" applyAlignment="1">
      <alignment horizontal="center" vertical="center"/>
    </xf>
    <xf numFmtId="0" fontId="36" fillId="3" borderId="2" xfId="12" quotePrefix="1" applyFont="1" applyFill="1" applyBorder="1" applyAlignment="1">
      <alignment horizontal="center" vertical="center" textRotation="90"/>
    </xf>
    <xf numFmtId="0" fontId="36" fillId="3" borderId="6" xfId="12" quotePrefix="1" applyFont="1" applyFill="1" applyBorder="1" applyAlignment="1">
      <alignment horizontal="center" vertical="center" textRotation="90"/>
    </xf>
    <xf numFmtId="0" fontId="36" fillId="3" borderId="3" xfId="12" quotePrefix="1" applyFont="1" applyFill="1" applyBorder="1" applyAlignment="1">
      <alignment horizontal="center" vertical="center" textRotation="90"/>
    </xf>
    <xf numFmtId="0" fontId="36" fillId="3" borderId="3" xfId="12" quotePrefix="1" applyFont="1" applyFill="1" applyBorder="1" applyAlignment="1">
      <alignment horizontal="center" vertical="center" textRotation="90" wrapText="1"/>
    </xf>
    <xf numFmtId="0" fontId="36" fillId="3" borderId="18" xfId="12" quotePrefix="1" applyFont="1" applyFill="1" applyBorder="1" applyAlignment="1">
      <alignment horizontal="center" vertical="center" textRotation="90" wrapText="1"/>
    </xf>
    <xf numFmtId="0" fontId="36" fillId="3" borderId="20" xfId="12" quotePrefix="1" applyFont="1" applyFill="1" applyBorder="1" applyAlignment="1">
      <alignment horizontal="center" vertical="center" textRotation="90" wrapText="1"/>
    </xf>
    <xf numFmtId="0" fontId="36" fillId="3" borderId="4" xfId="12" quotePrefix="1" applyFont="1" applyFill="1" applyBorder="1" applyAlignment="1">
      <alignment horizontal="center" vertical="center" textRotation="90" wrapText="1"/>
    </xf>
    <xf numFmtId="0" fontId="36" fillId="3" borderId="10" xfId="12" quotePrefix="1" applyFont="1" applyFill="1" applyBorder="1" applyAlignment="1">
      <alignment horizontal="center" vertical="center" wrapText="1"/>
    </xf>
    <xf numFmtId="0" fontId="36" fillId="3" borderId="8" xfId="12" quotePrefix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33" fillId="13" borderId="11" xfId="4" applyFont="1" applyFill="1" applyBorder="1" applyAlignment="1">
      <alignment horizontal="center" vertical="center"/>
    </xf>
    <xf numFmtId="0" fontId="0" fillId="30" borderId="11" xfId="0" applyFill="1" applyBorder="1" applyAlignment="1">
      <alignment horizontal="center"/>
    </xf>
    <xf numFmtId="165" fontId="33" fillId="0" borderId="11" xfId="4" applyFont="1" applyFill="1" applyBorder="1" applyAlignment="1">
      <alignment horizontal="center" vertical="center" wrapText="1"/>
    </xf>
    <xf numFmtId="165" fontId="33" fillId="11" borderId="11" xfId="4" applyFont="1" applyFill="1" applyBorder="1" applyAlignment="1">
      <alignment horizontal="center" vertical="center" wrapText="1"/>
    </xf>
    <xf numFmtId="165" fontId="33" fillId="14" borderId="11" xfId="4" applyFont="1" applyFill="1" applyBorder="1" applyAlignment="1">
      <alignment horizontal="center" vertical="center" wrapText="1"/>
    </xf>
    <xf numFmtId="165" fontId="33" fillId="7" borderId="11" xfId="4" applyFont="1" applyFill="1" applyBorder="1" applyAlignment="1">
      <alignment horizontal="center" vertical="center"/>
    </xf>
    <xf numFmtId="0" fontId="0" fillId="30" borderId="8" xfId="0" applyFill="1" applyBorder="1" applyAlignment="1">
      <alignment horizontal="center"/>
    </xf>
    <xf numFmtId="0" fontId="0" fillId="29" borderId="10" xfId="0" applyFill="1" applyBorder="1" applyAlignment="1">
      <alignment horizontal="center"/>
    </xf>
    <xf numFmtId="0" fontId="0" fillId="29" borderId="11" xfId="0" applyFill="1" applyBorder="1" applyAlignment="1">
      <alignment horizontal="center"/>
    </xf>
    <xf numFmtId="0" fontId="0" fillId="29" borderId="8" xfId="0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65" fontId="33" fillId="31" borderId="11" xfId="4" applyFont="1" applyFill="1" applyBorder="1" applyAlignment="1">
      <alignment horizontal="center" vertical="center" wrapText="1"/>
    </xf>
    <xf numFmtId="0" fontId="0" fillId="13" borderId="10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38" fillId="13" borderId="10" xfId="0" applyFont="1" applyFill="1" applyBorder="1" applyAlignment="1">
      <alignment horizontal="center"/>
    </xf>
    <xf numFmtId="0" fontId="38" fillId="13" borderId="11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0" fillId="19" borderId="10" xfId="0" applyFill="1" applyBorder="1" applyAlignment="1">
      <alignment horizontal="center"/>
    </xf>
    <xf numFmtId="0" fontId="0" fillId="19" borderId="11" xfId="0" applyFill="1" applyBorder="1" applyAlignment="1">
      <alignment horizontal="center"/>
    </xf>
    <xf numFmtId="0" fontId="0" fillId="19" borderId="8" xfId="0" applyFill="1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/>
    </xf>
    <xf numFmtId="165" fontId="33" fillId="29" borderId="11" xfId="4" applyFont="1" applyFill="1" applyBorder="1" applyAlignment="1">
      <alignment horizontal="center" vertical="center" wrapText="1"/>
    </xf>
    <xf numFmtId="0" fontId="34" fillId="12" borderId="11" xfId="1" applyNumberFormat="1" applyFont="1" applyFill="1" applyBorder="1" applyAlignment="1">
      <alignment horizontal="center" vertical="center"/>
    </xf>
    <xf numFmtId="0" fontId="34" fillId="12" borderId="8" xfId="1" applyNumberFormat="1" applyFont="1" applyFill="1" applyBorder="1" applyAlignment="1">
      <alignment horizontal="center" vertical="center"/>
    </xf>
    <xf numFmtId="165" fontId="33" fillId="2" borderId="11" xfId="4" applyFont="1" applyFill="1" applyBorder="1" applyAlignment="1">
      <alignment horizontal="center" vertical="center" wrapText="1"/>
    </xf>
  </cellXfs>
  <cellStyles count="20">
    <cellStyle name="Comma" xfId="1" builtinId="3"/>
    <cellStyle name="Comma [0]" xfId="4" builtinId="6"/>
    <cellStyle name="Comma [0] 2" xfId="10" xr:uid="{00000000-0005-0000-0000-000002000000}"/>
    <cellStyle name="Comma [0] 2 2" xfId="15" xr:uid="{81271871-A7AA-422E-B785-E22404ACA258}"/>
    <cellStyle name="Comma [0] 2 3" xfId="14" xr:uid="{43593ED6-8D02-451B-81B2-E0ECCAEFAC0F}"/>
    <cellStyle name="Comma [0] 3" xfId="3" xr:uid="{00000000-0005-0000-0000-000003000000}"/>
    <cellStyle name="Comma 2" xfId="9" xr:uid="{00000000-0005-0000-0000-000004000000}"/>
    <cellStyle name="Comma 2 2" xfId="16" xr:uid="{E65C3F89-7FE1-47A7-A0E6-334F5A4A8F22}"/>
    <cellStyle name="Comma 3" xfId="17" xr:uid="{77568F7F-AC5A-4D2B-9FF1-2FCEBD5A6617}"/>
    <cellStyle name="Currency" xfId="2" builtinId="4"/>
    <cellStyle name="Normal" xfId="0" builtinId="0"/>
    <cellStyle name="Normal 2" xfId="5" xr:uid="{00000000-0005-0000-0000-000007000000}"/>
    <cellStyle name="Normal 2 2" xfId="7" xr:uid="{00000000-0005-0000-0000-000008000000}"/>
    <cellStyle name="Normal 2 2 2" xfId="18" xr:uid="{E679BC69-217F-458C-808A-17066EEB8BC6}"/>
    <cellStyle name="Normal 2 3" xfId="11" xr:uid="{00000000-0005-0000-0000-000009000000}"/>
    <cellStyle name="Normal 3" xfId="6" xr:uid="{00000000-0005-0000-0000-00000A000000}"/>
    <cellStyle name="Normal 3 2" xfId="12" xr:uid="{00000000-0005-0000-0000-00000B000000}"/>
    <cellStyle name="Normal 3 2 5" xfId="19" xr:uid="{CA2293DF-804F-41A8-B325-9F652003EDC5}"/>
    <cellStyle name="Normal 4" xfId="8" xr:uid="{00000000-0005-0000-0000-00000C000000}"/>
    <cellStyle name="Percent" xfId="1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O31"/>
  <sheetViews>
    <sheetView tabSelected="1" view="pageBreakPreview" topLeftCell="A2" zoomScale="90" zoomScaleSheetLayoutView="90" workbookViewId="0">
      <selection activeCell="B32" sqref="B32"/>
    </sheetView>
  </sheetViews>
  <sheetFormatPr defaultRowHeight="15" x14ac:dyDescent="0.25"/>
  <cols>
    <col min="2" max="2" width="26.42578125" customWidth="1"/>
    <col min="3" max="4" width="16.140625" customWidth="1"/>
    <col min="5" max="5" width="20.85546875" customWidth="1"/>
    <col min="6" max="6" width="23.28515625" customWidth="1"/>
    <col min="7" max="7" width="4.140625" customWidth="1"/>
    <col min="9" max="9" width="3.42578125" customWidth="1"/>
    <col min="10" max="10" width="9.85546875" bestFit="1" customWidth="1"/>
    <col min="12" max="12" width="19.85546875" customWidth="1"/>
  </cols>
  <sheetData>
    <row r="1" spans="1:15" ht="18.75" x14ac:dyDescent="0.3">
      <c r="A1" s="13" t="s">
        <v>149</v>
      </c>
      <c r="M1" t="s">
        <v>147</v>
      </c>
      <c r="N1" s="40"/>
      <c r="O1" t="s">
        <v>148</v>
      </c>
    </row>
    <row r="2" spans="1:15" ht="27.75" x14ac:dyDescent="0.5">
      <c r="A2" s="13" t="s">
        <v>609</v>
      </c>
      <c r="D2" s="296"/>
      <c r="E2" s="296"/>
    </row>
    <row r="3" spans="1:15" x14ac:dyDescent="0.25">
      <c r="J3" s="10" t="s">
        <v>171</v>
      </c>
    </row>
    <row r="4" spans="1:15" ht="22.5" customHeight="1" x14ac:dyDescent="0.25">
      <c r="A4" s="64" t="s">
        <v>77</v>
      </c>
      <c r="B4" s="64" t="s">
        <v>78</v>
      </c>
      <c r="C4" s="65" t="s">
        <v>210</v>
      </c>
      <c r="D4" s="30" t="s">
        <v>211</v>
      </c>
      <c r="E4" s="29" t="s">
        <v>213</v>
      </c>
      <c r="F4" s="30" t="s">
        <v>214</v>
      </c>
      <c r="G4" s="32"/>
      <c r="H4" s="38" t="s">
        <v>81</v>
      </c>
      <c r="I4" s="34" t="s">
        <v>146</v>
      </c>
      <c r="J4" s="39"/>
      <c r="K4" s="39"/>
    </row>
    <row r="5" spans="1:15" ht="23.25" customHeight="1" x14ac:dyDescent="0.25">
      <c r="A5" s="36">
        <v>1</v>
      </c>
      <c r="B5" s="37" t="s">
        <v>320</v>
      </c>
      <c r="C5" s="35">
        <f>'AKM &amp; P5'!H23</f>
        <v>0</v>
      </c>
      <c r="D5" s="35">
        <f>'AKM &amp; P5'!J23</f>
        <v>0</v>
      </c>
      <c r="E5" s="84">
        <f>'AKM &amp; P5'!K23</f>
        <v>0</v>
      </c>
      <c r="F5" s="84">
        <f>'AKM &amp; P5'!L23</f>
        <v>0</v>
      </c>
      <c r="H5" s="38" t="s">
        <v>82</v>
      </c>
      <c r="I5" s="34" t="s">
        <v>146</v>
      </c>
      <c r="J5" s="39"/>
      <c r="K5" s="39"/>
    </row>
    <row r="6" spans="1:15" ht="23.25" customHeight="1" x14ac:dyDescent="0.25">
      <c r="A6" s="36">
        <v>2</v>
      </c>
      <c r="B6" s="37" t="s">
        <v>183</v>
      </c>
      <c r="C6" s="35">
        <f>sd!F94+sd!R18</f>
        <v>0</v>
      </c>
      <c r="D6" s="35">
        <f>sd!I94+sd!U18</f>
        <v>0</v>
      </c>
      <c r="E6" s="84">
        <f>sd!J94+sd!V18</f>
        <v>0</v>
      </c>
      <c r="F6" s="84">
        <f>sd!K94+sd!W18</f>
        <v>0</v>
      </c>
      <c r="H6" s="38" t="s">
        <v>145</v>
      </c>
      <c r="I6" s="34" t="s">
        <v>146</v>
      </c>
      <c r="J6" s="158"/>
      <c r="K6" s="39"/>
    </row>
    <row r="7" spans="1:15" ht="23.25" customHeight="1" x14ac:dyDescent="0.25">
      <c r="A7" s="36">
        <v>3</v>
      </c>
      <c r="B7" s="37" t="s">
        <v>184</v>
      </c>
      <c r="C7" s="35">
        <f>+SMP!F75</f>
        <v>0</v>
      </c>
      <c r="D7" s="35">
        <f>+SMP!I75</f>
        <v>0</v>
      </c>
      <c r="E7" s="84">
        <f>+SMP!J75</f>
        <v>0</v>
      </c>
      <c r="F7" s="84">
        <f>+SMP!K75</f>
        <v>0</v>
      </c>
    </row>
    <row r="8" spans="1:15" ht="23.25" customHeight="1" x14ac:dyDescent="0.25">
      <c r="A8" s="36">
        <v>4</v>
      </c>
      <c r="B8" s="37" t="s">
        <v>352</v>
      </c>
      <c r="C8" s="35">
        <f>+SMA!F100+SMA!R23</f>
        <v>0</v>
      </c>
      <c r="D8" s="35">
        <f>SMA!I100+SMA!U23</f>
        <v>0</v>
      </c>
      <c r="E8" s="84">
        <f>+SMA!J100+SMA!V23</f>
        <v>0</v>
      </c>
      <c r="F8" s="84">
        <f>+SMA!K100+SMA!W23</f>
        <v>0</v>
      </c>
    </row>
    <row r="9" spans="1:15" ht="23.25" customHeight="1" x14ac:dyDescent="0.25">
      <c r="A9" s="36">
        <v>5</v>
      </c>
      <c r="B9" s="37" t="s">
        <v>186</v>
      </c>
      <c r="C9" s="35">
        <f>+SMK!G29</f>
        <v>0</v>
      </c>
      <c r="D9" s="35">
        <f>+SMK!I29</f>
        <v>0</v>
      </c>
      <c r="E9" s="84">
        <f>+SMK!J29</f>
        <v>0</v>
      </c>
      <c r="F9" s="84">
        <f>+SMK!K29</f>
        <v>0</v>
      </c>
    </row>
    <row r="10" spans="1:15" ht="23.25" customHeight="1" x14ac:dyDescent="0.5">
      <c r="A10" s="36">
        <v>6</v>
      </c>
      <c r="B10" s="37" t="s">
        <v>321</v>
      </c>
      <c r="C10" s="35">
        <f>PROD!G72</f>
        <v>0</v>
      </c>
      <c r="D10" s="35">
        <f>PROD!I72</f>
        <v>0</v>
      </c>
      <c r="E10" s="84">
        <f>PROD!J72</f>
        <v>0</v>
      </c>
      <c r="F10" s="84">
        <f>PROD!K72</f>
        <v>0</v>
      </c>
      <c r="H10" s="91"/>
      <c r="I10" s="91"/>
    </row>
    <row r="11" spans="1:15" ht="23.25" customHeight="1" x14ac:dyDescent="0.25">
      <c r="A11" s="36">
        <v>7</v>
      </c>
      <c r="B11" s="37" t="s">
        <v>105</v>
      </c>
      <c r="C11" s="35">
        <f>MADRASAH!G70</f>
        <v>0</v>
      </c>
      <c r="D11" s="35">
        <f>MADRASAH!J70</f>
        <v>0</v>
      </c>
      <c r="E11" s="84">
        <f>MADRASAH!K70</f>
        <v>0</v>
      </c>
      <c r="F11" s="84">
        <f>MADRASAH!L70</f>
        <v>0</v>
      </c>
    </row>
    <row r="12" spans="1:15" ht="23.25" customHeight="1" x14ac:dyDescent="0.25">
      <c r="A12" s="36">
        <v>8</v>
      </c>
      <c r="B12" s="37" t="s">
        <v>524</v>
      </c>
      <c r="C12" s="35">
        <f>TKA!G25</f>
        <v>0</v>
      </c>
      <c r="D12" s="35">
        <f>TKA!I25</f>
        <v>0</v>
      </c>
      <c r="E12" s="84">
        <f>TKA!J25</f>
        <v>0</v>
      </c>
      <c r="F12" s="84">
        <f>TKA!K25</f>
        <v>0</v>
      </c>
    </row>
    <row r="13" spans="1:15" ht="23.25" customHeight="1" x14ac:dyDescent="0.25">
      <c r="A13" s="36">
        <v>9</v>
      </c>
      <c r="B13" s="37" t="s">
        <v>633</v>
      </c>
      <c r="C13" s="35">
        <f>'ASAJ UM'!F39</f>
        <v>0</v>
      </c>
      <c r="D13" s="35">
        <f>'ASAJ UM'!H39</f>
        <v>0</v>
      </c>
      <c r="E13" s="84">
        <f>'ASAJ UM'!I39</f>
        <v>0</v>
      </c>
      <c r="F13" s="84">
        <f>'ASAJ UM'!J39</f>
        <v>0</v>
      </c>
    </row>
    <row r="14" spans="1:15" ht="23.25" customHeight="1" x14ac:dyDescent="0.25">
      <c r="A14" s="36">
        <v>10</v>
      </c>
      <c r="B14" s="37" t="s">
        <v>464</v>
      </c>
      <c r="C14" s="35">
        <f>'jurnal &amp; tk'!F27</f>
        <v>0</v>
      </c>
      <c r="D14" s="35"/>
      <c r="E14" s="84">
        <f>'jurnal &amp; tk'!G27</f>
        <v>0</v>
      </c>
      <c r="F14" s="84"/>
    </row>
    <row r="15" spans="1:15" ht="27" customHeight="1" x14ac:dyDescent="0.25">
      <c r="C15" s="74">
        <f>SUM(C5:C14)</f>
        <v>0</v>
      </c>
      <c r="D15" s="75">
        <f>SUM(D5:D14)</f>
        <v>0</v>
      </c>
      <c r="E15" s="121">
        <f>SUM(E5:E14)</f>
        <v>0</v>
      </c>
      <c r="F15" s="122">
        <f>SUM(F5:F14)</f>
        <v>0</v>
      </c>
      <c r="J15" s="3"/>
    </row>
    <row r="16" spans="1:15" ht="27" customHeight="1" x14ac:dyDescent="0.25">
      <c r="B16" s="28" t="s">
        <v>215</v>
      </c>
      <c r="C16" s="63" t="s">
        <v>216</v>
      </c>
      <c r="D16" s="68">
        <f>C15+D15</f>
        <v>0</v>
      </c>
      <c r="E16" s="68" t="s">
        <v>79</v>
      </c>
      <c r="F16" s="118">
        <f>E15+F15</f>
        <v>0</v>
      </c>
    </row>
    <row r="17" spans="1:6" x14ac:dyDescent="0.25">
      <c r="B17" s="28"/>
      <c r="C17" s="73"/>
      <c r="D17" s="28" t="s">
        <v>143</v>
      </c>
      <c r="E17" s="72"/>
      <c r="F17" s="119">
        <f>F16*E17</f>
        <v>0</v>
      </c>
    </row>
    <row r="18" spans="1:6" ht="15.75" x14ac:dyDescent="0.25">
      <c r="B18" s="28"/>
      <c r="C18" s="28"/>
      <c r="D18" s="28" t="s">
        <v>144</v>
      </c>
      <c r="E18" s="69"/>
      <c r="F18" s="120">
        <f>F16-F17</f>
        <v>0</v>
      </c>
    </row>
    <row r="19" spans="1:6" x14ac:dyDescent="0.25">
      <c r="B19" s="28"/>
      <c r="C19" s="28"/>
      <c r="D19" s="28" t="s">
        <v>106</v>
      </c>
      <c r="F19" s="119"/>
    </row>
    <row r="20" spans="1:6" x14ac:dyDescent="0.25">
      <c r="B20" s="28"/>
      <c r="C20" s="28"/>
      <c r="D20" s="28" t="s">
        <v>107</v>
      </c>
      <c r="E20" s="3"/>
      <c r="F20" s="119">
        <f>F18+F19</f>
        <v>0</v>
      </c>
    </row>
    <row r="21" spans="1:6" x14ac:dyDescent="0.25">
      <c r="B21" s="28"/>
      <c r="C21" s="28"/>
      <c r="D21" s="28" t="s">
        <v>108</v>
      </c>
      <c r="F21" s="119"/>
    </row>
    <row r="22" spans="1:6" ht="27" customHeight="1" x14ac:dyDescent="0.25">
      <c r="B22" s="28"/>
      <c r="C22" s="28"/>
      <c r="D22" s="28" t="s">
        <v>109</v>
      </c>
      <c r="E22" s="3"/>
      <c r="F22" s="123">
        <f>F20-F21</f>
        <v>0</v>
      </c>
    </row>
    <row r="23" spans="1:6" x14ac:dyDescent="0.25">
      <c r="B23" s="41"/>
      <c r="C23" s="41"/>
      <c r="D23" s="3"/>
      <c r="E23" s="3"/>
    </row>
    <row r="24" spans="1:6" x14ac:dyDescent="0.25">
      <c r="A24" s="28" t="s">
        <v>170</v>
      </c>
      <c r="B24" s="41"/>
      <c r="C24" s="41"/>
      <c r="D24" s="3"/>
      <c r="E24" s="3"/>
    </row>
    <row r="25" spans="1:6" x14ac:dyDescent="0.25">
      <c r="A25" s="92">
        <v>1</v>
      </c>
      <c r="B25" s="117" t="s">
        <v>347</v>
      </c>
      <c r="C25" s="41"/>
      <c r="D25" s="3"/>
      <c r="E25" s="3"/>
    </row>
    <row r="26" spans="1:6" x14ac:dyDescent="0.25">
      <c r="A26" s="92"/>
      <c r="B26" s="28" t="s">
        <v>351</v>
      </c>
      <c r="C26" s="41"/>
      <c r="D26" s="3"/>
      <c r="E26" s="3"/>
    </row>
    <row r="27" spans="1:6" x14ac:dyDescent="0.25">
      <c r="A27" s="92"/>
      <c r="B27" s="28" t="s">
        <v>405</v>
      </c>
    </row>
    <row r="28" spans="1:6" x14ac:dyDescent="0.25">
      <c r="B28" s="28" t="s">
        <v>348</v>
      </c>
    </row>
    <row r="29" spans="1:6" x14ac:dyDescent="0.25">
      <c r="A29" s="92">
        <v>2</v>
      </c>
      <c r="B29" s="28" t="s">
        <v>349</v>
      </c>
    </row>
    <row r="30" spans="1:6" x14ac:dyDescent="0.25">
      <c r="A30" s="92">
        <v>3</v>
      </c>
      <c r="B30" s="28" t="s">
        <v>217</v>
      </c>
    </row>
    <row r="31" spans="1:6" x14ac:dyDescent="0.25">
      <c r="A31" s="6">
        <v>4</v>
      </c>
      <c r="B31" s="28" t="s">
        <v>642</v>
      </c>
    </row>
  </sheetData>
  <mergeCells count="1">
    <mergeCell ref="D2:E2"/>
  </mergeCells>
  <pageMargins left="0.31496062992125984" right="0.35433070866141736" top="0.55118110236220474" bottom="0.74803149606299213" header="0.31496062992125984" footer="0.31496062992125984"/>
  <pageSetup paperSize="20480" scale="51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/>
  <dimension ref="A1:N34"/>
  <sheetViews>
    <sheetView view="pageBreakPreview" zoomScale="90" zoomScaleNormal="100" zoomScaleSheetLayoutView="90" workbookViewId="0">
      <selection activeCell="A17" sqref="A17:J19"/>
    </sheetView>
  </sheetViews>
  <sheetFormatPr defaultRowHeight="15" x14ac:dyDescent="0.25"/>
  <cols>
    <col min="4" max="4" width="28.28515625" customWidth="1"/>
    <col min="5" max="5" width="7" customWidth="1"/>
    <col min="7" max="7" width="9.5703125" bestFit="1" customWidth="1"/>
    <col min="8" max="8" width="12" customWidth="1"/>
    <col min="9" max="9" width="11.140625" customWidth="1"/>
    <col min="10" max="10" width="13.5703125" customWidth="1"/>
    <col min="11" max="11" width="13.7109375" hidden="1" customWidth="1"/>
    <col min="12" max="12" width="10.85546875" hidden="1" customWidth="1"/>
  </cols>
  <sheetData>
    <row r="1" spans="1:14" ht="30" x14ac:dyDescent="0.4">
      <c r="A1" s="1" t="s">
        <v>317</v>
      </c>
      <c r="B1" s="53"/>
      <c r="C1" s="53"/>
      <c r="D1" s="53"/>
      <c r="E1" s="53"/>
      <c r="F1" s="53"/>
      <c r="G1" s="53"/>
      <c r="H1" s="53"/>
      <c r="I1" s="53"/>
    </row>
    <row r="2" spans="1:14" ht="19.5" x14ac:dyDescent="0.25">
      <c r="A2" s="265" t="s">
        <v>583</v>
      </c>
      <c r="B2" s="266">
        <f>REKAP!$J$4</f>
        <v>0</v>
      </c>
      <c r="C2" s="55"/>
      <c r="D2" s="42"/>
      <c r="E2" s="42"/>
      <c r="F2" s="42"/>
      <c r="G2" s="89"/>
      <c r="H2" s="42"/>
      <c r="I2" s="42"/>
    </row>
    <row r="3" spans="1:14" ht="7.5" customHeight="1" x14ac:dyDescent="0.25">
      <c r="A3" s="43"/>
      <c r="B3" s="54"/>
      <c r="C3" s="55"/>
      <c r="D3" s="42"/>
      <c r="E3" s="42"/>
      <c r="F3" s="42"/>
      <c r="G3" s="42"/>
      <c r="H3" s="42"/>
      <c r="I3" s="42"/>
    </row>
    <row r="4" spans="1:14" ht="24.75" customHeight="1" x14ac:dyDescent="0.25">
      <c r="A4" s="207" t="s">
        <v>0</v>
      </c>
      <c r="B4" s="207" t="s">
        <v>181</v>
      </c>
      <c r="C4" s="208" t="s">
        <v>182</v>
      </c>
      <c r="D4" s="208" t="s">
        <v>76</v>
      </c>
      <c r="E4" s="208" t="s">
        <v>1</v>
      </c>
      <c r="F4" s="209" t="s">
        <v>2</v>
      </c>
      <c r="G4" s="210" t="s">
        <v>3</v>
      </c>
      <c r="H4" s="210" t="s">
        <v>207</v>
      </c>
      <c r="I4" s="164" t="s">
        <v>212</v>
      </c>
      <c r="J4" s="164" t="s">
        <v>209</v>
      </c>
    </row>
    <row r="5" spans="1:14" ht="20.25" customHeight="1" x14ac:dyDescent="0.25">
      <c r="A5" s="204">
        <v>1</v>
      </c>
      <c r="B5" s="163" t="s">
        <v>183</v>
      </c>
      <c r="C5" s="303" t="s">
        <v>188</v>
      </c>
      <c r="D5" s="205" t="s">
        <v>183</v>
      </c>
      <c r="E5" s="205"/>
      <c r="F5" s="206">
        <v>176</v>
      </c>
      <c r="G5" s="206">
        <v>17800</v>
      </c>
      <c r="H5" s="166"/>
      <c r="I5" s="206">
        <v>29800</v>
      </c>
      <c r="J5" s="166"/>
      <c r="K5" s="70">
        <f t="shared" ref="K5" si="0">H5*G5</f>
        <v>0</v>
      </c>
      <c r="L5" s="70">
        <f t="shared" ref="L5" si="1">J5*I5</f>
        <v>0</v>
      </c>
      <c r="N5" s="3"/>
    </row>
    <row r="6" spans="1:14" ht="20.25" customHeight="1" x14ac:dyDescent="0.25">
      <c r="A6" s="147">
        <v>2</v>
      </c>
      <c r="B6" s="58" t="s">
        <v>184</v>
      </c>
      <c r="C6" s="303"/>
      <c r="D6" s="57" t="s">
        <v>184</v>
      </c>
      <c r="E6" s="57"/>
      <c r="F6" s="56">
        <v>176</v>
      </c>
      <c r="G6" s="56">
        <v>17800</v>
      </c>
      <c r="H6" s="166"/>
      <c r="I6" s="62">
        <v>28000</v>
      </c>
      <c r="J6" s="166"/>
      <c r="K6" s="70">
        <f t="shared" ref="K6:K22" si="2">H6*G6</f>
        <v>0</v>
      </c>
      <c r="L6" s="70">
        <f t="shared" ref="L6:L22" si="3">J6*I6</f>
        <v>0</v>
      </c>
      <c r="N6" s="3"/>
    </row>
    <row r="7" spans="1:14" ht="20.25" customHeight="1" x14ac:dyDescent="0.25">
      <c r="A7" s="147">
        <v>3</v>
      </c>
      <c r="B7" s="58" t="s">
        <v>185</v>
      </c>
      <c r="C7" s="304"/>
      <c r="D7" s="57" t="s">
        <v>190</v>
      </c>
      <c r="E7" s="57"/>
      <c r="F7" s="56">
        <v>240</v>
      </c>
      <c r="G7" s="56">
        <v>23800</v>
      </c>
      <c r="H7" s="166"/>
      <c r="I7" s="56">
        <v>36500</v>
      </c>
      <c r="J7" s="166"/>
      <c r="K7" s="70">
        <f t="shared" si="2"/>
        <v>0</v>
      </c>
      <c r="L7" s="70">
        <f t="shared" si="3"/>
        <v>0</v>
      </c>
    </row>
    <row r="8" spans="1:14" ht="20.25" customHeight="1" x14ac:dyDescent="0.25">
      <c r="A8" s="289">
        <v>4</v>
      </c>
      <c r="B8" s="290" t="s">
        <v>183</v>
      </c>
      <c r="C8" s="297" t="s">
        <v>189</v>
      </c>
      <c r="D8" s="291" t="s">
        <v>91</v>
      </c>
      <c r="E8" s="291"/>
      <c r="F8" s="292">
        <v>144</v>
      </c>
      <c r="G8" s="292">
        <v>15300</v>
      </c>
      <c r="H8" s="293"/>
      <c r="I8" s="293">
        <v>19500</v>
      </c>
      <c r="J8" s="293"/>
      <c r="K8" s="70">
        <f t="shared" si="2"/>
        <v>0</v>
      </c>
      <c r="L8" s="70">
        <f t="shared" si="3"/>
        <v>0</v>
      </c>
    </row>
    <row r="9" spans="1:14" ht="20.25" customHeight="1" x14ac:dyDescent="0.25">
      <c r="A9" s="289">
        <v>5</v>
      </c>
      <c r="B9" s="290" t="s">
        <v>184</v>
      </c>
      <c r="C9" s="298"/>
      <c r="D9" s="291" t="s">
        <v>187</v>
      </c>
      <c r="E9" s="291"/>
      <c r="F9" s="292">
        <v>144</v>
      </c>
      <c r="G9" s="292">
        <v>15300</v>
      </c>
      <c r="H9" s="293"/>
      <c r="I9" s="292">
        <v>24500</v>
      </c>
      <c r="J9" s="293"/>
      <c r="K9" s="70">
        <f t="shared" si="2"/>
        <v>0</v>
      </c>
      <c r="L9" s="70">
        <f t="shared" si="3"/>
        <v>0</v>
      </c>
    </row>
    <row r="10" spans="1:14" ht="20.25" customHeight="1" x14ac:dyDescent="0.25">
      <c r="A10" s="289">
        <v>6</v>
      </c>
      <c r="B10" s="290" t="s">
        <v>185</v>
      </c>
      <c r="C10" s="299"/>
      <c r="D10" s="291" t="s">
        <v>191</v>
      </c>
      <c r="E10" s="291"/>
      <c r="F10" s="292">
        <v>144</v>
      </c>
      <c r="G10" s="292">
        <v>15300</v>
      </c>
      <c r="H10" s="293"/>
      <c r="I10" s="293">
        <v>23000</v>
      </c>
      <c r="J10" s="293"/>
      <c r="K10" s="70">
        <f t="shared" si="2"/>
        <v>0</v>
      </c>
      <c r="L10" s="70">
        <f t="shared" si="3"/>
        <v>0</v>
      </c>
    </row>
    <row r="11" spans="1:14" ht="20.25" customHeight="1" x14ac:dyDescent="0.25">
      <c r="A11" s="147">
        <v>7</v>
      </c>
      <c r="B11" s="58"/>
      <c r="C11" s="305" t="s">
        <v>183</v>
      </c>
      <c r="D11" s="57" t="s">
        <v>314</v>
      </c>
      <c r="E11" s="17">
        <v>1</v>
      </c>
      <c r="F11" s="56">
        <v>128</v>
      </c>
      <c r="G11" s="56">
        <v>13600</v>
      </c>
      <c r="H11" s="166"/>
      <c r="I11" s="62"/>
      <c r="J11" s="148"/>
      <c r="K11" s="70">
        <f t="shared" si="2"/>
        <v>0</v>
      </c>
      <c r="L11" s="70">
        <f t="shared" si="3"/>
        <v>0</v>
      </c>
    </row>
    <row r="12" spans="1:14" ht="20.25" customHeight="1" x14ac:dyDescent="0.25">
      <c r="A12" s="147">
        <v>8</v>
      </c>
      <c r="B12" s="58"/>
      <c r="C12" s="303"/>
      <c r="D12" s="57" t="s">
        <v>314</v>
      </c>
      <c r="E12" s="17">
        <v>2</v>
      </c>
      <c r="F12" s="56">
        <v>128</v>
      </c>
      <c r="G12" s="56">
        <v>13600</v>
      </c>
      <c r="H12" s="166"/>
      <c r="I12" s="62"/>
      <c r="J12" s="148"/>
      <c r="K12" s="70">
        <f t="shared" si="2"/>
        <v>0</v>
      </c>
      <c r="L12" s="70">
        <f t="shared" si="3"/>
        <v>0</v>
      </c>
    </row>
    <row r="13" spans="1:14" ht="20.25" customHeight="1" x14ac:dyDescent="0.25">
      <c r="A13" s="147">
        <v>9</v>
      </c>
      <c r="B13" s="58"/>
      <c r="C13" s="303"/>
      <c r="D13" s="57" t="s">
        <v>314</v>
      </c>
      <c r="E13" s="17">
        <v>3</v>
      </c>
      <c r="F13" s="56">
        <v>128</v>
      </c>
      <c r="G13" s="56">
        <v>13600</v>
      </c>
      <c r="H13" s="166"/>
      <c r="I13" s="62"/>
      <c r="J13" s="148"/>
      <c r="K13" s="70">
        <f t="shared" si="2"/>
        <v>0</v>
      </c>
      <c r="L13" s="70">
        <f t="shared" si="3"/>
        <v>0</v>
      </c>
    </row>
    <row r="14" spans="1:14" ht="20.25" customHeight="1" x14ac:dyDescent="0.25">
      <c r="A14" s="147">
        <v>10</v>
      </c>
      <c r="B14" s="58"/>
      <c r="C14" s="303"/>
      <c r="D14" s="57" t="s">
        <v>314</v>
      </c>
      <c r="E14" s="17">
        <v>4</v>
      </c>
      <c r="F14" s="56">
        <v>128</v>
      </c>
      <c r="G14" s="56">
        <v>13600</v>
      </c>
      <c r="H14" s="166"/>
      <c r="I14" s="62"/>
      <c r="J14" s="148"/>
      <c r="K14" s="70">
        <f t="shared" si="2"/>
        <v>0</v>
      </c>
      <c r="L14" s="70">
        <f t="shared" si="3"/>
        <v>0</v>
      </c>
    </row>
    <row r="15" spans="1:14" ht="20.25" customHeight="1" x14ac:dyDescent="0.25">
      <c r="A15" s="147">
        <v>11</v>
      </c>
      <c r="B15" s="58"/>
      <c r="C15" s="303"/>
      <c r="D15" s="57" t="s">
        <v>314</v>
      </c>
      <c r="E15" s="17">
        <v>5</v>
      </c>
      <c r="F15" s="56">
        <v>128</v>
      </c>
      <c r="G15" s="56">
        <v>13600</v>
      </c>
      <c r="H15" s="166"/>
      <c r="I15" s="62"/>
      <c r="J15" s="148"/>
      <c r="K15" s="70">
        <f t="shared" si="2"/>
        <v>0</v>
      </c>
      <c r="L15" s="70">
        <f t="shared" si="3"/>
        <v>0</v>
      </c>
    </row>
    <row r="16" spans="1:14" ht="20.25" customHeight="1" x14ac:dyDescent="0.25">
      <c r="A16" s="147">
        <v>12</v>
      </c>
      <c r="B16" s="58"/>
      <c r="C16" s="304"/>
      <c r="D16" s="57" t="s">
        <v>314</v>
      </c>
      <c r="E16" s="17">
        <v>6</v>
      </c>
      <c r="F16" s="56">
        <v>128</v>
      </c>
      <c r="G16" s="56">
        <v>13600</v>
      </c>
      <c r="H16" s="166"/>
      <c r="I16" s="62"/>
      <c r="J16" s="148"/>
      <c r="K16" s="70">
        <f t="shared" si="2"/>
        <v>0</v>
      </c>
      <c r="L16" s="70">
        <f t="shared" si="3"/>
        <v>0</v>
      </c>
    </row>
    <row r="17" spans="1:12" ht="20.25" customHeight="1" x14ac:dyDescent="0.25">
      <c r="A17" s="289">
        <v>13</v>
      </c>
      <c r="B17" s="290"/>
      <c r="C17" s="297" t="s">
        <v>184</v>
      </c>
      <c r="D17" s="291" t="s">
        <v>315</v>
      </c>
      <c r="E17" s="294">
        <v>7</v>
      </c>
      <c r="F17" s="292">
        <v>128</v>
      </c>
      <c r="G17" s="292">
        <v>13600</v>
      </c>
      <c r="H17" s="293"/>
      <c r="I17" s="293"/>
      <c r="J17" s="295"/>
      <c r="K17" s="70">
        <f t="shared" si="2"/>
        <v>0</v>
      </c>
      <c r="L17" s="70">
        <f t="shared" si="3"/>
        <v>0</v>
      </c>
    </row>
    <row r="18" spans="1:12" ht="20.25" customHeight="1" x14ac:dyDescent="0.25">
      <c r="A18" s="289">
        <v>14</v>
      </c>
      <c r="B18" s="290"/>
      <c r="C18" s="298"/>
      <c r="D18" s="291" t="s">
        <v>315</v>
      </c>
      <c r="E18" s="294">
        <v>8</v>
      </c>
      <c r="F18" s="292">
        <v>128</v>
      </c>
      <c r="G18" s="292">
        <v>13600</v>
      </c>
      <c r="H18" s="293"/>
      <c r="I18" s="293"/>
      <c r="J18" s="295"/>
      <c r="K18" s="70">
        <f t="shared" si="2"/>
        <v>0</v>
      </c>
      <c r="L18" s="70">
        <f t="shared" si="3"/>
        <v>0</v>
      </c>
    </row>
    <row r="19" spans="1:12" ht="20.25" customHeight="1" x14ac:dyDescent="0.25">
      <c r="A19" s="289">
        <v>15</v>
      </c>
      <c r="B19" s="290"/>
      <c r="C19" s="299"/>
      <c r="D19" s="291" t="s">
        <v>315</v>
      </c>
      <c r="E19" s="294">
        <v>9</v>
      </c>
      <c r="F19" s="292">
        <v>128</v>
      </c>
      <c r="G19" s="292">
        <v>13600</v>
      </c>
      <c r="H19" s="293"/>
      <c r="I19" s="293"/>
      <c r="J19" s="295"/>
      <c r="K19" s="70">
        <f t="shared" si="2"/>
        <v>0</v>
      </c>
      <c r="L19" s="70">
        <f t="shared" si="3"/>
        <v>0</v>
      </c>
    </row>
    <row r="20" spans="1:12" ht="20.25" customHeight="1" x14ac:dyDescent="0.25">
      <c r="A20" s="147">
        <v>16</v>
      </c>
      <c r="B20" s="58"/>
      <c r="C20" s="305" t="s">
        <v>185</v>
      </c>
      <c r="D20" s="57" t="s">
        <v>316</v>
      </c>
      <c r="E20" s="17">
        <v>10</v>
      </c>
      <c r="F20" s="56">
        <v>128</v>
      </c>
      <c r="G20" s="56">
        <v>13600</v>
      </c>
      <c r="H20" s="166"/>
      <c r="I20" s="62"/>
      <c r="J20" s="148"/>
      <c r="K20" s="70">
        <f t="shared" si="2"/>
        <v>0</v>
      </c>
      <c r="L20" s="70">
        <f t="shared" si="3"/>
        <v>0</v>
      </c>
    </row>
    <row r="21" spans="1:12" ht="20.25" customHeight="1" x14ac:dyDescent="0.25">
      <c r="A21" s="147">
        <v>17</v>
      </c>
      <c r="B21" s="58"/>
      <c r="C21" s="303"/>
      <c r="D21" s="57" t="s">
        <v>316</v>
      </c>
      <c r="E21" s="17">
        <v>11</v>
      </c>
      <c r="F21" s="56">
        <v>128</v>
      </c>
      <c r="G21" s="56">
        <v>13600</v>
      </c>
      <c r="H21" s="166"/>
      <c r="I21" s="62"/>
      <c r="J21" s="148"/>
      <c r="K21" s="70">
        <f t="shared" si="2"/>
        <v>0</v>
      </c>
      <c r="L21" s="70">
        <f t="shared" si="3"/>
        <v>0</v>
      </c>
    </row>
    <row r="22" spans="1:12" ht="20.25" customHeight="1" thickBot="1" x14ac:dyDescent="0.3">
      <c r="A22" s="149">
        <v>18</v>
      </c>
      <c r="B22" s="150"/>
      <c r="C22" s="306"/>
      <c r="D22" s="151" t="s">
        <v>316</v>
      </c>
      <c r="E22" s="152">
        <v>12</v>
      </c>
      <c r="F22" s="153">
        <v>128</v>
      </c>
      <c r="G22" s="153">
        <v>13600</v>
      </c>
      <c r="H22" s="166"/>
      <c r="I22" s="154"/>
      <c r="J22" s="155"/>
      <c r="K22" s="70">
        <f t="shared" si="2"/>
        <v>0</v>
      </c>
      <c r="L22" s="70">
        <f t="shared" si="3"/>
        <v>0</v>
      </c>
    </row>
    <row r="23" spans="1:12" ht="16.5" thickBot="1" x14ac:dyDescent="0.3">
      <c r="A23" s="44"/>
      <c r="B23" s="14"/>
      <c r="C23" s="59"/>
      <c r="D23" s="15"/>
      <c r="E23" s="15"/>
      <c r="F23" s="131"/>
      <c r="G23" s="131"/>
      <c r="H23" s="157">
        <f>SUM(H5:H22)</f>
        <v>0</v>
      </c>
      <c r="I23" s="131"/>
      <c r="J23" s="157">
        <f>SUM(J5:J10)</f>
        <v>0</v>
      </c>
      <c r="K23" s="156">
        <f t="shared" ref="K23" si="4">SUM(K5:K22)</f>
        <v>0</v>
      </c>
      <c r="L23" s="157">
        <f>SUM(L5:L10)</f>
        <v>0</v>
      </c>
    </row>
    <row r="24" spans="1:12" ht="15.75" x14ac:dyDescent="0.25">
      <c r="A24" s="44"/>
      <c r="B24" s="14"/>
      <c r="C24" s="59"/>
      <c r="D24" s="15"/>
      <c r="E24" s="15"/>
      <c r="F24" s="45"/>
      <c r="G24" s="45"/>
      <c r="H24" s="45"/>
      <c r="I24" s="45"/>
    </row>
    <row r="25" spans="1:12" ht="15.75" x14ac:dyDescent="0.25">
      <c r="A25" s="44"/>
      <c r="B25" s="18" t="s">
        <v>81</v>
      </c>
      <c r="C25" s="18" t="s">
        <v>146</v>
      </c>
      <c r="D25" s="60">
        <f>REKAP!J4</f>
        <v>0</v>
      </c>
      <c r="E25" s="60"/>
      <c r="F25" s="10"/>
      <c r="G25" s="45"/>
      <c r="H25" s="45"/>
      <c r="I25" s="45"/>
    </row>
    <row r="26" spans="1:12" ht="15.75" x14ac:dyDescent="0.25">
      <c r="A26" s="44"/>
      <c r="B26" s="6" t="s">
        <v>136</v>
      </c>
      <c r="C26" s="6" t="s">
        <v>146</v>
      </c>
      <c r="D26" s="60">
        <f>REKAP!J5</f>
        <v>0</v>
      </c>
      <c r="E26" s="60"/>
      <c r="F26" s="10"/>
      <c r="G26" s="45"/>
      <c r="H26" s="45"/>
      <c r="I26" s="45"/>
    </row>
    <row r="27" spans="1:12" ht="15.75" x14ac:dyDescent="0.25">
      <c r="A27" s="44"/>
      <c r="B27" s="32" t="s">
        <v>145</v>
      </c>
      <c r="C27" s="32" t="s">
        <v>146</v>
      </c>
      <c r="D27" s="60">
        <f>REKAP!J6</f>
        <v>0</v>
      </c>
      <c r="E27" s="60"/>
      <c r="F27" s="10"/>
      <c r="G27" s="45"/>
      <c r="H27" s="45"/>
      <c r="I27" s="45"/>
    </row>
    <row r="28" spans="1:12" ht="15.75" x14ac:dyDescent="0.25">
      <c r="A28" s="44"/>
      <c r="B28" s="32"/>
      <c r="C28" s="32"/>
      <c r="D28" s="300"/>
      <c r="E28" s="300"/>
      <c r="F28" s="300"/>
      <c r="G28" s="45"/>
      <c r="H28" s="45"/>
      <c r="I28" s="45"/>
    </row>
    <row r="29" spans="1:12" ht="15.75" x14ac:dyDescent="0.25">
      <c r="A29" s="44"/>
      <c r="B29" s="19"/>
      <c r="C29" s="10"/>
      <c r="D29" s="10"/>
      <c r="E29" s="10"/>
      <c r="F29" s="10"/>
      <c r="G29" s="45"/>
      <c r="H29" s="45"/>
      <c r="I29" s="45"/>
    </row>
    <row r="30" spans="1:12" ht="15.75" x14ac:dyDescent="0.25">
      <c r="A30" s="44"/>
      <c r="B30" s="19"/>
      <c r="C30" s="10"/>
      <c r="D30" s="10"/>
      <c r="E30" s="10"/>
      <c r="F30" s="10"/>
      <c r="G30" s="45"/>
      <c r="H30" s="45"/>
      <c r="I30" s="45"/>
    </row>
    <row r="31" spans="1:12" ht="15.75" x14ac:dyDescent="0.25">
      <c r="A31" s="44"/>
      <c r="B31" s="19"/>
      <c r="C31" s="10"/>
      <c r="D31" s="10"/>
      <c r="E31" s="10"/>
      <c r="F31" s="10"/>
      <c r="G31" s="45"/>
      <c r="H31" s="45"/>
      <c r="I31" s="45"/>
    </row>
    <row r="32" spans="1:12" ht="15.75" x14ac:dyDescent="0.25">
      <c r="A32" s="44"/>
      <c r="C32" s="10"/>
      <c r="D32" s="10"/>
      <c r="E32" s="10"/>
      <c r="F32" s="10"/>
      <c r="G32" s="45"/>
      <c r="H32" s="45"/>
      <c r="I32" s="45"/>
    </row>
    <row r="33" spans="1:9" ht="15.75" x14ac:dyDescent="0.25">
      <c r="A33" s="44"/>
      <c r="B33" s="301" t="s">
        <v>137</v>
      </c>
      <c r="C33" s="301"/>
      <c r="D33" s="301"/>
      <c r="E33" s="301"/>
      <c r="F33" s="301"/>
      <c r="G33" s="45"/>
      <c r="H33" s="45"/>
      <c r="I33" s="45"/>
    </row>
    <row r="34" spans="1:9" ht="15.75" x14ac:dyDescent="0.25">
      <c r="A34" s="44"/>
      <c r="B34" s="302" t="s">
        <v>138</v>
      </c>
      <c r="C34" s="302"/>
      <c r="D34" s="302"/>
      <c r="E34" s="302"/>
      <c r="F34" s="302"/>
      <c r="G34" s="45"/>
      <c r="H34" s="45"/>
      <c r="I34" s="45"/>
    </row>
  </sheetData>
  <mergeCells count="8">
    <mergeCell ref="C8:C10"/>
    <mergeCell ref="D28:F28"/>
    <mergeCell ref="B33:F33"/>
    <mergeCell ref="B34:F34"/>
    <mergeCell ref="C5:C7"/>
    <mergeCell ref="C11:C16"/>
    <mergeCell ref="C17:C19"/>
    <mergeCell ref="C20:C22"/>
  </mergeCells>
  <pageMargins left="0.7" right="0.7" top="0.75" bottom="0.75" header="0.3" footer="0.3"/>
  <pageSetup paperSize="9" scale="74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Z96"/>
  <sheetViews>
    <sheetView view="pageBreakPreview" zoomScale="80" zoomScaleSheetLayoutView="80" workbookViewId="0">
      <selection activeCell="H71" sqref="H1:H1048576"/>
    </sheetView>
  </sheetViews>
  <sheetFormatPr defaultRowHeight="15" x14ac:dyDescent="0.25"/>
  <cols>
    <col min="2" max="2" width="27.140625" customWidth="1"/>
    <col min="3" max="4" width="8" customWidth="1"/>
    <col min="5" max="5" width="11.42578125" customWidth="1"/>
    <col min="6" max="7" width="11.28515625" customWidth="1"/>
    <col min="8" max="8" width="11.28515625" hidden="1" customWidth="1"/>
    <col min="9" max="9" width="13.28515625" customWidth="1"/>
    <col min="10" max="11" width="13.28515625" hidden="1" customWidth="1"/>
    <col min="12" max="12" width="3.85546875" customWidth="1"/>
    <col min="13" max="13" width="13.28515625" customWidth="1"/>
    <col min="14" max="14" width="18.7109375" customWidth="1"/>
    <col min="15" max="16" width="7.28515625" customWidth="1"/>
    <col min="17" max="21" width="10" customWidth="1"/>
    <col min="22" max="23" width="12" hidden="1" customWidth="1"/>
    <col min="24" max="27" width="12" customWidth="1"/>
  </cols>
  <sheetData>
    <row r="1" spans="1:23" ht="30" x14ac:dyDescent="0.4">
      <c r="A1" s="1" t="s">
        <v>438</v>
      </c>
    </row>
    <row r="2" spans="1:23" ht="31.5" x14ac:dyDescent="0.55000000000000004">
      <c r="A2" s="43" t="str">
        <f>REKAP!A2</f>
        <v>Smt. 2 Tahun Ajaran 2026 - 2027</v>
      </c>
      <c r="B2" s="90"/>
      <c r="F2" s="70"/>
      <c r="N2" s="90"/>
    </row>
    <row r="3" spans="1:23" ht="27" customHeight="1" x14ac:dyDescent="0.25">
      <c r="A3" s="265" t="s">
        <v>583</v>
      </c>
      <c r="B3" s="266">
        <f>REKAP!$J$4</f>
        <v>0</v>
      </c>
    </row>
    <row r="4" spans="1:23" ht="15" customHeight="1" x14ac:dyDescent="0.25">
      <c r="A4" s="308" t="s">
        <v>0</v>
      </c>
      <c r="B4" s="308" t="s">
        <v>222</v>
      </c>
      <c r="C4" s="308" t="s">
        <v>1</v>
      </c>
      <c r="D4" s="308" t="s">
        <v>2</v>
      </c>
      <c r="E4" s="309" t="s">
        <v>3</v>
      </c>
      <c r="F4" s="309" t="s">
        <v>207</v>
      </c>
      <c r="G4" s="307" t="s">
        <v>212</v>
      </c>
      <c r="H4" s="307" t="s">
        <v>439</v>
      </c>
      <c r="I4" s="307" t="s">
        <v>208</v>
      </c>
      <c r="J4" s="71"/>
      <c r="K4" s="71"/>
      <c r="L4" s="46"/>
      <c r="M4" s="308" t="s">
        <v>0</v>
      </c>
      <c r="N4" s="312" t="s">
        <v>223</v>
      </c>
      <c r="O4" s="308" t="s">
        <v>1</v>
      </c>
      <c r="P4" s="308" t="s">
        <v>2</v>
      </c>
      <c r="Q4" s="309" t="s">
        <v>3</v>
      </c>
      <c r="R4" s="310" t="s">
        <v>207</v>
      </c>
      <c r="S4" s="307" t="s">
        <v>212</v>
      </c>
      <c r="T4" s="307" t="s">
        <v>439</v>
      </c>
      <c r="U4" s="307" t="s">
        <v>208</v>
      </c>
    </row>
    <row r="5" spans="1:23" ht="15" customHeight="1" x14ac:dyDescent="0.25">
      <c r="A5" s="308"/>
      <c r="B5" s="308"/>
      <c r="C5" s="308"/>
      <c r="D5" s="308"/>
      <c r="E5" s="309"/>
      <c r="F5" s="309"/>
      <c r="G5" s="307"/>
      <c r="H5" s="307"/>
      <c r="I5" s="307"/>
      <c r="J5" s="71"/>
      <c r="K5" s="71"/>
      <c r="L5" s="46"/>
      <c r="M5" s="308"/>
      <c r="N5" s="313"/>
      <c r="O5" s="308"/>
      <c r="P5" s="308"/>
      <c r="Q5" s="309"/>
      <c r="R5" s="311"/>
      <c r="S5" s="307"/>
      <c r="T5" s="307"/>
      <c r="U5" s="307"/>
    </row>
    <row r="6" spans="1:23" ht="24.75" customHeight="1" x14ac:dyDescent="0.25">
      <c r="A6" s="76">
        <v>1</v>
      </c>
      <c r="B6" s="77" t="s">
        <v>5</v>
      </c>
      <c r="C6" s="78">
        <v>1</v>
      </c>
      <c r="D6" s="79">
        <v>112</v>
      </c>
      <c r="E6" s="238">
        <v>4350</v>
      </c>
      <c r="F6" s="219"/>
      <c r="G6" s="239">
        <v>9000</v>
      </c>
      <c r="H6" s="239">
        <v>128</v>
      </c>
      <c r="I6" s="219"/>
      <c r="J6" s="70">
        <f>F6*E6</f>
        <v>0</v>
      </c>
      <c r="K6" s="70">
        <f>I6*G6</f>
        <v>0</v>
      </c>
      <c r="L6" s="46"/>
      <c r="M6" s="7">
        <v>1</v>
      </c>
      <c r="N6" s="5" t="s">
        <v>545</v>
      </c>
      <c r="O6" s="12">
        <v>1</v>
      </c>
      <c r="P6" s="36">
        <v>224</v>
      </c>
      <c r="Q6" s="2">
        <v>9150</v>
      </c>
      <c r="R6" s="219"/>
      <c r="S6" s="2">
        <v>15000</v>
      </c>
      <c r="T6" s="2">
        <v>368</v>
      </c>
      <c r="U6" s="219"/>
      <c r="V6" s="70">
        <f t="shared" ref="V6" si="0">R6*Q6</f>
        <v>0</v>
      </c>
      <c r="W6" s="70">
        <f t="shared" ref="W6" si="1">U6*S6</f>
        <v>0</v>
      </c>
    </row>
    <row r="7" spans="1:23" ht="24.75" customHeight="1" x14ac:dyDescent="0.25">
      <c r="A7" s="76">
        <v>2</v>
      </c>
      <c r="B7" s="77" t="s">
        <v>5</v>
      </c>
      <c r="C7" s="78">
        <v>2</v>
      </c>
      <c r="D7" s="79">
        <v>112</v>
      </c>
      <c r="E7" s="238">
        <v>4350</v>
      </c>
      <c r="F7" s="219"/>
      <c r="G7" s="239">
        <v>9000</v>
      </c>
      <c r="H7" s="239">
        <v>128</v>
      </c>
      <c r="I7" s="219"/>
      <c r="J7" s="70">
        <f t="shared" ref="J7:J70" si="2">F7*E7</f>
        <v>0</v>
      </c>
      <c r="K7" s="70">
        <f t="shared" ref="K7:K70" si="3">I7*G7</f>
        <v>0</v>
      </c>
      <c r="L7" s="46"/>
      <c r="M7" s="7">
        <v>2</v>
      </c>
      <c r="N7" s="5" t="s">
        <v>545</v>
      </c>
      <c r="O7" s="12">
        <v>2</v>
      </c>
      <c r="P7" s="36">
        <v>224</v>
      </c>
      <c r="Q7" s="2">
        <v>9150</v>
      </c>
      <c r="R7" s="219"/>
      <c r="S7" s="2">
        <v>15000</v>
      </c>
      <c r="T7" s="2">
        <v>384</v>
      </c>
      <c r="U7" s="219"/>
      <c r="V7" s="70">
        <f t="shared" ref="V7:V11" si="4">R7*Q7</f>
        <v>0</v>
      </c>
      <c r="W7" s="70">
        <f t="shared" ref="W7:W11" si="5">U7*S7</f>
        <v>0</v>
      </c>
    </row>
    <row r="8" spans="1:23" ht="24.75" customHeight="1" x14ac:dyDescent="0.25">
      <c r="A8" s="76">
        <v>3</v>
      </c>
      <c r="B8" s="77" t="s">
        <v>5</v>
      </c>
      <c r="C8" s="78">
        <v>3</v>
      </c>
      <c r="D8" s="79">
        <v>112</v>
      </c>
      <c r="E8" s="238">
        <v>4350</v>
      </c>
      <c r="F8" s="219"/>
      <c r="G8" s="239">
        <v>9000</v>
      </c>
      <c r="H8" s="239">
        <v>128</v>
      </c>
      <c r="I8" s="219"/>
      <c r="J8" s="70">
        <f t="shared" si="2"/>
        <v>0</v>
      </c>
      <c r="K8" s="70">
        <f t="shared" si="3"/>
        <v>0</v>
      </c>
      <c r="L8" s="46"/>
      <c r="M8" s="7">
        <v>3</v>
      </c>
      <c r="N8" s="5" t="s">
        <v>545</v>
      </c>
      <c r="O8" s="12">
        <v>3</v>
      </c>
      <c r="P8" s="36">
        <v>256</v>
      </c>
      <c r="Q8" s="2">
        <v>10500</v>
      </c>
      <c r="R8" s="219"/>
      <c r="S8" s="2">
        <v>15000</v>
      </c>
      <c r="T8" s="2">
        <v>448</v>
      </c>
      <c r="U8" s="219"/>
      <c r="V8" s="70">
        <f t="shared" si="4"/>
        <v>0</v>
      </c>
      <c r="W8" s="70">
        <f t="shared" si="5"/>
        <v>0</v>
      </c>
    </row>
    <row r="9" spans="1:23" ht="24.75" customHeight="1" x14ac:dyDescent="0.25">
      <c r="A9" s="76">
        <v>4</v>
      </c>
      <c r="B9" s="77" t="s">
        <v>5</v>
      </c>
      <c r="C9" s="78">
        <v>4</v>
      </c>
      <c r="D9" s="79">
        <v>112</v>
      </c>
      <c r="E9" s="238">
        <v>4350</v>
      </c>
      <c r="F9" s="219"/>
      <c r="G9" s="239">
        <v>9000</v>
      </c>
      <c r="H9" s="239">
        <v>144</v>
      </c>
      <c r="I9" s="219"/>
      <c r="J9" s="70">
        <f t="shared" si="2"/>
        <v>0</v>
      </c>
      <c r="K9" s="70">
        <f t="shared" si="3"/>
        <v>0</v>
      </c>
      <c r="L9" s="46"/>
      <c r="M9" s="7">
        <v>4</v>
      </c>
      <c r="N9" s="5" t="s">
        <v>545</v>
      </c>
      <c r="O9" s="12">
        <v>4</v>
      </c>
      <c r="P9" s="36">
        <v>256</v>
      </c>
      <c r="Q9" s="2">
        <v>10500</v>
      </c>
      <c r="R9" s="219"/>
      <c r="S9" s="2">
        <v>15000</v>
      </c>
      <c r="T9" s="2">
        <v>480</v>
      </c>
      <c r="U9" s="219"/>
      <c r="V9" s="70">
        <f t="shared" si="4"/>
        <v>0</v>
      </c>
      <c r="W9" s="70">
        <f t="shared" si="5"/>
        <v>0</v>
      </c>
    </row>
    <row r="10" spans="1:23" ht="24.75" customHeight="1" x14ac:dyDescent="0.25">
      <c r="A10" s="76">
        <v>5</v>
      </c>
      <c r="B10" s="77" t="s">
        <v>5</v>
      </c>
      <c r="C10" s="78">
        <v>5</v>
      </c>
      <c r="D10" s="79">
        <v>112</v>
      </c>
      <c r="E10" s="238">
        <v>4350</v>
      </c>
      <c r="F10" s="219"/>
      <c r="G10" s="239">
        <v>9000</v>
      </c>
      <c r="H10" s="239">
        <v>128</v>
      </c>
      <c r="I10" s="219"/>
      <c r="J10" s="70">
        <f t="shared" si="2"/>
        <v>0</v>
      </c>
      <c r="K10" s="70">
        <f t="shared" si="3"/>
        <v>0</v>
      </c>
      <c r="L10" s="46"/>
      <c r="M10" s="7">
        <v>5</v>
      </c>
      <c r="N10" s="5" t="s">
        <v>545</v>
      </c>
      <c r="O10" s="12">
        <v>5</v>
      </c>
      <c r="P10" s="36">
        <v>256</v>
      </c>
      <c r="Q10" s="2">
        <v>10500</v>
      </c>
      <c r="R10" s="219"/>
      <c r="S10" s="2">
        <v>15000</v>
      </c>
      <c r="T10" s="2">
        <v>480</v>
      </c>
      <c r="U10" s="219"/>
      <c r="V10" s="70">
        <f t="shared" si="4"/>
        <v>0</v>
      </c>
      <c r="W10" s="70">
        <f t="shared" si="5"/>
        <v>0</v>
      </c>
    </row>
    <row r="11" spans="1:23" ht="24.75" customHeight="1" x14ac:dyDescent="0.25">
      <c r="A11" s="76">
        <v>6</v>
      </c>
      <c r="B11" s="77" t="s">
        <v>5</v>
      </c>
      <c r="C11" s="78">
        <v>6</v>
      </c>
      <c r="D11" s="79">
        <v>112</v>
      </c>
      <c r="E11" s="238">
        <v>4350</v>
      </c>
      <c r="F11" s="219"/>
      <c r="G11" s="239">
        <v>9000</v>
      </c>
      <c r="H11" s="239">
        <v>144</v>
      </c>
      <c r="I11" s="219"/>
      <c r="J11" s="70">
        <f t="shared" si="2"/>
        <v>0</v>
      </c>
      <c r="K11" s="70">
        <f t="shared" si="3"/>
        <v>0</v>
      </c>
      <c r="L11" s="46"/>
      <c r="M11" s="7">
        <v>6</v>
      </c>
      <c r="N11" s="5" t="s">
        <v>545</v>
      </c>
      <c r="O11" s="12">
        <v>6</v>
      </c>
      <c r="P11" s="36">
        <v>256</v>
      </c>
      <c r="Q11" s="2">
        <v>10500</v>
      </c>
      <c r="R11" s="219"/>
      <c r="S11" s="2">
        <v>15000</v>
      </c>
      <c r="T11" s="2">
        <v>448</v>
      </c>
      <c r="U11" s="219"/>
      <c r="V11" s="70">
        <f t="shared" si="4"/>
        <v>0</v>
      </c>
      <c r="W11" s="70">
        <f t="shared" si="5"/>
        <v>0</v>
      </c>
    </row>
    <row r="12" spans="1:23" ht="24.75" customHeight="1" x14ac:dyDescent="0.25">
      <c r="A12" s="76">
        <v>7</v>
      </c>
      <c r="B12" s="77" t="s">
        <v>86</v>
      </c>
      <c r="C12" s="78">
        <v>1</v>
      </c>
      <c r="D12" s="79">
        <v>112</v>
      </c>
      <c r="E12" s="238">
        <v>4350</v>
      </c>
      <c r="F12" s="219"/>
      <c r="G12" s="239">
        <v>9000</v>
      </c>
      <c r="H12" s="239">
        <v>128</v>
      </c>
      <c r="I12" s="219"/>
      <c r="J12" s="70">
        <f t="shared" si="2"/>
        <v>0</v>
      </c>
      <c r="K12" s="70">
        <f t="shared" si="3"/>
        <v>0</v>
      </c>
      <c r="L12" s="46"/>
      <c r="M12" s="7">
        <v>7</v>
      </c>
      <c r="N12" s="4" t="s">
        <v>403</v>
      </c>
      <c r="O12" s="36">
        <v>1</v>
      </c>
      <c r="P12" s="36">
        <v>112</v>
      </c>
      <c r="Q12" s="23">
        <v>4350</v>
      </c>
      <c r="R12" s="219"/>
      <c r="S12" s="23">
        <v>9000</v>
      </c>
      <c r="T12" s="23">
        <v>128</v>
      </c>
      <c r="U12" s="219"/>
      <c r="V12" s="70">
        <f t="shared" ref="V12:V17" si="6">R12*Q12</f>
        <v>0</v>
      </c>
      <c r="W12" s="70">
        <f t="shared" ref="W12:W17" si="7">U12*S12</f>
        <v>0</v>
      </c>
    </row>
    <row r="13" spans="1:23" ht="24.75" customHeight="1" x14ac:dyDescent="0.25">
      <c r="A13" s="76">
        <v>8</v>
      </c>
      <c r="B13" s="77" t="s">
        <v>86</v>
      </c>
      <c r="C13" s="78">
        <v>2</v>
      </c>
      <c r="D13" s="79">
        <v>112</v>
      </c>
      <c r="E13" s="238">
        <v>4350</v>
      </c>
      <c r="F13" s="219"/>
      <c r="G13" s="239">
        <v>9000</v>
      </c>
      <c r="H13" s="239">
        <v>144</v>
      </c>
      <c r="I13" s="219"/>
      <c r="J13" s="70">
        <f t="shared" si="2"/>
        <v>0</v>
      </c>
      <c r="K13" s="70">
        <f t="shared" si="3"/>
        <v>0</v>
      </c>
      <c r="L13" s="46"/>
      <c r="M13" s="7">
        <v>8</v>
      </c>
      <c r="N13" s="4" t="s">
        <v>403</v>
      </c>
      <c r="O13" s="36">
        <v>2</v>
      </c>
      <c r="P13" s="36">
        <v>112</v>
      </c>
      <c r="Q13" s="23">
        <v>4350</v>
      </c>
      <c r="R13" s="219"/>
      <c r="S13" s="23">
        <v>9000</v>
      </c>
      <c r="T13" s="23">
        <v>144</v>
      </c>
      <c r="U13" s="219"/>
      <c r="V13" s="70">
        <f t="shared" si="6"/>
        <v>0</v>
      </c>
      <c r="W13" s="70">
        <f t="shared" si="7"/>
        <v>0</v>
      </c>
    </row>
    <row r="14" spans="1:23" ht="24.75" customHeight="1" x14ac:dyDescent="0.25">
      <c r="A14" s="76">
        <v>9</v>
      </c>
      <c r="B14" s="77" t="s">
        <v>86</v>
      </c>
      <c r="C14" s="78">
        <v>3</v>
      </c>
      <c r="D14" s="79">
        <v>112</v>
      </c>
      <c r="E14" s="238">
        <v>4350</v>
      </c>
      <c r="F14" s="219"/>
      <c r="G14" s="239">
        <v>9000</v>
      </c>
      <c r="H14" s="239">
        <v>160</v>
      </c>
      <c r="I14" s="219"/>
      <c r="J14" s="70">
        <f t="shared" si="2"/>
        <v>0</v>
      </c>
      <c r="K14" s="70">
        <f t="shared" si="3"/>
        <v>0</v>
      </c>
      <c r="L14" s="46"/>
      <c r="M14" s="7">
        <v>9</v>
      </c>
      <c r="N14" s="4" t="s">
        <v>403</v>
      </c>
      <c r="O14" s="36">
        <v>3</v>
      </c>
      <c r="P14" s="36">
        <v>112</v>
      </c>
      <c r="Q14" s="23">
        <v>4350</v>
      </c>
      <c r="R14" s="219"/>
      <c r="S14" s="23">
        <v>9000</v>
      </c>
      <c r="T14" s="23">
        <v>144</v>
      </c>
      <c r="U14" s="219"/>
      <c r="V14" s="70">
        <f t="shared" si="6"/>
        <v>0</v>
      </c>
      <c r="W14" s="70">
        <f t="shared" si="7"/>
        <v>0</v>
      </c>
    </row>
    <row r="15" spans="1:23" ht="24.75" customHeight="1" x14ac:dyDescent="0.25">
      <c r="A15" s="76">
        <v>10</v>
      </c>
      <c r="B15" s="77" t="s">
        <v>86</v>
      </c>
      <c r="C15" s="78">
        <v>4</v>
      </c>
      <c r="D15" s="79">
        <v>112</v>
      </c>
      <c r="E15" s="238">
        <v>4350</v>
      </c>
      <c r="F15" s="219"/>
      <c r="G15" s="239">
        <v>9000</v>
      </c>
      <c r="H15" s="239">
        <v>144</v>
      </c>
      <c r="I15" s="219"/>
      <c r="J15" s="70">
        <f t="shared" si="2"/>
        <v>0</v>
      </c>
      <c r="K15" s="70">
        <f t="shared" si="3"/>
        <v>0</v>
      </c>
      <c r="L15" s="46"/>
      <c r="M15" s="7">
        <v>10</v>
      </c>
      <c r="N15" s="4" t="s">
        <v>403</v>
      </c>
      <c r="O15" s="36">
        <v>4</v>
      </c>
      <c r="P15" s="36">
        <v>112</v>
      </c>
      <c r="Q15" s="23">
        <v>4350</v>
      </c>
      <c r="R15" s="219"/>
      <c r="S15" s="23">
        <v>9000</v>
      </c>
      <c r="T15" s="23">
        <v>144</v>
      </c>
      <c r="U15" s="219"/>
      <c r="V15" s="70">
        <f t="shared" si="6"/>
        <v>0</v>
      </c>
      <c r="W15" s="70">
        <f t="shared" si="7"/>
        <v>0</v>
      </c>
    </row>
    <row r="16" spans="1:23" ht="24.75" customHeight="1" x14ac:dyDescent="0.25">
      <c r="A16" s="76">
        <v>11</v>
      </c>
      <c r="B16" s="77" t="s">
        <v>86</v>
      </c>
      <c r="C16" s="78">
        <v>5</v>
      </c>
      <c r="D16" s="79">
        <v>112</v>
      </c>
      <c r="E16" s="238">
        <v>4350</v>
      </c>
      <c r="F16" s="219"/>
      <c r="G16" s="239">
        <v>9000</v>
      </c>
      <c r="H16" s="239">
        <v>144</v>
      </c>
      <c r="I16" s="219"/>
      <c r="J16" s="70">
        <f t="shared" si="2"/>
        <v>0</v>
      </c>
      <c r="K16" s="70">
        <f t="shared" si="3"/>
        <v>0</v>
      </c>
      <c r="L16" s="46"/>
      <c r="M16" s="7">
        <v>11</v>
      </c>
      <c r="N16" s="4" t="s">
        <v>403</v>
      </c>
      <c r="O16" s="36">
        <v>5</v>
      </c>
      <c r="P16" s="36">
        <v>112</v>
      </c>
      <c r="Q16" s="23">
        <v>4350</v>
      </c>
      <c r="R16" s="219"/>
      <c r="S16" s="23">
        <v>9000</v>
      </c>
      <c r="T16" s="23">
        <v>144</v>
      </c>
      <c r="U16" s="219"/>
      <c r="V16" s="70">
        <f t="shared" si="6"/>
        <v>0</v>
      </c>
      <c r="W16" s="70">
        <f t="shared" si="7"/>
        <v>0</v>
      </c>
    </row>
    <row r="17" spans="1:23" ht="24.75" customHeight="1" x14ac:dyDescent="0.25">
      <c r="A17" s="76">
        <v>12</v>
      </c>
      <c r="B17" s="77" t="s">
        <v>86</v>
      </c>
      <c r="C17" s="78">
        <v>6</v>
      </c>
      <c r="D17" s="79">
        <v>112</v>
      </c>
      <c r="E17" s="238">
        <v>4350</v>
      </c>
      <c r="F17" s="219"/>
      <c r="G17" s="239">
        <v>9000</v>
      </c>
      <c r="H17" s="239">
        <v>144</v>
      </c>
      <c r="I17" s="219"/>
      <c r="J17" s="70">
        <f t="shared" si="2"/>
        <v>0</v>
      </c>
      <c r="K17" s="70">
        <f t="shared" si="3"/>
        <v>0</v>
      </c>
      <c r="L17" s="46"/>
      <c r="M17" s="7">
        <v>12</v>
      </c>
      <c r="N17" s="4" t="s">
        <v>403</v>
      </c>
      <c r="O17" s="36">
        <v>6</v>
      </c>
      <c r="P17" s="36">
        <v>112</v>
      </c>
      <c r="Q17" s="23">
        <v>4350</v>
      </c>
      <c r="R17" s="219"/>
      <c r="S17" s="23">
        <v>9000</v>
      </c>
      <c r="T17" s="23">
        <v>160</v>
      </c>
      <c r="U17" s="219"/>
      <c r="V17" s="70">
        <f t="shared" si="6"/>
        <v>0</v>
      </c>
      <c r="W17" s="70">
        <f t="shared" si="7"/>
        <v>0</v>
      </c>
    </row>
    <row r="18" spans="1:23" ht="24.75" customHeight="1" x14ac:dyDescent="0.25">
      <c r="A18" s="76">
        <v>13</v>
      </c>
      <c r="B18" s="77" t="s">
        <v>18</v>
      </c>
      <c r="C18" s="78">
        <v>1</v>
      </c>
      <c r="D18" s="79">
        <v>112</v>
      </c>
      <c r="E18" s="238">
        <v>4350</v>
      </c>
      <c r="F18" s="219"/>
      <c r="G18" s="239">
        <v>9000</v>
      </c>
      <c r="H18" s="239">
        <v>144</v>
      </c>
      <c r="I18" s="219"/>
      <c r="J18" s="70">
        <f t="shared" si="2"/>
        <v>0</v>
      </c>
      <c r="K18" s="70">
        <f t="shared" si="3"/>
        <v>0</v>
      </c>
      <c r="L18" s="46"/>
      <c r="M18" s="6"/>
      <c r="R18" s="26">
        <f>SUM(R6:R17)</f>
        <v>0</v>
      </c>
      <c r="U18" s="26">
        <f>SUM(U6:U17)</f>
        <v>0</v>
      </c>
      <c r="V18" s="26">
        <f t="shared" ref="V18:W18" si="8">SUM(V6:V17)</f>
        <v>0</v>
      </c>
      <c r="W18" s="26">
        <f t="shared" si="8"/>
        <v>0</v>
      </c>
    </row>
    <row r="19" spans="1:23" ht="24.75" customHeight="1" x14ac:dyDescent="0.25">
      <c r="A19" s="76">
        <v>14</v>
      </c>
      <c r="B19" s="77" t="s">
        <v>18</v>
      </c>
      <c r="C19" s="78">
        <v>2</v>
      </c>
      <c r="D19" s="79">
        <v>112</v>
      </c>
      <c r="E19" s="238">
        <v>4350</v>
      </c>
      <c r="F19" s="219"/>
      <c r="G19" s="239">
        <v>9000</v>
      </c>
      <c r="H19" s="239">
        <v>144</v>
      </c>
      <c r="I19" s="219"/>
      <c r="J19" s="70">
        <f t="shared" si="2"/>
        <v>0</v>
      </c>
      <c r="K19" s="70">
        <f t="shared" si="3"/>
        <v>0</v>
      </c>
      <c r="L19" s="46"/>
    </row>
    <row r="20" spans="1:23" ht="24.75" customHeight="1" x14ac:dyDescent="0.25">
      <c r="A20" s="76">
        <v>15</v>
      </c>
      <c r="B20" s="77" t="s">
        <v>18</v>
      </c>
      <c r="C20" s="78">
        <v>3</v>
      </c>
      <c r="D20" s="79">
        <v>112</v>
      </c>
      <c r="E20" s="238">
        <v>4350</v>
      </c>
      <c r="F20" s="219"/>
      <c r="G20" s="239">
        <v>9000</v>
      </c>
      <c r="H20" s="239">
        <v>128</v>
      </c>
      <c r="I20" s="219"/>
      <c r="J20" s="70">
        <f t="shared" si="2"/>
        <v>0</v>
      </c>
      <c r="K20" s="70">
        <f t="shared" si="3"/>
        <v>0</v>
      </c>
      <c r="L20" s="46"/>
    </row>
    <row r="21" spans="1:23" ht="24.75" customHeight="1" x14ac:dyDescent="0.25">
      <c r="A21" s="76">
        <v>16</v>
      </c>
      <c r="B21" s="77" t="s">
        <v>18</v>
      </c>
      <c r="C21" s="78">
        <v>4</v>
      </c>
      <c r="D21" s="79">
        <v>112</v>
      </c>
      <c r="E21" s="238">
        <v>4350</v>
      </c>
      <c r="F21" s="219"/>
      <c r="G21" s="239">
        <v>9000</v>
      </c>
      <c r="H21" s="239">
        <v>176</v>
      </c>
      <c r="I21" s="219"/>
      <c r="J21" s="70">
        <f t="shared" si="2"/>
        <v>0</v>
      </c>
      <c r="K21" s="70">
        <f t="shared" si="3"/>
        <v>0</v>
      </c>
      <c r="L21" s="46"/>
    </row>
    <row r="22" spans="1:23" ht="24.75" customHeight="1" x14ac:dyDescent="0.25">
      <c r="A22" s="76">
        <v>17</v>
      </c>
      <c r="B22" s="77" t="s">
        <v>18</v>
      </c>
      <c r="C22" s="78">
        <v>5</v>
      </c>
      <c r="D22" s="79">
        <v>112</v>
      </c>
      <c r="E22" s="238">
        <v>4350</v>
      </c>
      <c r="F22" s="219"/>
      <c r="G22" s="239">
        <v>9000</v>
      </c>
      <c r="H22" s="239">
        <v>192</v>
      </c>
      <c r="I22" s="219"/>
      <c r="J22" s="70">
        <f t="shared" si="2"/>
        <v>0</v>
      </c>
      <c r="K22" s="70">
        <f t="shared" si="3"/>
        <v>0</v>
      </c>
      <c r="L22" s="46"/>
    </row>
    <row r="23" spans="1:23" ht="24.75" customHeight="1" x14ac:dyDescent="0.25">
      <c r="A23" s="76">
        <v>18</v>
      </c>
      <c r="B23" s="77" t="s">
        <v>18</v>
      </c>
      <c r="C23" s="78">
        <v>6</v>
      </c>
      <c r="D23" s="79">
        <v>112</v>
      </c>
      <c r="E23" s="238">
        <v>4350</v>
      </c>
      <c r="F23" s="219"/>
      <c r="G23" s="239">
        <v>9000</v>
      </c>
      <c r="H23" s="239">
        <v>176</v>
      </c>
      <c r="I23" s="219"/>
      <c r="J23" s="70">
        <f t="shared" si="2"/>
        <v>0</v>
      </c>
      <c r="K23" s="70">
        <f t="shared" si="3"/>
        <v>0</v>
      </c>
      <c r="L23" s="46"/>
    </row>
    <row r="24" spans="1:23" ht="24.75" customHeight="1" x14ac:dyDescent="0.25">
      <c r="A24" s="76">
        <v>19</v>
      </c>
      <c r="B24" s="77" t="s">
        <v>318</v>
      </c>
      <c r="C24" s="78">
        <v>3</v>
      </c>
      <c r="D24" s="79">
        <v>112</v>
      </c>
      <c r="E24" s="240"/>
      <c r="F24" s="219"/>
      <c r="G24" s="239"/>
      <c r="H24" s="239">
        <v>160</v>
      </c>
      <c r="I24" s="219"/>
      <c r="J24" s="70">
        <f t="shared" si="2"/>
        <v>0</v>
      </c>
      <c r="K24" s="70">
        <f t="shared" si="3"/>
        <v>0</v>
      </c>
      <c r="L24" s="46"/>
    </row>
    <row r="25" spans="1:23" ht="24.75" customHeight="1" x14ac:dyDescent="0.25">
      <c r="A25" s="76">
        <v>20</v>
      </c>
      <c r="B25" s="93" t="s">
        <v>319</v>
      </c>
      <c r="C25" s="94">
        <v>3</v>
      </c>
      <c r="D25" s="95">
        <v>112</v>
      </c>
      <c r="E25" s="240">
        <v>4350</v>
      </c>
      <c r="F25" s="219"/>
      <c r="G25" s="239">
        <v>9000</v>
      </c>
      <c r="H25" s="239">
        <v>160</v>
      </c>
      <c r="I25" s="219"/>
      <c r="J25" s="70">
        <f t="shared" si="2"/>
        <v>0</v>
      </c>
      <c r="K25" s="70">
        <f t="shared" si="3"/>
        <v>0</v>
      </c>
      <c r="L25" s="46"/>
    </row>
    <row r="26" spans="1:23" ht="24.75" customHeight="1" x14ac:dyDescent="0.25">
      <c r="A26" s="76">
        <v>21</v>
      </c>
      <c r="B26" s="77" t="s">
        <v>318</v>
      </c>
      <c r="C26" s="78">
        <v>4</v>
      </c>
      <c r="D26" s="79">
        <v>112</v>
      </c>
      <c r="E26" s="240"/>
      <c r="F26" s="219"/>
      <c r="G26" s="239"/>
      <c r="H26" s="239">
        <v>144</v>
      </c>
      <c r="I26" s="219"/>
      <c r="J26" s="70">
        <f t="shared" si="2"/>
        <v>0</v>
      </c>
      <c r="K26" s="70">
        <f t="shared" si="3"/>
        <v>0</v>
      </c>
      <c r="L26" s="46"/>
    </row>
    <row r="27" spans="1:23" ht="24.75" customHeight="1" x14ac:dyDescent="0.25">
      <c r="A27" s="76">
        <v>22</v>
      </c>
      <c r="B27" s="93" t="s">
        <v>319</v>
      </c>
      <c r="C27" s="94">
        <v>4</v>
      </c>
      <c r="D27" s="95">
        <v>112</v>
      </c>
      <c r="E27" s="240">
        <v>4350</v>
      </c>
      <c r="F27" s="219"/>
      <c r="G27" s="239">
        <v>9000</v>
      </c>
      <c r="H27" s="239">
        <v>160</v>
      </c>
      <c r="I27" s="219"/>
      <c r="J27" s="70">
        <f t="shared" si="2"/>
        <v>0</v>
      </c>
      <c r="K27" s="70">
        <f t="shared" si="3"/>
        <v>0</v>
      </c>
      <c r="L27" s="46"/>
    </row>
    <row r="28" spans="1:23" ht="24.75" customHeight="1" x14ac:dyDescent="0.25">
      <c r="A28" s="76">
        <v>23</v>
      </c>
      <c r="B28" s="77" t="s">
        <v>318</v>
      </c>
      <c r="C28" s="78">
        <v>5</v>
      </c>
      <c r="D28" s="79">
        <v>112</v>
      </c>
      <c r="E28" s="240"/>
      <c r="F28" s="219"/>
      <c r="G28" s="239"/>
      <c r="H28" s="239">
        <v>144</v>
      </c>
      <c r="I28" s="219"/>
      <c r="J28" s="70">
        <f t="shared" si="2"/>
        <v>0</v>
      </c>
      <c r="K28" s="70">
        <f t="shared" si="3"/>
        <v>0</v>
      </c>
      <c r="L28" s="46"/>
    </row>
    <row r="29" spans="1:23" ht="24.75" customHeight="1" x14ac:dyDescent="0.25">
      <c r="A29" s="76">
        <v>24</v>
      </c>
      <c r="B29" s="93" t="s">
        <v>319</v>
      </c>
      <c r="C29" s="94">
        <v>5</v>
      </c>
      <c r="D29" s="95">
        <v>112</v>
      </c>
      <c r="E29" s="240">
        <v>4350</v>
      </c>
      <c r="F29" s="219"/>
      <c r="G29" s="239">
        <v>9000</v>
      </c>
      <c r="H29" s="239">
        <v>144</v>
      </c>
      <c r="I29" s="219"/>
      <c r="J29" s="70">
        <f t="shared" si="2"/>
        <v>0</v>
      </c>
      <c r="K29" s="70">
        <f t="shared" si="3"/>
        <v>0</v>
      </c>
      <c r="L29" s="46"/>
    </row>
    <row r="30" spans="1:23" ht="24.75" customHeight="1" x14ac:dyDescent="0.25">
      <c r="A30" s="76">
        <v>25</v>
      </c>
      <c r="B30" s="77" t="s">
        <v>318</v>
      </c>
      <c r="C30" s="78">
        <v>6</v>
      </c>
      <c r="D30" s="79">
        <v>112</v>
      </c>
      <c r="E30" s="240"/>
      <c r="F30" s="219"/>
      <c r="G30" s="239"/>
      <c r="H30" s="239">
        <v>144</v>
      </c>
      <c r="I30" s="219"/>
      <c r="J30" s="70">
        <f t="shared" si="2"/>
        <v>0</v>
      </c>
      <c r="K30" s="70">
        <f t="shared" si="3"/>
        <v>0</v>
      </c>
      <c r="L30" s="46"/>
    </row>
    <row r="31" spans="1:23" ht="24.75" customHeight="1" x14ac:dyDescent="0.25">
      <c r="A31" s="76">
        <v>26</v>
      </c>
      <c r="B31" s="93" t="s">
        <v>319</v>
      </c>
      <c r="C31" s="94">
        <v>6</v>
      </c>
      <c r="D31" s="95">
        <v>112</v>
      </c>
      <c r="E31" s="240">
        <v>4350</v>
      </c>
      <c r="F31" s="219"/>
      <c r="G31" s="239">
        <v>9000</v>
      </c>
      <c r="H31" s="239">
        <v>144</v>
      </c>
      <c r="I31" s="219"/>
      <c r="J31" s="70">
        <f t="shared" si="2"/>
        <v>0</v>
      </c>
      <c r="K31" s="70">
        <f t="shared" si="3"/>
        <v>0</v>
      </c>
      <c r="L31" s="46"/>
    </row>
    <row r="32" spans="1:23" ht="24.75" customHeight="1" x14ac:dyDescent="0.25">
      <c r="A32" s="76">
        <v>27</v>
      </c>
      <c r="B32" s="77" t="s">
        <v>87</v>
      </c>
      <c r="C32" s="78">
        <v>1</v>
      </c>
      <c r="D32" s="79">
        <v>80</v>
      </c>
      <c r="E32" s="238">
        <v>3650</v>
      </c>
      <c r="F32" s="219"/>
      <c r="G32" s="239">
        <v>9000</v>
      </c>
      <c r="H32" s="239">
        <v>112</v>
      </c>
      <c r="I32" s="219"/>
      <c r="J32" s="70">
        <f t="shared" si="2"/>
        <v>0</v>
      </c>
      <c r="K32" s="70">
        <f t="shared" si="3"/>
        <v>0</v>
      </c>
      <c r="L32" s="46"/>
    </row>
    <row r="33" spans="1:12" ht="24.75" customHeight="1" x14ac:dyDescent="0.25">
      <c r="A33" s="76">
        <v>28</v>
      </c>
      <c r="B33" s="77" t="s">
        <v>87</v>
      </c>
      <c r="C33" s="78">
        <v>2</v>
      </c>
      <c r="D33" s="79">
        <v>64</v>
      </c>
      <c r="E33" s="238">
        <v>3350</v>
      </c>
      <c r="F33" s="219"/>
      <c r="G33" s="239">
        <v>9000</v>
      </c>
      <c r="H33" s="239">
        <v>96</v>
      </c>
      <c r="I33" s="219"/>
      <c r="J33" s="70">
        <f t="shared" si="2"/>
        <v>0</v>
      </c>
      <c r="K33" s="70">
        <f t="shared" si="3"/>
        <v>0</v>
      </c>
      <c r="L33" s="46"/>
    </row>
    <row r="34" spans="1:12" ht="24.75" customHeight="1" x14ac:dyDescent="0.25">
      <c r="A34" s="76">
        <v>29</v>
      </c>
      <c r="B34" s="77" t="s">
        <v>87</v>
      </c>
      <c r="C34" s="78">
        <v>3</v>
      </c>
      <c r="D34" s="79">
        <v>64</v>
      </c>
      <c r="E34" s="238">
        <v>3350</v>
      </c>
      <c r="F34" s="219"/>
      <c r="G34" s="239">
        <v>9000</v>
      </c>
      <c r="H34" s="239">
        <v>96</v>
      </c>
      <c r="I34" s="219"/>
      <c r="J34" s="70">
        <f t="shared" si="2"/>
        <v>0</v>
      </c>
      <c r="K34" s="70">
        <f t="shared" si="3"/>
        <v>0</v>
      </c>
      <c r="L34" s="46"/>
    </row>
    <row r="35" spans="1:12" ht="24.75" customHeight="1" x14ac:dyDescent="0.25">
      <c r="A35" s="76">
        <v>30</v>
      </c>
      <c r="B35" s="77" t="s">
        <v>87</v>
      </c>
      <c r="C35" s="78">
        <v>4</v>
      </c>
      <c r="D35" s="79">
        <v>64</v>
      </c>
      <c r="E35" s="238">
        <v>3350</v>
      </c>
      <c r="F35" s="219"/>
      <c r="G35" s="239">
        <v>9000</v>
      </c>
      <c r="H35" s="239">
        <v>96</v>
      </c>
      <c r="I35" s="219"/>
      <c r="J35" s="70">
        <f t="shared" si="2"/>
        <v>0</v>
      </c>
      <c r="K35" s="70">
        <f t="shared" si="3"/>
        <v>0</v>
      </c>
      <c r="L35" s="46"/>
    </row>
    <row r="36" spans="1:12" ht="24.75" customHeight="1" x14ac:dyDescent="0.25">
      <c r="A36" s="76">
        <v>31</v>
      </c>
      <c r="B36" s="77" t="s">
        <v>87</v>
      </c>
      <c r="C36" s="78">
        <v>5</v>
      </c>
      <c r="D36" s="79">
        <v>64</v>
      </c>
      <c r="E36" s="238">
        <v>3350</v>
      </c>
      <c r="F36" s="219"/>
      <c r="G36" s="239">
        <v>9000</v>
      </c>
      <c r="H36" s="239">
        <v>96</v>
      </c>
      <c r="I36" s="219"/>
      <c r="J36" s="70">
        <f t="shared" si="2"/>
        <v>0</v>
      </c>
      <c r="K36" s="70">
        <f t="shared" si="3"/>
        <v>0</v>
      </c>
      <c r="L36" s="46"/>
    </row>
    <row r="37" spans="1:12" ht="24.75" customHeight="1" x14ac:dyDescent="0.25">
      <c r="A37" s="76">
        <v>32</v>
      </c>
      <c r="B37" s="77" t="s">
        <v>87</v>
      </c>
      <c r="C37" s="78">
        <v>6</v>
      </c>
      <c r="D37" s="79">
        <v>64</v>
      </c>
      <c r="E37" s="238">
        <v>3350</v>
      </c>
      <c r="F37" s="219"/>
      <c r="G37" s="239">
        <v>9000</v>
      </c>
      <c r="H37" s="239">
        <v>112</v>
      </c>
      <c r="I37" s="219"/>
      <c r="J37" s="70">
        <f t="shared" si="2"/>
        <v>0</v>
      </c>
      <c r="K37" s="70">
        <f t="shared" si="3"/>
        <v>0</v>
      </c>
      <c r="L37" s="46"/>
    </row>
    <row r="38" spans="1:12" ht="24.75" customHeight="1" x14ac:dyDescent="0.25">
      <c r="A38" s="76">
        <v>33</v>
      </c>
      <c r="B38" s="77" t="s">
        <v>153</v>
      </c>
      <c r="C38" s="78">
        <v>1</v>
      </c>
      <c r="D38" s="79">
        <v>64</v>
      </c>
      <c r="E38" s="238">
        <v>3350</v>
      </c>
      <c r="F38" s="219"/>
      <c r="G38" s="239">
        <v>9000</v>
      </c>
      <c r="H38" s="239">
        <v>96</v>
      </c>
      <c r="I38" s="219"/>
      <c r="J38" s="70">
        <f t="shared" si="2"/>
        <v>0</v>
      </c>
      <c r="K38" s="70">
        <f t="shared" si="3"/>
        <v>0</v>
      </c>
      <c r="L38" s="46"/>
    </row>
    <row r="39" spans="1:12" ht="24.75" customHeight="1" x14ac:dyDescent="0.25">
      <c r="A39" s="76">
        <v>34</v>
      </c>
      <c r="B39" s="77" t="s">
        <v>153</v>
      </c>
      <c r="C39" s="78">
        <v>2</v>
      </c>
      <c r="D39" s="79">
        <v>64</v>
      </c>
      <c r="E39" s="238">
        <v>3350</v>
      </c>
      <c r="F39" s="219"/>
      <c r="G39" s="239">
        <v>9000</v>
      </c>
      <c r="H39" s="239">
        <v>96</v>
      </c>
      <c r="I39" s="219"/>
      <c r="J39" s="70">
        <f t="shared" si="2"/>
        <v>0</v>
      </c>
      <c r="K39" s="70">
        <f t="shared" si="3"/>
        <v>0</v>
      </c>
      <c r="L39" s="46"/>
    </row>
    <row r="40" spans="1:12" ht="24.75" customHeight="1" x14ac:dyDescent="0.25">
      <c r="A40" s="76">
        <v>35</v>
      </c>
      <c r="B40" s="77" t="s">
        <v>153</v>
      </c>
      <c r="C40" s="78">
        <v>3</v>
      </c>
      <c r="D40" s="79">
        <v>64</v>
      </c>
      <c r="E40" s="238">
        <v>3350</v>
      </c>
      <c r="F40" s="219"/>
      <c r="G40" s="239">
        <v>9000</v>
      </c>
      <c r="H40" s="239">
        <v>96</v>
      </c>
      <c r="I40" s="219"/>
      <c r="J40" s="70">
        <f t="shared" si="2"/>
        <v>0</v>
      </c>
      <c r="K40" s="70">
        <f t="shared" si="3"/>
        <v>0</v>
      </c>
      <c r="L40" s="46"/>
    </row>
    <row r="41" spans="1:12" ht="24.75" customHeight="1" x14ac:dyDescent="0.25">
      <c r="A41" s="76">
        <v>36</v>
      </c>
      <c r="B41" s="77" t="s">
        <v>153</v>
      </c>
      <c r="C41" s="78">
        <v>4</v>
      </c>
      <c r="D41" s="79">
        <v>64</v>
      </c>
      <c r="E41" s="238">
        <v>3350</v>
      </c>
      <c r="F41" s="219"/>
      <c r="G41" s="239">
        <v>9000</v>
      </c>
      <c r="H41" s="239">
        <v>96</v>
      </c>
      <c r="I41" s="219"/>
      <c r="J41" s="70">
        <f t="shared" si="2"/>
        <v>0</v>
      </c>
      <c r="K41" s="70">
        <f t="shared" si="3"/>
        <v>0</v>
      </c>
      <c r="L41" s="46"/>
    </row>
    <row r="42" spans="1:12" ht="24.75" customHeight="1" x14ac:dyDescent="0.25">
      <c r="A42" s="76">
        <v>37</v>
      </c>
      <c r="B42" s="77" t="s">
        <v>153</v>
      </c>
      <c r="C42" s="78">
        <v>5</v>
      </c>
      <c r="D42" s="79">
        <v>64</v>
      </c>
      <c r="E42" s="238">
        <v>3350</v>
      </c>
      <c r="F42" s="219"/>
      <c r="G42" s="239">
        <v>9000</v>
      </c>
      <c r="H42" s="239">
        <v>96</v>
      </c>
      <c r="I42" s="219"/>
      <c r="J42" s="70">
        <f t="shared" si="2"/>
        <v>0</v>
      </c>
      <c r="K42" s="70">
        <f t="shared" si="3"/>
        <v>0</v>
      </c>
      <c r="L42" s="46"/>
    </row>
    <row r="43" spans="1:12" ht="24.75" customHeight="1" x14ac:dyDescent="0.25">
      <c r="A43" s="76">
        <v>38</v>
      </c>
      <c r="B43" s="77" t="s">
        <v>153</v>
      </c>
      <c r="C43" s="78">
        <v>6</v>
      </c>
      <c r="D43" s="79">
        <v>64</v>
      </c>
      <c r="E43" s="238">
        <v>3350</v>
      </c>
      <c r="F43" s="219"/>
      <c r="G43" s="239">
        <v>9000</v>
      </c>
      <c r="H43" s="239">
        <v>96</v>
      </c>
      <c r="I43" s="219"/>
      <c r="J43" s="70">
        <f t="shared" si="2"/>
        <v>0</v>
      </c>
      <c r="K43" s="70">
        <f t="shared" si="3"/>
        <v>0</v>
      </c>
      <c r="L43" s="46"/>
    </row>
    <row r="44" spans="1:12" ht="24.75" customHeight="1" x14ac:dyDescent="0.25">
      <c r="A44" s="76">
        <v>39</v>
      </c>
      <c r="B44" s="77" t="s">
        <v>154</v>
      </c>
      <c r="C44" s="78">
        <v>1</v>
      </c>
      <c r="D44" s="79">
        <v>64</v>
      </c>
      <c r="E44" s="238">
        <v>3350</v>
      </c>
      <c r="F44" s="219"/>
      <c r="G44" s="239">
        <v>9000</v>
      </c>
      <c r="H44" s="239">
        <v>96</v>
      </c>
      <c r="I44" s="219"/>
      <c r="J44" s="70">
        <f t="shared" si="2"/>
        <v>0</v>
      </c>
      <c r="K44" s="70">
        <f t="shared" si="3"/>
        <v>0</v>
      </c>
      <c r="L44" s="46"/>
    </row>
    <row r="45" spans="1:12" ht="24.75" customHeight="1" x14ac:dyDescent="0.25">
      <c r="A45" s="76">
        <v>40</v>
      </c>
      <c r="B45" s="77" t="s">
        <v>154</v>
      </c>
      <c r="C45" s="78">
        <v>2</v>
      </c>
      <c r="D45" s="79">
        <v>64</v>
      </c>
      <c r="E45" s="238">
        <v>3350</v>
      </c>
      <c r="F45" s="219"/>
      <c r="G45" s="239">
        <v>9000</v>
      </c>
      <c r="H45" s="239">
        <v>96</v>
      </c>
      <c r="I45" s="219"/>
      <c r="J45" s="70">
        <f t="shared" si="2"/>
        <v>0</v>
      </c>
      <c r="K45" s="70">
        <f t="shared" si="3"/>
        <v>0</v>
      </c>
      <c r="L45" s="46"/>
    </row>
    <row r="46" spans="1:12" ht="24.75" customHeight="1" x14ac:dyDescent="0.25">
      <c r="A46" s="76">
        <v>41</v>
      </c>
      <c r="B46" s="77" t="s">
        <v>154</v>
      </c>
      <c r="C46" s="78">
        <v>3</v>
      </c>
      <c r="D46" s="79">
        <v>64</v>
      </c>
      <c r="E46" s="238">
        <v>3350</v>
      </c>
      <c r="F46" s="219"/>
      <c r="G46" s="239">
        <v>9000</v>
      </c>
      <c r="H46" s="239">
        <v>96</v>
      </c>
      <c r="I46" s="219"/>
      <c r="J46" s="70">
        <f t="shared" si="2"/>
        <v>0</v>
      </c>
      <c r="K46" s="70">
        <f t="shared" si="3"/>
        <v>0</v>
      </c>
      <c r="L46" s="46"/>
    </row>
    <row r="47" spans="1:12" ht="24.75" customHeight="1" x14ac:dyDescent="0.25">
      <c r="A47" s="76">
        <v>42</v>
      </c>
      <c r="B47" s="77" t="s">
        <v>154</v>
      </c>
      <c r="C47" s="78">
        <v>4</v>
      </c>
      <c r="D47" s="79">
        <v>64</v>
      </c>
      <c r="E47" s="238">
        <v>3350</v>
      </c>
      <c r="F47" s="219"/>
      <c r="G47" s="239">
        <v>9000</v>
      </c>
      <c r="H47" s="239">
        <v>112</v>
      </c>
      <c r="I47" s="219"/>
      <c r="J47" s="70">
        <f t="shared" si="2"/>
        <v>0</v>
      </c>
      <c r="K47" s="70">
        <f t="shared" si="3"/>
        <v>0</v>
      </c>
      <c r="L47" s="46"/>
    </row>
    <row r="48" spans="1:12" ht="24.75" customHeight="1" x14ac:dyDescent="0.25">
      <c r="A48" s="76">
        <v>43</v>
      </c>
      <c r="B48" s="77" t="s">
        <v>154</v>
      </c>
      <c r="C48" s="78">
        <v>5</v>
      </c>
      <c r="D48" s="79">
        <v>64</v>
      </c>
      <c r="E48" s="238">
        <v>3350</v>
      </c>
      <c r="F48" s="219"/>
      <c r="G48" s="239">
        <v>9000</v>
      </c>
      <c r="H48" s="239">
        <v>96</v>
      </c>
      <c r="I48" s="219"/>
      <c r="J48" s="70">
        <f t="shared" si="2"/>
        <v>0</v>
      </c>
      <c r="K48" s="70">
        <f t="shared" si="3"/>
        <v>0</v>
      </c>
      <c r="L48" s="46"/>
    </row>
    <row r="49" spans="1:12" ht="24.75" customHeight="1" x14ac:dyDescent="0.25">
      <c r="A49" s="76">
        <v>44</v>
      </c>
      <c r="B49" s="77" t="s">
        <v>154</v>
      </c>
      <c r="C49" s="78">
        <v>6</v>
      </c>
      <c r="D49" s="79">
        <v>64</v>
      </c>
      <c r="E49" s="238">
        <v>3350</v>
      </c>
      <c r="F49" s="219"/>
      <c r="G49" s="239">
        <v>9000</v>
      </c>
      <c r="H49" s="239">
        <v>96</v>
      </c>
      <c r="I49" s="219"/>
      <c r="J49" s="70">
        <f t="shared" si="2"/>
        <v>0</v>
      </c>
      <c r="K49" s="70">
        <f t="shared" si="3"/>
        <v>0</v>
      </c>
      <c r="L49" s="46"/>
    </row>
    <row r="50" spans="1:12" ht="24.75" customHeight="1" x14ac:dyDescent="0.25">
      <c r="A50" s="76">
        <v>45</v>
      </c>
      <c r="B50" s="80" t="s">
        <v>155</v>
      </c>
      <c r="C50" s="81">
        <v>1</v>
      </c>
      <c r="D50" s="82">
        <v>64</v>
      </c>
      <c r="E50" s="241">
        <v>3350</v>
      </c>
      <c r="F50" s="219"/>
      <c r="G50" s="239">
        <v>9000</v>
      </c>
      <c r="H50" s="239">
        <v>80</v>
      </c>
      <c r="I50" s="219"/>
      <c r="J50" s="70">
        <f t="shared" si="2"/>
        <v>0</v>
      </c>
      <c r="K50" s="70">
        <f t="shared" si="3"/>
        <v>0</v>
      </c>
      <c r="L50" s="46"/>
    </row>
    <row r="51" spans="1:12" ht="24.75" customHeight="1" x14ac:dyDescent="0.25">
      <c r="A51" s="76">
        <v>46</v>
      </c>
      <c r="B51" s="80" t="s">
        <v>155</v>
      </c>
      <c r="C51" s="81">
        <v>2</v>
      </c>
      <c r="D51" s="82">
        <v>64</v>
      </c>
      <c r="E51" s="241">
        <v>3350</v>
      </c>
      <c r="F51" s="219"/>
      <c r="G51" s="239">
        <v>9000</v>
      </c>
      <c r="H51" s="239">
        <v>80</v>
      </c>
      <c r="I51" s="219"/>
      <c r="J51" s="70">
        <f t="shared" si="2"/>
        <v>0</v>
      </c>
      <c r="K51" s="70">
        <f t="shared" si="3"/>
        <v>0</v>
      </c>
      <c r="L51" s="46"/>
    </row>
    <row r="52" spans="1:12" ht="24.75" customHeight="1" x14ac:dyDescent="0.25">
      <c r="A52" s="76">
        <v>47</v>
      </c>
      <c r="B52" s="80" t="s">
        <v>155</v>
      </c>
      <c r="C52" s="81">
        <v>3</v>
      </c>
      <c r="D52" s="82">
        <v>64</v>
      </c>
      <c r="E52" s="241">
        <v>3350</v>
      </c>
      <c r="F52" s="219"/>
      <c r="G52" s="239">
        <v>9000</v>
      </c>
      <c r="H52" s="239">
        <v>80</v>
      </c>
      <c r="I52" s="219"/>
      <c r="J52" s="70">
        <f t="shared" si="2"/>
        <v>0</v>
      </c>
      <c r="K52" s="70">
        <f t="shared" si="3"/>
        <v>0</v>
      </c>
      <c r="L52" s="46"/>
    </row>
    <row r="53" spans="1:12" ht="24.75" customHeight="1" x14ac:dyDescent="0.25">
      <c r="A53" s="76">
        <v>48</v>
      </c>
      <c r="B53" s="80" t="s">
        <v>155</v>
      </c>
      <c r="C53" s="81">
        <v>4</v>
      </c>
      <c r="D53" s="82">
        <v>64</v>
      </c>
      <c r="E53" s="241">
        <v>3350</v>
      </c>
      <c r="F53" s="219"/>
      <c r="G53" s="239">
        <v>9000</v>
      </c>
      <c r="H53" s="239">
        <v>96</v>
      </c>
      <c r="I53" s="219"/>
      <c r="J53" s="70">
        <f t="shared" si="2"/>
        <v>0</v>
      </c>
      <c r="K53" s="70">
        <f t="shared" si="3"/>
        <v>0</v>
      </c>
      <c r="L53" s="46"/>
    </row>
    <row r="54" spans="1:12" ht="24.75" customHeight="1" x14ac:dyDescent="0.25">
      <c r="A54" s="76">
        <v>49</v>
      </c>
      <c r="B54" s="80" t="s">
        <v>155</v>
      </c>
      <c r="C54" s="81">
        <v>5</v>
      </c>
      <c r="D54" s="82">
        <v>64</v>
      </c>
      <c r="E54" s="241">
        <v>3350</v>
      </c>
      <c r="F54" s="219"/>
      <c r="G54" s="239">
        <v>9000</v>
      </c>
      <c r="H54" s="239">
        <v>96</v>
      </c>
      <c r="I54" s="219"/>
      <c r="J54" s="70">
        <f t="shared" si="2"/>
        <v>0</v>
      </c>
      <c r="K54" s="70">
        <f t="shared" si="3"/>
        <v>0</v>
      </c>
      <c r="L54" s="46"/>
    </row>
    <row r="55" spans="1:12" ht="24.75" customHeight="1" x14ac:dyDescent="0.25">
      <c r="A55" s="76">
        <v>50</v>
      </c>
      <c r="B55" s="80" t="s">
        <v>155</v>
      </c>
      <c r="C55" s="81">
        <v>6</v>
      </c>
      <c r="D55" s="82">
        <v>64</v>
      </c>
      <c r="E55" s="241">
        <v>3350</v>
      </c>
      <c r="F55" s="219"/>
      <c r="G55" s="239">
        <v>9000</v>
      </c>
      <c r="H55" s="239">
        <v>80</v>
      </c>
      <c r="I55" s="219"/>
      <c r="J55" s="70">
        <f t="shared" si="2"/>
        <v>0</v>
      </c>
      <c r="K55" s="70">
        <f t="shared" si="3"/>
        <v>0</v>
      </c>
      <c r="L55" s="46"/>
    </row>
    <row r="56" spans="1:12" ht="24.75" customHeight="1" x14ac:dyDescent="0.25">
      <c r="A56" s="76">
        <v>51</v>
      </c>
      <c r="B56" s="77" t="s">
        <v>156</v>
      </c>
      <c r="C56" s="78">
        <v>1</v>
      </c>
      <c r="D56" s="82">
        <v>64</v>
      </c>
      <c r="E56" s="241">
        <v>3350</v>
      </c>
      <c r="F56" s="219"/>
      <c r="G56" s="239">
        <v>9000</v>
      </c>
      <c r="H56" s="239">
        <v>80</v>
      </c>
      <c r="I56" s="219"/>
      <c r="J56" s="70">
        <f t="shared" si="2"/>
        <v>0</v>
      </c>
      <c r="K56" s="70">
        <f t="shared" si="3"/>
        <v>0</v>
      </c>
      <c r="L56" s="46"/>
    </row>
    <row r="57" spans="1:12" ht="24.75" customHeight="1" x14ac:dyDescent="0.25">
      <c r="A57" s="76">
        <v>52</v>
      </c>
      <c r="B57" s="77" t="s">
        <v>156</v>
      </c>
      <c r="C57" s="78">
        <v>2</v>
      </c>
      <c r="D57" s="79">
        <v>64</v>
      </c>
      <c r="E57" s="238">
        <v>3350</v>
      </c>
      <c r="F57" s="219"/>
      <c r="G57" s="239">
        <v>9000</v>
      </c>
      <c r="H57" s="239">
        <v>96</v>
      </c>
      <c r="I57" s="219"/>
      <c r="J57" s="70">
        <f t="shared" si="2"/>
        <v>0</v>
      </c>
      <c r="K57" s="70">
        <f t="shared" si="3"/>
        <v>0</v>
      </c>
      <c r="L57" s="46"/>
    </row>
    <row r="58" spans="1:12" ht="24.75" customHeight="1" x14ac:dyDescent="0.25">
      <c r="A58" s="76">
        <v>53</v>
      </c>
      <c r="B58" s="77" t="s">
        <v>156</v>
      </c>
      <c r="C58" s="78">
        <v>3</v>
      </c>
      <c r="D58" s="79">
        <v>64</v>
      </c>
      <c r="E58" s="238">
        <v>3350</v>
      </c>
      <c r="F58" s="219"/>
      <c r="G58" s="239">
        <v>9000</v>
      </c>
      <c r="H58" s="239">
        <v>96</v>
      </c>
      <c r="I58" s="219"/>
      <c r="J58" s="70">
        <f t="shared" si="2"/>
        <v>0</v>
      </c>
      <c r="K58" s="70">
        <f t="shared" si="3"/>
        <v>0</v>
      </c>
      <c r="L58" s="46"/>
    </row>
    <row r="59" spans="1:12" ht="24.75" customHeight="1" x14ac:dyDescent="0.25">
      <c r="A59" s="76">
        <v>54</v>
      </c>
      <c r="B59" s="77" t="s">
        <v>156</v>
      </c>
      <c r="C59" s="78">
        <v>4</v>
      </c>
      <c r="D59" s="79">
        <v>64</v>
      </c>
      <c r="E59" s="238">
        <v>3350</v>
      </c>
      <c r="F59" s="219"/>
      <c r="G59" s="239">
        <v>9000</v>
      </c>
      <c r="H59" s="239">
        <v>96</v>
      </c>
      <c r="I59" s="219"/>
      <c r="J59" s="70">
        <f t="shared" si="2"/>
        <v>0</v>
      </c>
      <c r="K59" s="70">
        <f t="shared" si="3"/>
        <v>0</v>
      </c>
      <c r="L59" s="46"/>
    </row>
    <row r="60" spans="1:12" ht="27" customHeight="1" x14ac:dyDescent="0.25">
      <c r="A60" s="76">
        <v>55</v>
      </c>
      <c r="B60" s="77" t="s">
        <v>156</v>
      </c>
      <c r="C60" s="78">
        <v>5</v>
      </c>
      <c r="D60" s="79">
        <v>64</v>
      </c>
      <c r="E60" s="238">
        <v>3350</v>
      </c>
      <c r="F60" s="219"/>
      <c r="G60" s="239">
        <v>9000</v>
      </c>
      <c r="H60" s="239">
        <v>96</v>
      </c>
      <c r="I60" s="219"/>
      <c r="J60" s="70">
        <f t="shared" si="2"/>
        <v>0</v>
      </c>
      <c r="K60" s="70">
        <f t="shared" si="3"/>
        <v>0</v>
      </c>
      <c r="L60" s="47"/>
    </row>
    <row r="61" spans="1:12" ht="27" customHeight="1" x14ac:dyDescent="0.25">
      <c r="A61" s="76">
        <v>56</v>
      </c>
      <c r="B61" s="77" t="s">
        <v>156</v>
      </c>
      <c r="C61" s="78">
        <v>6</v>
      </c>
      <c r="D61" s="79">
        <v>64</v>
      </c>
      <c r="E61" s="238">
        <v>3350</v>
      </c>
      <c r="F61" s="219"/>
      <c r="G61" s="239">
        <v>9000</v>
      </c>
      <c r="H61" s="239">
        <v>96</v>
      </c>
      <c r="I61" s="219"/>
      <c r="J61" s="70">
        <f t="shared" si="2"/>
        <v>0</v>
      </c>
      <c r="K61" s="70">
        <f t="shared" si="3"/>
        <v>0</v>
      </c>
    </row>
    <row r="62" spans="1:12" ht="27" customHeight="1" x14ac:dyDescent="0.25">
      <c r="A62" s="76">
        <v>57</v>
      </c>
      <c r="B62" s="77" t="s">
        <v>157</v>
      </c>
      <c r="C62" s="78">
        <v>1</v>
      </c>
      <c r="D62" s="79">
        <v>64</v>
      </c>
      <c r="E62" s="238">
        <v>3350</v>
      </c>
      <c r="F62" s="219"/>
      <c r="G62" s="239">
        <v>9000</v>
      </c>
      <c r="H62" s="239">
        <v>80</v>
      </c>
      <c r="I62" s="219"/>
      <c r="J62" s="70">
        <f t="shared" si="2"/>
        <v>0</v>
      </c>
      <c r="K62" s="70">
        <f t="shared" si="3"/>
        <v>0</v>
      </c>
    </row>
    <row r="63" spans="1:12" ht="27" customHeight="1" x14ac:dyDescent="0.25">
      <c r="A63" s="76">
        <v>58</v>
      </c>
      <c r="B63" s="77" t="s">
        <v>157</v>
      </c>
      <c r="C63" s="78">
        <v>2</v>
      </c>
      <c r="D63" s="79">
        <v>64</v>
      </c>
      <c r="E63" s="238">
        <v>3350</v>
      </c>
      <c r="F63" s="219"/>
      <c r="G63" s="239">
        <v>9000</v>
      </c>
      <c r="H63" s="239">
        <v>96</v>
      </c>
      <c r="I63" s="219"/>
      <c r="J63" s="70">
        <f t="shared" si="2"/>
        <v>0</v>
      </c>
      <c r="K63" s="70">
        <f t="shared" si="3"/>
        <v>0</v>
      </c>
    </row>
    <row r="64" spans="1:12" ht="27" customHeight="1" x14ac:dyDescent="0.25">
      <c r="A64" s="76">
        <v>59</v>
      </c>
      <c r="B64" s="77" t="s">
        <v>157</v>
      </c>
      <c r="C64" s="78">
        <v>3</v>
      </c>
      <c r="D64" s="79">
        <v>64</v>
      </c>
      <c r="E64" s="238">
        <v>3350</v>
      </c>
      <c r="F64" s="219"/>
      <c r="G64" s="239">
        <v>9000</v>
      </c>
      <c r="H64" s="239">
        <v>80</v>
      </c>
      <c r="I64" s="219"/>
      <c r="J64" s="70">
        <f t="shared" si="2"/>
        <v>0</v>
      </c>
      <c r="K64" s="70">
        <f t="shared" si="3"/>
        <v>0</v>
      </c>
    </row>
    <row r="65" spans="1:11" ht="27" customHeight="1" x14ac:dyDescent="0.25">
      <c r="A65" s="76">
        <v>60</v>
      </c>
      <c r="B65" s="83" t="s">
        <v>157</v>
      </c>
      <c r="C65" s="76">
        <v>4</v>
      </c>
      <c r="D65" s="79">
        <v>64</v>
      </c>
      <c r="E65" s="238">
        <v>3350</v>
      </c>
      <c r="F65" s="219"/>
      <c r="G65" s="239">
        <v>9000</v>
      </c>
      <c r="H65" s="239">
        <v>96</v>
      </c>
      <c r="I65" s="219"/>
      <c r="J65" s="70">
        <f t="shared" si="2"/>
        <v>0</v>
      </c>
      <c r="K65" s="70">
        <f t="shared" si="3"/>
        <v>0</v>
      </c>
    </row>
    <row r="66" spans="1:11" ht="27" customHeight="1" x14ac:dyDescent="0.25">
      <c r="A66" s="76">
        <v>61</v>
      </c>
      <c r="B66" s="83" t="s">
        <v>157</v>
      </c>
      <c r="C66" s="76">
        <v>5</v>
      </c>
      <c r="D66" s="79">
        <v>64</v>
      </c>
      <c r="E66" s="238">
        <v>3350</v>
      </c>
      <c r="F66" s="219"/>
      <c r="G66" s="239">
        <v>9000</v>
      </c>
      <c r="H66" s="239">
        <v>96</v>
      </c>
      <c r="I66" s="219"/>
      <c r="J66" s="70">
        <f t="shared" si="2"/>
        <v>0</v>
      </c>
      <c r="K66" s="70">
        <f t="shared" si="3"/>
        <v>0</v>
      </c>
    </row>
    <row r="67" spans="1:11" ht="27" customHeight="1" x14ac:dyDescent="0.25">
      <c r="A67" s="76">
        <v>62</v>
      </c>
      <c r="B67" s="83" t="s">
        <v>157</v>
      </c>
      <c r="C67" s="76">
        <v>6</v>
      </c>
      <c r="D67" s="79">
        <v>64</v>
      </c>
      <c r="E67" s="238">
        <v>3350</v>
      </c>
      <c r="F67" s="219"/>
      <c r="G67" s="239">
        <v>9000</v>
      </c>
      <c r="H67" s="239">
        <v>80</v>
      </c>
      <c r="I67" s="219"/>
      <c r="J67" s="70">
        <f t="shared" si="2"/>
        <v>0</v>
      </c>
      <c r="K67" s="70">
        <f t="shared" si="3"/>
        <v>0</v>
      </c>
    </row>
    <row r="68" spans="1:11" ht="27" customHeight="1" x14ac:dyDescent="0.25">
      <c r="A68" s="76">
        <v>63</v>
      </c>
      <c r="B68" s="83" t="s">
        <v>158</v>
      </c>
      <c r="C68" s="76">
        <v>1</v>
      </c>
      <c r="D68" s="79">
        <v>64</v>
      </c>
      <c r="E68" s="238">
        <v>3350</v>
      </c>
      <c r="F68" s="219"/>
      <c r="G68" s="239">
        <v>9000</v>
      </c>
      <c r="H68" s="239">
        <v>80</v>
      </c>
      <c r="I68" s="219"/>
      <c r="J68" s="70">
        <f t="shared" si="2"/>
        <v>0</v>
      </c>
      <c r="K68" s="70">
        <f t="shared" si="3"/>
        <v>0</v>
      </c>
    </row>
    <row r="69" spans="1:11" ht="27" customHeight="1" x14ac:dyDescent="0.25">
      <c r="A69" s="76">
        <v>64</v>
      </c>
      <c r="B69" s="83" t="s">
        <v>158</v>
      </c>
      <c r="C69" s="76">
        <v>2</v>
      </c>
      <c r="D69" s="79">
        <v>64</v>
      </c>
      <c r="E69" s="238">
        <v>3350</v>
      </c>
      <c r="F69" s="219"/>
      <c r="G69" s="239">
        <v>9000</v>
      </c>
      <c r="H69" s="239">
        <v>80</v>
      </c>
      <c r="I69" s="219"/>
      <c r="J69" s="70">
        <f t="shared" si="2"/>
        <v>0</v>
      </c>
      <c r="K69" s="70">
        <f t="shared" si="3"/>
        <v>0</v>
      </c>
    </row>
    <row r="70" spans="1:11" ht="27" customHeight="1" x14ac:dyDescent="0.25">
      <c r="A70" s="76">
        <v>65</v>
      </c>
      <c r="B70" s="83" t="s">
        <v>158</v>
      </c>
      <c r="C70" s="76">
        <v>3</v>
      </c>
      <c r="D70" s="79">
        <v>64</v>
      </c>
      <c r="E70" s="238">
        <v>3350</v>
      </c>
      <c r="F70" s="219"/>
      <c r="G70" s="239">
        <v>9000</v>
      </c>
      <c r="H70" s="239">
        <v>80</v>
      </c>
      <c r="I70" s="219"/>
      <c r="J70" s="70">
        <f t="shared" si="2"/>
        <v>0</v>
      </c>
      <c r="K70" s="70">
        <f t="shared" si="3"/>
        <v>0</v>
      </c>
    </row>
    <row r="71" spans="1:11" ht="27" customHeight="1" x14ac:dyDescent="0.25">
      <c r="A71" s="76">
        <v>66</v>
      </c>
      <c r="B71" s="83" t="s">
        <v>158</v>
      </c>
      <c r="C71" s="76">
        <v>4</v>
      </c>
      <c r="D71" s="79">
        <v>64</v>
      </c>
      <c r="E71" s="238">
        <v>3350</v>
      </c>
      <c r="F71" s="219"/>
      <c r="G71" s="239">
        <v>9000</v>
      </c>
      <c r="H71" s="239">
        <v>80</v>
      </c>
      <c r="I71" s="219"/>
      <c r="J71" s="70">
        <f t="shared" ref="J71:J93" si="9">F71*E71</f>
        <v>0</v>
      </c>
      <c r="K71" s="70">
        <f t="shared" ref="K71:K93" si="10">I71*G71</f>
        <v>0</v>
      </c>
    </row>
    <row r="72" spans="1:11" ht="27" customHeight="1" x14ac:dyDescent="0.25">
      <c r="A72" s="76">
        <v>67</v>
      </c>
      <c r="B72" s="83" t="s">
        <v>158</v>
      </c>
      <c r="C72" s="76">
        <v>5</v>
      </c>
      <c r="D72" s="79">
        <v>64</v>
      </c>
      <c r="E72" s="238">
        <v>3350</v>
      </c>
      <c r="F72" s="219"/>
      <c r="G72" s="239">
        <v>9000</v>
      </c>
      <c r="H72" s="239">
        <v>80</v>
      </c>
      <c r="I72" s="219"/>
      <c r="J72" s="70">
        <f t="shared" si="9"/>
        <v>0</v>
      </c>
      <c r="K72" s="70">
        <f t="shared" si="10"/>
        <v>0</v>
      </c>
    </row>
    <row r="73" spans="1:11" ht="27" customHeight="1" x14ac:dyDescent="0.25">
      <c r="A73" s="76">
        <v>68</v>
      </c>
      <c r="B73" s="83" t="s">
        <v>158</v>
      </c>
      <c r="C73" s="76">
        <v>6</v>
      </c>
      <c r="D73" s="79">
        <v>64</v>
      </c>
      <c r="E73" s="238">
        <v>3350</v>
      </c>
      <c r="F73" s="219"/>
      <c r="G73" s="239">
        <v>9000</v>
      </c>
      <c r="H73" s="239">
        <v>80</v>
      </c>
      <c r="I73" s="219"/>
      <c r="J73" s="70">
        <f t="shared" si="9"/>
        <v>0</v>
      </c>
      <c r="K73" s="70">
        <f t="shared" si="10"/>
        <v>0</v>
      </c>
    </row>
    <row r="74" spans="1:11" ht="27" customHeight="1" x14ac:dyDescent="0.25">
      <c r="A74" s="76">
        <v>69</v>
      </c>
      <c r="B74" s="83" t="s">
        <v>246</v>
      </c>
      <c r="C74" s="76">
        <v>1</v>
      </c>
      <c r="D74" s="79">
        <v>64</v>
      </c>
      <c r="E74" s="238">
        <v>3350</v>
      </c>
      <c r="F74" s="219"/>
      <c r="G74" s="239">
        <v>9000</v>
      </c>
      <c r="H74" s="239">
        <v>80</v>
      </c>
      <c r="I74" s="219"/>
      <c r="J74" s="70">
        <f t="shared" si="9"/>
        <v>0</v>
      </c>
      <c r="K74" s="70">
        <f t="shared" si="10"/>
        <v>0</v>
      </c>
    </row>
    <row r="75" spans="1:11" ht="27" customHeight="1" x14ac:dyDescent="0.25">
      <c r="A75" s="76">
        <v>70</v>
      </c>
      <c r="B75" s="83" t="s">
        <v>246</v>
      </c>
      <c r="C75" s="76">
        <v>2</v>
      </c>
      <c r="D75" s="79">
        <v>64</v>
      </c>
      <c r="E75" s="238">
        <v>3350</v>
      </c>
      <c r="F75" s="219"/>
      <c r="G75" s="239">
        <v>9000</v>
      </c>
      <c r="H75" s="239">
        <v>80</v>
      </c>
      <c r="I75" s="219"/>
      <c r="J75" s="70">
        <f t="shared" si="9"/>
        <v>0</v>
      </c>
      <c r="K75" s="70">
        <f t="shared" si="10"/>
        <v>0</v>
      </c>
    </row>
    <row r="76" spans="1:11" ht="27" customHeight="1" x14ac:dyDescent="0.25">
      <c r="A76" s="76">
        <v>71</v>
      </c>
      <c r="B76" s="83" t="s">
        <v>246</v>
      </c>
      <c r="C76" s="76">
        <v>3</v>
      </c>
      <c r="D76" s="79">
        <v>64</v>
      </c>
      <c r="E76" s="238">
        <v>3350</v>
      </c>
      <c r="F76" s="219"/>
      <c r="G76" s="239">
        <v>9000</v>
      </c>
      <c r="H76" s="239">
        <v>80</v>
      </c>
      <c r="I76" s="219"/>
      <c r="J76" s="70">
        <f t="shared" si="9"/>
        <v>0</v>
      </c>
      <c r="K76" s="70">
        <f t="shared" si="10"/>
        <v>0</v>
      </c>
    </row>
    <row r="77" spans="1:11" ht="27" customHeight="1" x14ac:dyDescent="0.25">
      <c r="A77" s="76">
        <v>72</v>
      </c>
      <c r="B77" s="83" t="s">
        <v>246</v>
      </c>
      <c r="C77" s="76">
        <v>4</v>
      </c>
      <c r="D77" s="79">
        <v>64</v>
      </c>
      <c r="E77" s="238">
        <v>3350</v>
      </c>
      <c r="F77" s="219"/>
      <c r="G77" s="239">
        <v>9000</v>
      </c>
      <c r="H77" s="239">
        <v>96</v>
      </c>
      <c r="I77" s="219"/>
      <c r="J77" s="70">
        <f t="shared" si="9"/>
        <v>0</v>
      </c>
      <c r="K77" s="70">
        <f t="shared" si="10"/>
        <v>0</v>
      </c>
    </row>
    <row r="78" spans="1:11" ht="27" customHeight="1" x14ac:dyDescent="0.25">
      <c r="A78" s="76">
        <v>73</v>
      </c>
      <c r="B78" s="83" t="s">
        <v>246</v>
      </c>
      <c r="C78" s="76">
        <v>5</v>
      </c>
      <c r="D78" s="79">
        <v>64</v>
      </c>
      <c r="E78" s="238">
        <v>3350</v>
      </c>
      <c r="F78" s="219"/>
      <c r="G78" s="239">
        <v>9000</v>
      </c>
      <c r="H78" s="239">
        <v>96</v>
      </c>
      <c r="I78" s="219"/>
      <c r="J78" s="70">
        <f t="shared" si="9"/>
        <v>0</v>
      </c>
      <c r="K78" s="70">
        <f t="shared" si="10"/>
        <v>0</v>
      </c>
    </row>
    <row r="79" spans="1:11" ht="27" customHeight="1" x14ac:dyDescent="0.25">
      <c r="A79" s="76">
        <v>74</v>
      </c>
      <c r="B79" s="83" t="s">
        <v>246</v>
      </c>
      <c r="C79" s="76">
        <v>6</v>
      </c>
      <c r="D79" s="79">
        <v>64</v>
      </c>
      <c r="E79" s="238">
        <v>3350</v>
      </c>
      <c r="F79" s="219"/>
      <c r="G79" s="239">
        <v>9000</v>
      </c>
      <c r="H79" s="239">
        <v>96</v>
      </c>
      <c r="I79" s="219"/>
      <c r="J79" s="70">
        <f t="shared" si="9"/>
        <v>0</v>
      </c>
      <c r="K79" s="70">
        <f t="shared" si="10"/>
        <v>0</v>
      </c>
    </row>
    <row r="80" spans="1:11" ht="27" customHeight="1" x14ac:dyDescent="0.25">
      <c r="A80" s="76">
        <v>75</v>
      </c>
      <c r="B80" s="83" t="s">
        <v>142</v>
      </c>
      <c r="C80" s="76">
        <v>1</v>
      </c>
      <c r="D80" s="79">
        <v>64</v>
      </c>
      <c r="E80" s="238">
        <v>3350</v>
      </c>
      <c r="F80" s="219"/>
      <c r="G80" s="239">
        <v>9000</v>
      </c>
      <c r="H80" s="239">
        <v>80</v>
      </c>
      <c r="I80" s="219"/>
      <c r="J80" s="70">
        <f t="shared" si="9"/>
        <v>0</v>
      </c>
      <c r="K80" s="70">
        <f t="shared" si="10"/>
        <v>0</v>
      </c>
    </row>
    <row r="81" spans="1:26" ht="27" customHeight="1" x14ac:dyDescent="0.25">
      <c r="A81" s="76">
        <v>76</v>
      </c>
      <c r="B81" s="83" t="s">
        <v>142</v>
      </c>
      <c r="C81" s="76">
        <v>2</v>
      </c>
      <c r="D81" s="79">
        <v>64</v>
      </c>
      <c r="E81" s="238">
        <v>3350</v>
      </c>
      <c r="F81" s="219"/>
      <c r="G81" s="239">
        <v>9000</v>
      </c>
      <c r="H81" s="239">
        <v>80</v>
      </c>
      <c r="I81" s="219"/>
      <c r="J81" s="70">
        <f t="shared" si="9"/>
        <v>0</v>
      </c>
      <c r="K81" s="70">
        <f t="shared" si="10"/>
        <v>0</v>
      </c>
    </row>
    <row r="82" spans="1:26" ht="27" customHeight="1" x14ac:dyDescent="0.25">
      <c r="A82" s="76">
        <v>77</v>
      </c>
      <c r="B82" s="83" t="s">
        <v>142</v>
      </c>
      <c r="C82" s="76">
        <v>3</v>
      </c>
      <c r="D82" s="79">
        <v>64</v>
      </c>
      <c r="E82" s="238">
        <v>3350</v>
      </c>
      <c r="F82" s="219"/>
      <c r="G82" s="239">
        <v>9000</v>
      </c>
      <c r="H82" s="239">
        <v>80</v>
      </c>
      <c r="I82" s="219"/>
      <c r="J82" s="70">
        <f t="shared" si="9"/>
        <v>0</v>
      </c>
      <c r="K82" s="70">
        <f t="shared" si="10"/>
        <v>0</v>
      </c>
    </row>
    <row r="83" spans="1:26" ht="27" customHeight="1" x14ac:dyDescent="0.25">
      <c r="A83" s="76">
        <v>78</v>
      </c>
      <c r="B83" s="83" t="s">
        <v>142</v>
      </c>
      <c r="C83" s="76">
        <v>4</v>
      </c>
      <c r="D83" s="79">
        <v>64</v>
      </c>
      <c r="E83" s="238">
        <v>3350</v>
      </c>
      <c r="F83" s="219"/>
      <c r="G83" s="239">
        <v>9000</v>
      </c>
      <c r="H83" s="239">
        <v>80</v>
      </c>
      <c r="I83" s="219"/>
      <c r="J83" s="70">
        <f t="shared" si="9"/>
        <v>0</v>
      </c>
      <c r="K83" s="70">
        <f t="shared" si="10"/>
        <v>0</v>
      </c>
    </row>
    <row r="84" spans="1:26" ht="27" customHeight="1" x14ac:dyDescent="0.25">
      <c r="A84" s="76">
        <v>79</v>
      </c>
      <c r="B84" s="83" t="s">
        <v>142</v>
      </c>
      <c r="C84" s="76">
        <v>5</v>
      </c>
      <c r="D84" s="79">
        <v>64</v>
      </c>
      <c r="E84" s="238">
        <v>3350</v>
      </c>
      <c r="F84" s="219"/>
      <c r="G84" s="239">
        <v>9000</v>
      </c>
      <c r="H84" s="239">
        <v>80</v>
      </c>
      <c r="I84" s="219"/>
      <c r="J84" s="70">
        <f t="shared" si="9"/>
        <v>0</v>
      </c>
      <c r="K84" s="70">
        <f t="shared" si="10"/>
        <v>0</v>
      </c>
    </row>
    <row r="85" spans="1:26" ht="27" customHeight="1" x14ac:dyDescent="0.25">
      <c r="A85" s="76">
        <v>80</v>
      </c>
      <c r="B85" s="83" t="s">
        <v>142</v>
      </c>
      <c r="C85" s="76">
        <v>6</v>
      </c>
      <c r="D85" s="79">
        <v>64</v>
      </c>
      <c r="E85" s="238">
        <v>3350</v>
      </c>
      <c r="F85" s="219"/>
      <c r="G85" s="239">
        <v>9000</v>
      </c>
      <c r="H85" s="239">
        <v>80</v>
      </c>
      <c r="I85" s="219"/>
      <c r="J85" s="70">
        <f t="shared" si="9"/>
        <v>0</v>
      </c>
      <c r="K85" s="70">
        <f t="shared" si="10"/>
        <v>0</v>
      </c>
    </row>
    <row r="86" spans="1:26" ht="27" customHeight="1" x14ac:dyDescent="0.25">
      <c r="A86" s="76">
        <v>81</v>
      </c>
      <c r="B86" s="83" t="s">
        <v>240</v>
      </c>
      <c r="C86" s="76">
        <v>1</v>
      </c>
      <c r="D86" s="79">
        <v>64</v>
      </c>
      <c r="E86" s="238">
        <v>3350</v>
      </c>
      <c r="F86" s="219"/>
      <c r="G86" s="239">
        <v>8000</v>
      </c>
      <c r="H86" s="239">
        <v>96</v>
      </c>
      <c r="I86" s="219"/>
      <c r="J86" s="70">
        <f t="shared" si="9"/>
        <v>0</v>
      </c>
      <c r="K86" s="70">
        <f t="shared" si="10"/>
        <v>0</v>
      </c>
    </row>
    <row r="87" spans="1:26" ht="27" customHeight="1" x14ac:dyDescent="0.25">
      <c r="A87" s="76">
        <v>82</v>
      </c>
      <c r="B87" s="83" t="s">
        <v>240</v>
      </c>
      <c r="C87" s="76">
        <v>2</v>
      </c>
      <c r="D87" s="79">
        <v>64</v>
      </c>
      <c r="E87" s="238">
        <v>3350</v>
      </c>
      <c r="F87" s="219"/>
      <c r="G87" s="239">
        <v>8000</v>
      </c>
      <c r="H87" s="239">
        <v>96</v>
      </c>
      <c r="I87" s="219"/>
      <c r="J87" s="70">
        <f t="shared" si="9"/>
        <v>0</v>
      </c>
      <c r="K87" s="70">
        <f t="shared" si="10"/>
        <v>0</v>
      </c>
    </row>
    <row r="88" spans="1:26" ht="27" customHeight="1" x14ac:dyDescent="0.25">
      <c r="A88" s="76">
        <v>83</v>
      </c>
      <c r="B88" s="83" t="s">
        <v>240</v>
      </c>
      <c r="C88" s="76">
        <v>3</v>
      </c>
      <c r="D88" s="79">
        <v>64</v>
      </c>
      <c r="E88" s="238">
        <v>3350</v>
      </c>
      <c r="F88" s="219"/>
      <c r="G88" s="239">
        <v>8000</v>
      </c>
      <c r="H88" s="239">
        <v>96</v>
      </c>
      <c r="I88" s="219"/>
      <c r="J88" s="70">
        <f t="shared" si="9"/>
        <v>0</v>
      </c>
      <c r="K88" s="70">
        <f t="shared" si="10"/>
        <v>0</v>
      </c>
      <c r="N88" s="27"/>
    </row>
    <row r="89" spans="1:26" ht="27" customHeight="1" x14ac:dyDescent="0.25">
      <c r="A89" s="76">
        <v>84</v>
      </c>
      <c r="B89" s="83" t="s">
        <v>240</v>
      </c>
      <c r="C89" s="76">
        <v>4</v>
      </c>
      <c r="D89" s="79">
        <v>64</v>
      </c>
      <c r="E89" s="238">
        <v>3350</v>
      </c>
      <c r="F89" s="219"/>
      <c r="G89" s="239">
        <v>8000</v>
      </c>
      <c r="H89" s="239">
        <v>96</v>
      </c>
      <c r="I89" s="219"/>
      <c r="J89" s="70">
        <f t="shared" si="9"/>
        <v>0</v>
      </c>
      <c r="K89" s="70">
        <f t="shared" si="10"/>
        <v>0</v>
      </c>
    </row>
    <row r="90" spans="1:26" ht="27" customHeight="1" x14ac:dyDescent="0.25">
      <c r="A90" s="76">
        <v>85</v>
      </c>
      <c r="B90" s="83" t="s">
        <v>240</v>
      </c>
      <c r="C90" s="76">
        <v>5</v>
      </c>
      <c r="D90" s="79">
        <v>64</v>
      </c>
      <c r="E90" s="238">
        <v>3350</v>
      </c>
      <c r="F90" s="219"/>
      <c r="G90" s="239">
        <v>8000</v>
      </c>
      <c r="H90" s="239">
        <v>96</v>
      </c>
      <c r="I90" s="219"/>
      <c r="J90" s="70">
        <f t="shared" si="9"/>
        <v>0</v>
      </c>
      <c r="K90" s="70">
        <f t="shared" si="10"/>
        <v>0</v>
      </c>
    </row>
    <row r="91" spans="1:26" ht="27" customHeight="1" x14ac:dyDescent="0.25">
      <c r="A91" s="76">
        <v>86</v>
      </c>
      <c r="B91" s="83" t="s">
        <v>240</v>
      </c>
      <c r="C91" s="76">
        <v>6</v>
      </c>
      <c r="D91" s="79">
        <v>64</v>
      </c>
      <c r="E91" s="238">
        <v>3350</v>
      </c>
      <c r="F91" s="219"/>
      <c r="G91" s="239">
        <v>8000</v>
      </c>
      <c r="H91" s="239">
        <v>80</v>
      </c>
      <c r="I91" s="219"/>
      <c r="J91" s="70">
        <f t="shared" si="9"/>
        <v>0</v>
      </c>
      <c r="K91" s="70">
        <f t="shared" si="10"/>
        <v>0</v>
      </c>
    </row>
    <row r="92" spans="1:26" ht="27" customHeight="1" x14ac:dyDescent="0.25">
      <c r="A92" s="76">
        <v>87</v>
      </c>
      <c r="B92" s="83" t="s">
        <v>547</v>
      </c>
      <c r="C92" s="76">
        <v>5</v>
      </c>
      <c r="D92" s="79">
        <v>64</v>
      </c>
      <c r="E92" s="238">
        <v>3350</v>
      </c>
      <c r="F92" s="219"/>
      <c r="G92" s="239">
        <v>9000</v>
      </c>
      <c r="H92" s="239"/>
      <c r="I92" s="219"/>
      <c r="J92" s="70"/>
      <c r="K92" s="70">
        <f t="shared" si="10"/>
        <v>0</v>
      </c>
    </row>
    <row r="93" spans="1:26" ht="27" customHeight="1" x14ac:dyDescent="0.25">
      <c r="A93" s="76">
        <v>88</v>
      </c>
      <c r="B93" s="83" t="s">
        <v>547</v>
      </c>
      <c r="C93" s="76">
        <v>6</v>
      </c>
      <c r="D93" s="79">
        <v>64</v>
      </c>
      <c r="E93" s="238">
        <v>3350</v>
      </c>
      <c r="F93" s="219"/>
      <c r="G93" s="239">
        <v>9000</v>
      </c>
      <c r="H93" s="239"/>
      <c r="I93" s="219"/>
      <c r="J93" s="70">
        <f t="shared" si="9"/>
        <v>0</v>
      </c>
      <c r="K93" s="70">
        <f t="shared" si="10"/>
        <v>0</v>
      </c>
    </row>
    <row r="94" spans="1:26" ht="32.25" customHeight="1" x14ac:dyDescent="0.25">
      <c r="F94" s="203">
        <f>SUM(F6:F93)</f>
        <v>0</v>
      </c>
      <c r="G94" s="92"/>
      <c r="H94" s="92"/>
      <c r="I94" s="203">
        <f>SUM(I6:I93)</f>
        <v>0</v>
      </c>
      <c r="J94" s="48">
        <f>SUM(J6:J93)</f>
        <v>0</v>
      </c>
      <c r="K94" s="48">
        <f>SUM(K6:K93)</f>
        <v>0</v>
      </c>
    </row>
    <row r="96" spans="1:26" x14ac:dyDescent="0.25">
      <c r="Y96" s="27">
        <f>F94+R18</f>
        <v>0</v>
      </c>
      <c r="Z96" s="27">
        <f>I94+U18</f>
        <v>0</v>
      </c>
    </row>
  </sheetData>
  <mergeCells count="18">
    <mergeCell ref="A4:A5"/>
    <mergeCell ref="B4:B5"/>
    <mergeCell ref="C4:C5"/>
    <mergeCell ref="D4:D5"/>
    <mergeCell ref="E4:E5"/>
    <mergeCell ref="F4:F5"/>
    <mergeCell ref="G4:G5"/>
    <mergeCell ref="I4:I5"/>
    <mergeCell ref="M4:M5"/>
    <mergeCell ref="N4:N5"/>
    <mergeCell ref="H4:H5"/>
    <mergeCell ref="U4:U5"/>
    <mergeCell ref="O4:O5"/>
    <mergeCell ref="P4:P5"/>
    <mergeCell ref="Q4:Q5"/>
    <mergeCell ref="R4:R5"/>
    <mergeCell ref="S4:S5"/>
    <mergeCell ref="T4:T5"/>
  </mergeCells>
  <phoneticPr fontId="19" type="noConversion"/>
  <pageMargins left="0.23622047244094491" right="0.23622047244094491" top="0.37" bottom="0.16" header="0.31496062992125984" footer="0.31496062992125984"/>
  <pageSetup paperSize="9" scale="47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75"/>
  <sheetViews>
    <sheetView view="pageBreakPreview" zoomScale="80" zoomScaleNormal="70" zoomScaleSheetLayoutView="80" workbookViewId="0">
      <selection activeCell="H49" sqref="H1:H1048576"/>
    </sheetView>
  </sheetViews>
  <sheetFormatPr defaultRowHeight="15" x14ac:dyDescent="0.25"/>
  <cols>
    <col min="2" max="2" width="28.7109375" customWidth="1"/>
    <col min="5" max="5" width="11.28515625" customWidth="1"/>
    <col min="6" max="7" width="12.28515625" customWidth="1"/>
    <col min="8" max="8" width="12.28515625" hidden="1" customWidth="1"/>
    <col min="9" max="9" width="12.28515625" customWidth="1"/>
    <col min="10" max="11" width="16.28515625" hidden="1" customWidth="1"/>
    <col min="12" max="12" width="16.28515625" customWidth="1"/>
  </cols>
  <sheetData>
    <row r="1" spans="1:11" ht="30" x14ac:dyDescent="0.4">
      <c r="A1" s="1" t="s">
        <v>69</v>
      </c>
    </row>
    <row r="2" spans="1:11" ht="31.5" x14ac:dyDescent="0.55000000000000004">
      <c r="A2" s="43" t="str">
        <f>REKAP!A2</f>
        <v>Smt. 2 Tahun Ajaran 2026 - 2027</v>
      </c>
      <c r="B2" s="90"/>
      <c r="F2" s="70"/>
    </row>
    <row r="3" spans="1:11" ht="28.5" customHeight="1" x14ac:dyDescent="0.25">
      <c r="A3" s="265" t="s">
        <v>583</v>
      </c>
      <c r="B3" s="266">
        <f>REKAP!$J$4</f>
        <v>0</v>
      </c>
    </row>
    <row r="4" spans="1:11" ht="15" customHeight="1" x14ac:dyDescent="0.25">
      <c r="A4" s="308" t="s">
        <v>0</v>
      </c>
      <c r="B4" s="308" t="s">
        <v>228</v>
      </c>
      <c r="C4" s="308" t="s">
        <v>1</v>
      </c>
      <c r="D4" s="308" t="s">
        <v>2</v>
      </c>
      <c r="E4" s="308" t="s">
        <v>3</v>
      </c>
      <c r="F4" s="309" t="s">
        <v>207</v>
      </c>
      <c r="G4" s="307" t="s">
        <v>212</v>
      </c>
      <c r="H4" s="307" t="s">
        <v>439</v>
      </c>
      <c r="I4" s="307" t="s">
        <v>208</v>
      </c>
    </row>
    <row r="5" spans="1:11" ht="15" customHeight="1" x14ac:dyDescent="0.25">
      <c r="A5" s="308"/>
      <c r="B5" s="308"/>
      <c r="C5" s="308"/>
      <c r="D5" s="308"/>
      <c r="E5" s="308"/>
      <c r="F5" s="309"/>
      <c r="G5" s="307"/>
      <c r="H5" s="307"/>
      <c r="I5" s="307"/>
    </row>
    <row r="6" spans="1:11" s="10" customFormat="1" ht="24.75" customHeight="1" x14ac:dyDescent="0.25">
      <c r="A6" s="36" t="s">
        <v>4</v>
      </c>
      <c r="B6" s="37" t="s">
        <v>159</v>
      </c>
      <c r="C6" s="36">
        <v>7</v>
      </c>
      <c r="D6" s="36">
        <v>64</v>
      </c>
      <c r="E6" s="126">
        <v>3350</v>
      </c>
      <c r="F6" s="219"/>
      <c r="G6" s="66">
        <v>8000</v>
      </c>
      <c r="H6" s="66">
        <v>96</v>
      </c>
      <c r="I6" s="219"/>
      <c r="J6" s="70">
        <f>F6*E6</f>
        <v>0</v>
      </c>
      <c r="K6" s="70">
        <f>I6*G6</f>
        <v>0</v>
      </c>
    </row>
    <row r="7" spans="1:11" s="10" customFormat="1" ht="24.75" customHeight="1" x14ac:dyDescent="0.25">
      <c r="A7" s="36" t="s">
        <v>6</v>
      </c>
      <c r="B7" s="37" t="s">
        <v>159</v>
      </c>
      <c r="C7" s="36">
        <v>8</v>
      </c>
      <c r="D7" s="36">
        <v>64</v>
      </c>
      <c r="E7" s="126">
        <v>3350</v>
      </c>
      <c r="F7" s="219"/>
      <c r="G7" s="66">
        <v>8000</v>
      </c>
      <c r="H7" s="66">
        <v>112</v>
      </c>
      <c r="I7" s="219"/>
      <c r="J7" s="70">
        <f t="shared" ref="J7:J65" si="0">F7*E7</f>
        <v>0</v>
      </c>
      <c r="K7" s="70">
        <f t="shared" ref="K7:K65" si="1">I7*G7</f>
        <v>0</v>
      </c>
    </row>
    <row r="8" spans="1:11" s="10" customFormat="1" ht="24.75" customHeight="1" x14ac:dyDescent="0.25">
      <c r="A8" s="36" t="s">
        <v>7</v>
      </c>
      <c r="B8" s="37" t="s">
        <v>159</v>
      </c>
      <c r="C8" s="36">
        <v>9</v>
      </c>
      <c r="D8" s="36">
        <v>64</v>
      </c>
      <c r="E8" s="126">
        <v>3350</v>
      </c>
      <c r="F8" s="219"/>
      <c r="G8" s="66">
        <v>8000</v>
      </c>
      <c r="H8" s="66">
        <v>112</v>
      </c>
      <c r="I8" s="219"/>
      <c r="J8" s="70">
        <f t="shared" si="0"/>
        <v>0</v>
      </c>
      <c r="K8" s="70">
        <f t="shared" si="1"/>
        <v>0</v>
      </c>
    </row>
    <row r="9" spans="1:11" s="10" customFormat="1" ht="24.75" customHeight="1" x14ac:dyDescent="0.25">
      <c r="A9" s="36" t="s">
        <v>8</v>
      </c>
      <c r="B9" s="37" t="s">
        <v>86</v>
      </c>
      <c r="C9" s="36">
        <v>7</v>
      </c>
      <c r="D9" s="36">
        <v>64</v>
      </c>
      <c r="E9" s="126">
        <v>3350</v>
      </c>
      <c r="F9" s="219"/>
      <c r="G9" s="66">
        <v>8000</v>
      </c>
      <c r="H9" s="66">
        <v>96</v>
      </c>
      <c r="I9" s="219"/>
      <c r="J9" s="70">
        <f t="shared" si="0"/>
        <v>0</v>
      </c>
      <c r="K9" s="70">
        <f t="shared" si="1"/>
        <v>0</v>
      </c>
    </row>
    <row r="10" spans="1:11" s="10" customFormat="1" ht="24.75" customHeight="1" x14ac:dyDescent="0.25">
      <c r="A10" s="36" t="s">
        <v>9</v>
      </c>
      <c r="B10" s="37" t="s">
        <v>86</v>
      </c>
      <c r="C10" s="36">
        <v>8</v>
      </c>
      <c r="D10" s="36">
        <v>64</v>
      </c>
      <c r="E10" s="126">
        <v>3350</v>
      </c>
      <c r="F10" s="219"/>
      <c r="G10" s="66">
        <v>8000</v>
      </c>
      <c r="H10" s="66">
        <v>96</v>
      </c>
      <c r="I10" s="219"/>
      <c r="J10" s="70">
        <f t="shared" si="0"/>
        <v>0</v>
      </c>
      <c r="K10" s="70">
        <f t="shared" si="1"/>
        <v>0</v>
      </c>
    </row>
    <row r="11" spans="1:11" s="10" customFormat="1" ht="24.75" customHeight="1" x14ac:dyDescent="0.25">
      <c r="A11" s="36" t="s">
        <v>10</v>
      </c>
      <c r="B11" s="37" t="s">
        <v>86</v>
      </c>
      <c r="C11" s="36">
        <v>9</v>
      </c>
      <c r="D11" s="36">
        <v>64</v>
      </c>
      <c r="E11" s="126">
        <v>3350</v>
      </c>
      <c r="F11" s="219"/>
      <c r="G11" s="66">
        <v>8000</v>
      </c>
      <c r="H11" s="66">
        <v>96</v>
      </c>
      <c r="I11" s="219"/>
      <c r="J11" s="70">
        <f t="shared" si="0"/>
        <v>0</v>
      </c>
      <c r="K11" s="70">
        <f t="shared" si="1"/>
        <v>0</v>
      </c>
    </row>
    <row r="12" spans="1:11" s="10" customFormat="1" ht="24.75" customHeight="1" x14ac:dyDescent="0.25">
      <c r="A12" s="36" t="s">
        <v>11</v>
      </c>
      <c r="B12" s="37" t="s">
        <v>18</v>
      </c>
      <c r="C12" s="36">
        <v>7</v>
      </c>
      <c r="D12" s="36">
        <v>80</v>
      </c>
      <c r="E12" s="126">
        <v>3650</v>
      </c>
      <c r="F12" s="219"/>
      <c r="G12" s="66">
        <v>8000</v>
      </c>
      <c r="H12" s="66">
        <v>128</v>
      </c>
      <c r="I12" s="219"/>
      <c r="J12" s="70">
        <f t="shared" si="0"/>
        <v>0</v>
      </c>
      <c r="K12" s="70">
        <f t="shared" si="1"/>
        <v>0</v>
      </c>
    </row>
    <row r="13" spans="1:11" s="10" customFormat="1" ht="24.75" customHeight="1" x14ac:dyDescent="0.25">
      <c r="A13" s="36" t="s">
        <v>12</v>
      </c>
      <c r="B13" s="37" t="s">
        <v>18</v>
      </c>
      <c r="C13" s="36">
        <v>8</v>
      </c>
      <c r="D13" s="36">
        <v>80</v>
      </c>
      <c r="E13" s="126">
        <v>3650</v>
      </c>
      <c r="F13" s="219"/>
      <c r="G13" s="66">
        <v>8000</v>
      </c>
      <c r="H13" s="66">
        <v>144</v>
      </c>
      <c r="I13" s="219"/>
      <c r="J13" s="70">
        <f t="shared" si="0"/>
        <v>0</v>
      </c>
      <c r="K13" s="70">
        <f t="shared" si="1"/>
        <v>0</v>
      </c>
    </row>
    <row r="14" spans="1:11" s="10" customFormat="1" ht="24.75" customHeight="1" x14ac:dyDescent="0.25">
      <c r="A14" s="36" t="s">
        <v>13</v>
      </c>
      <c r="B14" s="37" t="s">
        <v>18</v>
      </c>
      <c r="C14" s="36">
        <v>9</v>
      </c>
      <c r="D14" s="36">
        <v>80</v>
      </c>
      <c r="E14" s="126">
        <v>3650</v>
      </c>
      <c r="F14" s="219"/>
      <c r="G14" s="66">
        <v>8000</v>
      </c>
      <c r="H14" s="66">
        <v>128</v>
      </c>
      <c r="I14" s="219"/>
      <c r="J14" s="70">
        <f t="shared" si="0"/>
        <v>0</v>
      </c>
      <c r="K14" s="70">
        <f t="shared" si="1"/>
        <v>0</v>
      </c>
    </row>
    <row r="15" spans="1:11" s="10" customFormat="1" ht="24.75" customHeight="1" x14ac:dyDescent="0.25">
      <c r="A15" s="36" t="s">
        <v>14</v>
      </c>
      <c r="B15" s="37" t="s">
        <v>70</v>
      </c>
      <c r="C15" s="36">
        <v>7</v>
      </c>
      <c r="D15" s="36">
        <v>128</v>
      </c>
      <c r="E15" s="126">
        <v>5150</v>
      </c>
      <c r="F15" s="219"/>
      <c r="G15" s="66">
        <v>8000</v>
      </c>
      <c r="H15" s="66">
        <v>176</v>
      </c>
      <c r="I15" s="219"/>
      <c r="J15" s="70">
        <f t="shared" si="0"/>
        <v>0</v>
      </c>
      <c r="K15" s="70">
        <f t="shared" si="1"/>
        <v>0</v>
      </c>
    </row>
    <row r="16" spans="1:11" s="10" customFormat="1" ht="24.75" customHeight="1" x14ac:dyDescent="0.25">
      <c r="A16" s="36" t="s">
        <v>15</v>
      </c>
      <c r="B16" s="37" t="s">
        <v>70</v>
      </c>
      <c r="C16" s="36">
        <v>8</v>
      </c>
      <c r="D16" s="36">
        <v>128</v>
      </c>
      <c r="E16" s="126">
        <v>5150</v>
      </c>
      <c r="F16" s="219"/>
      <c r="G16" s="66">
        <v>8000</v>
      </c>
      <c r="H16" s="66">
        <v>176</v>
      </c>
      <c r="I16" s="219"/>
      <c r="J16" s="70">
        <f t="shared" si="0"/>
        <v>0</v>
      </c>
      <c r="K16" s="70">
        <f t="shared" si="1"/>
        <v>0</v>
      </c>
    </row>
    <row r="17" spans="1:11" s="10" customFormat="1" ht="24.75" customHeight="1" x14ac:dyDescent="0.25">
      <c r="A17" s="36" t="s">
        <v>16</v>
      </c>
      <c r="B17" s="37" t="s">
        <v>70</v>
      </c>
      <c r="C17" s="36">
        <v>9</v>
      </c>
      <c r="D17" s="36">
        <v>128</v>
      </c>
      <c r="E17" s="126">
        <v>5150</v>
      </c>
      <c r="F17" s="219"/>
      <c r="G17" s="66">
        <v>8000</v>
      </c>
      <c r="H17" s="66">
        <v>192</v>
      </c>
      <c r="I17" s="219"/>
      <c r="J17" s="70">
        <f t="shared" si="0"/>
        <v>0</v>
      </c>
      <c r="K17" s="70">
        <f t="shared" si="1"/>
        <v>0</v>
      </c>
    </row>
    <row r="18" spans="1:11" s="10" customFormat="1" ht="24.75" customHeight="1" x14ac:dyDescent="0.25">
      <c r="A18" s="36" t="s">
        <v>17</v>
      </c>
      <c r="B18" s="37" t="s">
        <v>71</v>
      </c>
      <c r="C18" s="36">
        <v>7</v>
      </c>
      <c r="D18" s="36">
        <v>128</v>
      </c>
      <c r="E18" s="126">
        <v>5150</v>
      </c>
      <c r="F18" s="219"/>
      <c r="G18" s="66">
        <v>8000</v>
      </c>
      <c r="H18" s="66">
        <v>160</v>
      </c>
      <c r="I18" s="219"/>
      <c r="J18" s="70">
        <f t="shared" si="0"/>
        <v>0</v>
      </c>
      <c r="K18" s="70">
        <f t="shared" si="1"/>
        <v>0</v>
      </c>
    </row>
    <row r="19" spans="1:11" s="10" customFormat="1" ht="24.75" customHeight="1" x14ac:dyDescent="0.25">
      <c r="A19" s="36" t="s">
        <v>19</v>
      </c>
      <c r="B19" s="37" t="s">
        <v>71</v>
      </c>
      <c r="C19" s="36">
        <v>8</v>
      </c>
      <c r="D19" s="36">
        <v>128</v>
      </c>
      <c r="E19" s="126">
        <v>5150</v>
      </c>
      <c r="F19" s="219"/>
      <c r="G19" s="66">
        <v>8000</v>
      </c>
      <c r="H19" s="66">
        <v>176</v>
      </c>
      <c r="I19" s="219"/>
      <c r="J19" s="70">
        <f t="shared" si="0"/>
        <v>0</v>
      </c>
      <c r="K19" s="70">
        <f t="shared" si="1"/>
        <v>0</v>
      </c>
    </row>
    <row r="20" spans="1:11" s="10" customFormat="1" ht="24.75" customHeight="1" x14ac:dyDescent="0.25">
      <c r="A20" s="36" t="s">
        <v>20</v>
      </c>
      <c r="B20" s="37" t="s">
        <v>71</v>
      </c>
      <c r="C20" s="36">
        <v>9</v>
      </c>
      <c r="D20" s="36">
        <v>128</v>
      </c>
      <c r="E20" s="126">
        <v>5150</v>
      </c>
      <c r="F20" s="219"/>
      <c r="G20" s="66">
        <v>8000</v>
      </c>
      <c r="H20" s="66">
        <v>176</v>
      </c>
      <c r="I20" s="219"/>
      <c r="J20" s="70">
        <f t="shared" si="0"/>
        <v>0</v>
      </c>
      <c r="K20" s="70">
        <f t="shared" si="1"/>
        <v>0</v>
      </c>
    </row>
    <row r="21" spans="1:11" s="10" customFormat="1" ht="24.75" customHeight="1" x14ac:dyDescent="0.25">
      <c r="A21" s="36" t="s">
        <v>21</v>
      </c>
      <c r="B21" s="37" t="s">
        <v>87</v>
      </c>
      <c r="C21" s="36">
        <v>7</v>
      </c>
      <c r="D21" s="36">
        <v>64</v>
      </c>
      <c r="E21" s="126">
        <v>3350</v>
      </c>
      <c r="F21" s="219"/>
      <c r="G21" s="66">
        <v>8000</v>
      </c>
      <c r="H21" s="66">
        <v>96</v>
      </c>
      <c r="I21" s="219"/>
      <c r="J21" s="70">
        <f t="shared" si="0"/>
        <v>0</v>
      </c>
      <c r="K21" s="70">
        <f t="shared" si="1"/>
        <v>0</v>
      </c>
    </row>
    <row r="22" spans="1:11" s="10" customFormat="1" ht="24.75" customHeight="1" x14ac:dyDescent="0.25">
      <c r="A22" s="36" t="s">
        <v>22</v>
      </c>
      <c r="B22" s="37" t="s">
        <v>87</v>
      </c>
      <c r="C22" s="36">
        <v>8</v>
      </c>
      <c r="D22" s="36">
        <v>64</v>
      </c>
      <c r="E22" s="126">
        <v>3350</v>
      </c>
      <c r="F22" s="219"/>
      <c r="G22" s="66">
        <v>8000</v>
      </c>
      <c r="H22" s="66">
        <v>96</v>
      </c>
      <c r="I22" s="219"/>
      <c r="J22" s="70">
        <f t="shared" si="0"/>
        <v>0</v>
      </c>
      <c r="K22" s="70">
        <f t="shared" si="1"/>
        <v>0</v>
      </c>
    </row>
    <row r="23" spans="1:11" s="10" customFormat="1" ht="24.75" customHeight="1" x14ac:dyDescent="0.25">
      <c r="A23" s="36" t="s">
        <v>23</v>
      </c>
      <c r="B23" s="37" t="s">
        <v>87</v>
      </c>
      <c r="C23" s="36">
        <v>9</v>
      </c>
      <c r="D23" s="36">
        <v>64</v>
      </c>
      <c r="E23" s="126">
        <v>3350</v>
      </c>
      <c r="F23" s="219"/>
      <c r="G23" s="66">
        <v>8000</v>
      </c>
      <c r="H23" s="66">
        <v>96</v>
      </c>
      <c r="I23" s="219"/>
      <c r="J23" s="70">
        <f t="shared" si="0"/>
        <v>0</v>
      </c>
      <c r="K23" s="70">
        <f t="shared" si="1"/>
        <v>0</v>
      </c>
    </row>
    <row r="24" spans="1:11" s="10" customFormat="1" ht="24.75" customHeight="1" x14ac:dyDescent="0.25">
      <c r="A24" s="36" t="s">
        <v>24</v>
      </c>
      <c r="B24" s="37" t="s">
        <v>43</v>
      </c>
      <c r="C24" s="36">
        <v>7</v>
      </c>
      <c r="D24" s="36">
        <v>64</v>
      </c>
      <c r="E24" s="126">
        <v>3350</v>
      </c>
      <c r="F24" s="219"/>
      <c r="G24" s="66">
        <v>8000</v>
      </c>
      <c r="H24" s="66">
        <v>112</v>
      </c>
      <c r="I24" s="219"/>
      <c r="J24" s="70">
        <f t="shared" si="0"/>
        <v>0</v>
      </c>
      <c r="K24" s="70">
        <f t="shared" si="1"/>
        <v>0</v>
      </c>
    </row>
    <row r="25" spans="1:11" s="10" customFormat="1" ht="24.75" customHeight="1" x14ac:dyDescent="0.25">
      <c r="A25" s="36" t="s">
        <v>25</v>
      </c>
      <c r="B25" s="37" t="s">
        <v>43</v>
      </c>
      <c r="C25" s="36">
        <v>8</v>
      </c>
      <c r="D25" s="36">
        <v>64</v>
      </c>
      <c r="E25" s="126">
        <v>3350</v>
      </c>
      <c r="F25" s="219"/>
      <c r="G25" s="66">
        <v>8000</v>
      </c>
      <c r="H25" s="66">
        <v>112</v>
      </c>
      <c r="I25" s="219"/>
      <c r="J25" s="70">
        <f t="shared" si="0"/>
        <v>0</v>
      </c>
      <c r="K25" s="70">
        <f t="shared" si="1"/>
        <v>0</v>
      </c>
    </row>
    <row r="26" spans="1:11" s="10" customFormat="1" ht="24.75" customHeight="1" x14ac:dyDescent="0.25">
      <c r="A26" s="36" t="s">
        <v>26</v>
      </c>
      <c r="B26" s="37" t="s">
        <v>43</v>
      </c>
      <c r="C26" s="36">
        <v>9</v>
      </c>
      <c r="D26" s="36">
        <v>64</v>
      </c>
      <c r="E26" s="126">
        <v>3350</v>
      </c>
      <c r="F26" s="219"/>
      <c r="G26" s="66">
        <v>8000</v>
      </c>
      <c r="H26" s="66">
        <v>112</v>
      </c>
      <c r="I26" s="219"/>
      <c r="J26" s="70">
        <f t="shared" si="0"/>
        <v>0</v>
      </c>
      <c r="K26" s="70">
        <f t="shared" si="1"/>
        <v>0</v>
      </c>
    </row>
    <row r="27" spans="1:11" s="10" customFormat="1" ht="24.75" customHeight="1" x14ac:dyDescent="0.25">
      <c r="A27" s="36" t="s">
        <v>27</v>
      </c>
      <c r="B27" s="37" t="s">
        <v>154</v>
      </c>
      <c r="C27" s="36">
        <v>7</v>
      </c>
      <c r="D27" s="36">
        <v>64</v>
      </c>
      <c r="E27" s="126">
        <v>3350</v>
      </c>
      <c r="F27" s="219"/>
      <c r="G27" s="66">
        <v>8000</v>
      </c>
      <c r="H27" s="66">
        <v>128</v>
      </c>
      <c r="I27" s="219"/>
      <c r="J27" s="70">
        <f t="shared" si="0"/>
        <v>0</v>
      </c>
      <c r="K27" s="70">
        <f t="shared" si="1"/>
        <v>0</v>
      </c>
    </row>
    <row r="28" spans="1:11" s="10" customFormat="1" ht="24.75" customHeight="1" x14ac:dyDescent="0.25">
      <c r="A28" s="36" t="s">
        <v>28</v>
      </c>
      <c r="B28" s="37" t="s">
        <v>154</v>
      </c>
      <c r="C28" s="36">
        <v>8</v>
      </c>
      <c r="D28" s="36">
        <v>64</v>
      </c>
      <c r="E28" s="126">
        <v>3350</v>
      </c>
      <c r="F28" s="219"/>
      <c r="G28" s="66">
        <v>8000</v>
      </c>
      <c r="H28" s="66">
        <v>112</v>
      </c>
      <c r="I28" s="219"/>
      <c r="J28" s="70">
        <f t="shared" si="0"/>
        <v>0</v>
      </c>
      <c r="K28" s="70">
        <f t="shared" si="1"/>
        <v>0</v>
      </c>
    </row>
    <row r="29" spans="1:11" s="10" customFormat="1" ht="24.75" customHeight="1" x14ac:dyDescent="0.25">
      <c r="A29" s="36" t="s">
        <v>29</v>
      </c>
      <c r="B29" s="37" t="s">
        <v>154</v>
      </c>
      <c r="C29" s="36">
        <v>9</v>
      </c>
      <c r="D29" s="36">
        <v>64</v>
      </c>
      <c r="E29" s="126">
        <v>3350</v>
      </c>
      <c r="F29" s="219"/>
      <c r="G29" s="66">
        <v>8000</v>
      </c>
      <c r="H29" s="66">
        <v>112</v>
      </c>
      <c r="I29" s="219"/>
      <c r="J29" s="70">
        <f t="shared" si="0"/>
        <v>0</v>
      </c>
      <c r="K29" s="70">
        <f t="shared" si="1"/>
        <v>0</v>
      </c>
    </row>
    <row r="30" spans="1:11" s="10" customFormat="1" ht="24.75" customHeight="1" x14ac:dyDescent="0.25">
      <c r="A30" s="36" t="s">
        <v>30</v>
      </c>
      <c r="B30" s="37" t="s">
        <v>155</v>
      </c>
      <c r="C30" s="36">
        <v>7</v>
      </c>
      <c r="D30" s="36">
        <v>64</v>
      </c>
      <c r="E30" s="126">
        <v>3350</v>
      </c>
      <c r="F30" s="219"/>
      <c r="G30" s="66">
        <v>8000</v>
      </c>
      <c r="H30" s="66">
        <v>96</v>
      </c>
      <c r="I30" s="219"/>
      <c r="J30" s="70">
        <f t="shared" si="0"/>
        <v>0</v>
      </c>
      <c r="K30" s="70">
        <f t="shared" si="1"/>
        <v>0</v>
      </c>
    </row>
    <row r="31" spans="1:11" s="10" customFormat="1" ht="24.75" customHeight="1" x14ac:dyDescent="0.25">
      <c r="A31" s="36" t="s">
        <v>31</v>
      </c>
      <c r="B31" s="37" t="s">
        <v>155</v>
      </c>
      <c r="C31" s="36">
        <v>8</v>
      </c>
      <c r="D31" s="36">
        <v>64</v>
      </c>
      <c r="E31" s="126">
        <v>3350</v>
      </c>
      <c r="F31" s="219"/>
      <c r="G31" s="66">
        <v>8000</v>
      </c>
      <c r="H31" s="66">
        <v>96</v>
      </c>
      <c r="I31" s="219"/>
      <c r="J31" s="70">
        <f t="shared" si="0"/>
        <v>0</v>
      </c>
      <c r="K31" s="70">
        <f t="shared" si="1"/>
        <v>0</v>
      </c>
    </row>
    <row r="32" spans="1:11" s="10" customFormat="1" ht="24.75" customHeight="1" x14ac:dyDescent="0.25">
      <c r="A32" s="36" t="s">
        <v>32</v>
      </c>
      <c r="B32" s="37" t="s">
        <v>155</v>
      </c>
      <c r="C32" s="36">
        <v>9</v>
      </c>
      <c r="D32" s="36">
        <v>64</v>
      </c>
      <c r="E32" s="126">
        <v>3350</v>
      </c>
      <c r="F32" s="219"/>
      <c r="G32" s="66">
        <v>8000</v>
      </c>
      <c r="H32" s="66">
        <v>96</v>
      </c>
      <c r="I32" s="219"/>
      <c r="J32" s="70">
        <f t="shared" si="0"/>
        <v>0</v>
      </c>
      <c r="K32" s="70">
        <f t="shared" si="1"/>
        <v>0</v>
      </c>
    </row>
    <row r="33" spans="1:11" s="10" customFormat="1" ht="24.75" customHeight="1" x14ac:dyDescent="0.25">
      <c r="A33" s="36" t="s">
        <v>33</v>
      </c>
      <c r="B33" s="37" t="s">
        <v>156</v>
      </c>
      <c r="C33" s="36">
        <v>7</v>
      </c>
      <c r="D33" s="36">
        <v>64</v>
      </c>
      <c r="E33" s="126">
        <v>3350</v>
      </c>
      <c r="F33" s="219"/>
      <c r="G33" s="66">
        <v>8000</v>
      </c>
      <c r="H33" s="66">
        <v>96</v>
      </c>
      <c r="I33" s="219"/>
      <c r="J33" s="70">
        <f t="shared" si="0"/>
        <v>0</v>
      </c>
      <c r="K33" s="70">
        <f t="shared" si="1"/>
        <v>0</v>
      </c>
    </row>
    <row r="34" spans="1:11" s="10" customFormat="1" ht="24.75" customHeight="1" x14ac:dyDescent="0.25">
      <c r="A34" s="36" t="s">
        <v>34</v>
      </c>
      <c r="B34" s="37" t="s">
        <v>156</v>
      </c>
      <c r="C34" s="36">
        <v>8</v>
      </c>
      <c r="D34" s="36">
        <v>64</v>
      </c>
      <c r="E34" s="126">
        <v>3350</v>
      </c>
      <c r="F34" s="219"/>
      <c r="G34" s="66">
        <v>8000</v>
      </c>
      <c r="H34" s="66">
        <v>96</v>
      </c>
      <c r="I34" s="219"/>
      <c r="J34" s="70">
        <f t="shared" si="0"/>
        <v>0</v>
      </c>
      <c r="K34" s="70">
        <f t="shared" si="1"/>
        <v>0</v>
      </c>
    </row>
    <row r="35" spans="1:11" s="10" customFormat="1" ht="24.75" customHeight="1" x14ac:dyDescent="0.25">
      <c r="A35" s="36" t="s">
        <v>35</v>
      </c>
      <c r="B35" s="37" t="s">
        <v>156</v>
      </c>
      <c r="C35" s="36">
        <v>9</v>
      </c>
      <c r="D35" s="36">
        <v>64</v>
      </c>
      <c r="E35" s="126">
        <v>3350</v>
      </c>
      <c r="F35" s="219"/>
      <c r="G35" s="66">
        <v>8000</v>
      </c>
      <c r="H35" s="66">
        <v>96</v>
      </c>
      <c r="I35" s="219"/>
      <c r="J35" s="70">
        <f t="shared" si="0"/>
        <v>0</v>
      </c>
      <c r="K35" s="70">
        <f t="shared" si="1"/>
        <v>0</v>
      </c>
    </row>
    <row r="36" spans="1:11" s="10" customFormat="1" ht="24.75" customHeight="1" x14ac:dyDescent="0.25">
      <c r="A36" s="36" t="s">
        <v>36</v>
      </c>
      <c r="B36" s="37" t="s">
        <v>157</v>
      </c>
      <c r="C36" s="36">
        <v>7</v>
      </c>
      <c r="D36" s="36">
        <v>64</v>
      </c>
      <c r="E36" s="126">
        <v>3350</v>
      </c>
      <c r="F36" s="219"/>
      <c r="G36" s="66">
        <v>8000</v>
      </c>
      <c r="H36" s="66">
        <v>96</v>
      </c>
      <c r="I36" s="219"/>
      <c r="J36" s="70">
        <f t="shared" si="0"/>
        <v>0</v>
      </c>
      <c r="K36" s="70">
        <f t="shared" si="1"/>
        <v>0</v>
      </c>
    </row>
    <row r="37" spans="1:11" s="10" customFormat="1" ht="24.75" customHeight="1" x14ac:dyDescent="0.25">
      <c r="A37" s="36" t="s">
        <v>37</v>
      </c>
      <c r="B37" s="37" t="s">
        <v>157</v>
      </c>
      <c r="C37" s="36">
        <v>8</v>
      </c>
      <c r="D37" s="36">
        <v>64</v>
      </c>
      <c r="E37" s="126">
        <v>3350</v>
      </c>
      <c r="F37" s="219"/>
      <c r="G37" s="66">
        <v>8000</v>
      </c>
      <c r="H37" s="66">
        <v>96</v>
      </c>
      <c r="I37" s="219"/>
      <c r="J37" s="70">
        <f t="shared" si="0"/>
        <v>0</v>
      </c>
      <c r="K37" s="70">
        <f t="shared" si="1"/>
        <v>0</v>
      </c>
    </row>
    <row r="38" spans="1:11" s="10" customFormat="1" ht="24.75" customHeight="1" x14ac:dyDescent="0.25">
      <c r="A38" s="36" t="s">
        <v>38</v>
      </c>
      <c r="B38" s="37" t="s">
        <v>157</v>
      </c>
      <c r="C38" s="36">
        <v>9</v>
      </c>
      <c r="D38" s="36">
        <v>64</v>
      </c>
      <c r="E38" s="126">
        <v>3350</v>
      </c>
      <c r="F38" s="219"/>
      <c r="G38" s="66">
        <v>8000</v>
      </c>
      <c r="H38" s="66">
        <v>80</v>
      </c>
      <c r="I38" s="219"/>
      <c r="J38" s="70">
        <f t="shared" si="0"/>
        <v>0</v>
      </c>
      <c r="K38" s="70">
        <f t="shared" si="1"/>
        <v>0</v>
      </c>
    </row>
    <row r="39" spans="1:11" s="10" customFormat="1" ht="24.75" customHeight="1" x14ac:dyDescent="0.25">
      <c r="A39" s="36" t="s">
        <v>39</v>
      </c>
      <c r="B39" s="37" t="s">
        <v>158</v>
      </c>
      <c r="C39" s="36">
        <v>7</v>
      </c>
      <c r="D39" s="36">
        <v>64</v>
      </c>
      <c r="E39" s="126">
        <v>3350</v>
      </c>
      <c r="F39" s="219"/>
      <c r="G39" s="66">
        <v>8000</v>
      </c>
      <c r="H39" s="66">
        <v>80</v>
      </c>
      <c r="I39" s="219"/>
      <c r="J39" s="70">
        <f t="shared" si="0"/>
        <v>0</v>
      </c>
      <c r="K39" s="70">
        <f t="shared" si="1"/>
        <v>0</v>
      </c>
    </row>
    <row r="40" spans="1:11" s="10" customFormat="1" ht="24.75" customHeight="1" x14ac:dyDescent="0.25">
      <c r="A40" s="36" t="s">
        <v>40</v>
      </c>
      <c r="B40" s="37" t="s">
        <v>158</v>
      </c>
      <c r="C40" s="36">
        <v>8</v>
      </c>
      <c r="D40" s="36">
        <v>64</v>
      </c>
      <c r="E40" s="126">
        <v>3350</v>
      </c>
      <c r="F40" s="219"/>
      <c r="G40" s="66">
        <v>8000</v>
      </c>
      <c r="H40" s="66">
        <v>96</v>
      </c>
      <c r="I40" s="219"/>
      <c r="J40" s="70">
        <f t="shared" si="0"/>
        <v>0</v>
      </c>
      <c r="K40" s="70">
        <f t="shared" si="1"/>
        <v>0</v>
      </c>
    </row>
    <row r="41" spans="1:11" s="10" customFormat="1" ht="24.75" customHeight="1" x14ac:dyDescent="0.25">
      <c r="A41" s="36" t="s">
        <v>41</v>
      </c>
      <c r="B41" s="37" t="s">
        <v>158</v>
      </c>
      <c r="C41" s="36">
        <v>9</v>
      </c>
      <c r="D41" s="36">
        <v>64</v>
      </c>
      <c r="E41" s="126">
        <v>3350</v>
      </c>
      <c r="F41" s="219"/>
      <c r="G41" s="66">
        <v>8000</v>
      </c>
      <c r="H41" s="66">
        <v>96</v>
      </c>
      <c r="I41" s="219"/>
      <c r="J41" s="70">
        <f t="shared" si="0"/>
        <v>0</v>
      </c>
      <c r="K41" s="70">
        <f t="shared" si="1"/>
        <v>0</v>
      </c>
    </row>
    <row r="42" spans="1:11" s="10" customFormat="1" ht="24.75" customHeight="1" x14ac:dyDescent="0.25">
      <c r="A42" s="36" t="s">
        <v>42</v>
      </c>
      <c r="B42" s="37" t="s">
        <v>224</v>
      </c>
      <c r="C42" s="36">
        <v>7</v>
      </c>
      <c r="D42" s="36">
        <v>64</v>
      </c>
      <c r="E42" s="126">
        <v>3350</v>
      </c>
      <c r="F42" s="219"/>
      <c r="G42" s="66">
        <v>8000</v>
      </c>
      <c r="H42" s="66">
        <v>96</v>
      </c>
      <c r="I42" s="219"/>
      <c r="J42" s="70">
        <f t="shared" si="0"/>
        <v>0</v>
      </c>
      <c r="K42" s="70">
        <f t="shared" si="1"/>
        <v>0</v>
      </c>
    </row>
    <row r="43" spans="1:11" s="10" customFormat="1" ht="24.75" customHeight="1" x14ac:dyDescent="0.25">
      <c r="A43" s="36" t="s">
        <v>44</v>
      </c>
      <c r="B43" s="37" t="s">
        <v>224</v>
      </c>
      <c r="C43" s="36">
        <v>8</v>
      </c>
      <c r="D43" s="36">
        <v>64</v>
      </c>
      <c r="E43" s="126">
        <v>3350</v>
      </c>
      <c r="F43" s="219"/>
      <c r="G43" s="66">
        <v>8000</v>
      </c>
      <c r="H43" s="66">
        <v>96</v>
      </c>
      <c r="I43" s="219"/>
      <c r="J43" s="70">
        <f t="shared" si="0"/>
        <v>0</v>
      </c>
      <c r="K43" s="70">
        <f t="shared" si="1"/>
        <v>0</v>
      </c>
    </row>
    <row r="44" spans="1:11" s="10" customFormat="1" ht="24.75" customHeight="1" x14ac:dyDescent="0.25">
      <c r="A44" s="36" t="s">
        <v>45</v>
      </c>
      <c r="B44" s="37" t="s">
        <v>224</v>
      </c>
      <c r="C44" s="36">
        <v>9</v>
      </c>
      <c r="D44" s="36">
        <v>64</v>
      </c>
      <c r="E44" s="126">
        <v>3350</v>
      </c>
      <c r="F44" s="219"/>
      <c r="G44" s="66">
        <v>8000</v>
      </c>
      <c r="H44" s="66">
        <v>96</v>
      </c>
      <c r="I44" s="219"/>
      <c r="J44" s="70">
        <f t="shared" si="0"/>
        <v>0</v>
      </c>
      <c r="K44" s="70">
        <f t="shared" si="1"/>
        <v>0</v>
      </c>
    </row>
    <row r="45" spans="1:11" ht="24.75" customHeight="1" x14ac:dyDescent="0.25">
      <c r="A45" s="7" t="s">
        <v>46</v>
      </c>
      <c r="B45" s="4" t="s">
        <v>225</v>
      </c>
      <c r="C45" s="7">
        <v>7</v>
      </c>
      <c r="D45" s="7">
        <v>64</v>
      </c>
      <c r="E45" s="126">
        <v>3350</v>
      </c>
      <c r="F45" s="219"/>
      <c r="G45" s="66">
        <v>8000</v>
      </c>
      <c r="H45" s="66">
        <v>96</v>
      </c>
      <c r="I45" s="219"/>
      <c r="J45" s="70">
        <f t="shared" si="0"/>
        <v>0</v>
      </c>
      <c r="K45" s="70">
        <f t="shared" si="1"/>
        <v>0</v>
      </c>
    </row>
    <row r="46" spans="1:11" ht="24.75" customHeight="1" x14ac:dyDescent="0.25">
      <c r="A46" s="7" t="s">
        <v>47</v>
      </c>
      <c r="B46" s="4" t="s">
        <v>225</v>
      </c>
      <c r="C46" s="7">
        <v>8</v>
      </c>
      <c r="D46" s="7">
        <v>64</v>
      </c>
      <c r="E46" s="126">
        <v>3350</v>
      </c>
      <c r="F46" s="219"/>
      <c r="G46" s="66">
        <v>8000</v>
      </c>
      <c r="H46" s="66">
        <v>112</v>
      </c>
      <c r="I46" s="219"/>
      <c r="J46" s="70">
        <f t="shared" si="0"/>
        <v>0</v>
      </c>
      <c r="K46" s="70">
        <f t="shared" si="1"/>
        <v>0</v>
      </c>
    </row>
    <row r="47" spans="1:11" ht="24.75" customHeight="1" x14ac:dyDescent="0.25">
      <c r="A47" s="7" t="s">
        <v>48</v>
      </c>
      <c r="B47" s="4" t="s">
        <v>225</v>
      </c>
      <c r="C47" s="7">
        <v>9</v>
      </c>
      <c r="D47" s="7">
        <v>64</v>
      </c>
      <c r="E47" s="126">
        <v>3350</v>
      </c>
      <c r="F47" s="219"/>
      <c r="G47" s="66">
        <v>8000</v>
      </c>
      <c r="H47" s="66">
        <v>96</v>
      </c>
      <c r="I47" s="219"/>
      <c r="J47" s="70">
        <f t="shared" si="0"/>
        <v>0</v>
      </c>
      <c r="K47" s="70">
        <f t="shared" si="1"/>
        <v>0</v>
      </c>
    </row>
    <row r="48" spans="1:11" ht="24.75" customHeight="1" x14ac:dyDescent="0.25">
      <c r="A48" s="7" t="s">
        <v>49</v>
      </c>
      <c r="B48" s="4" t="s">
        <v>226</v>
      </c>
      <c r="C48" s="7">
        <v>7</v>
      </c>
      <c r="D48" s="7">
        <v>64</v>
      </c>
      <c r="E48" s="126">
        <v>3350</v>
      </c>
      <c r="F48" s="219"/>
      <c r="G48" s="66">
        <v>8000</v>
      </c>
      <c r="H48" s="66">
        <v>96</v>
      </c>
      <c r="I48" s="219"/>
      <c r="J48" s="70">
        <f t="shared" si="0"/>
        <v>0</v>
      </c>
      <c r="K48" s="70">
        <f t="shared" si="1"/>
        <v>0</v>
      </c>
    </row>
    <row r="49" spans="1:13" ht="23.25" customHeight="1" x14ac:dyDescent="0.25">
      <c r="A49" s="7" t="s">
        <v>50</v>
      </c>
      <c r="B49" s="4" t="s">
        <v>226</v>
      </c>
      <c r="C49" s="7">
        <v>8</v>
      </c>
      <c r="D49" s="7">
        <v>64</v>
      </c>
      <c r="E49" s="126">
        <v>3350</v>
      </c>
      <c r="F49" s="219"/>
      <c r="G49" s="66">
        <v>8000</v>
      </c>
      <c r="H49" s="66">
        <v>112</v>
      </c>
      <c r="I49" s="219"/>
      <c r="J49" s="70">
        <f t="shared" si="0"/>
        <v>0</v>
      </c>
      <c r="K49" s="70">
        <f t="shared" si="1"/>
        <v>0</v>
      </c>
    </row>
    <row r="50" spans="1:13" ht="23.25" customHeight="1" x14ac:dyDescent="0.25">
      <c r="A50" s="7" t="s">
        <v>51</v>
      </c>
      <c r="B50" s="4" t="s">
        <v>226</v>
      </c>
      <c r="C50" s="7">
        <v>9</v>
      </c>
      <c r="D50" s="7">
        <v>64</v>
      </c>
      <c r="E50" s="126">
        <v>3350</v>
      </c>
      <c r="F50" s="219"/>
      <c r="G50" s="66">
        <v>8000</v>
      </c>
      <c r="H50" s="66">
        <v>112</v>
      </c>
      <c r="I50" s="219"/>
      <c r="J50" s="70">
        <f t="shared" si="0"/>
        <v>0</v>
      </c>
      <c r="K50" s="70">
        <f t="shared" si="1"/>
        <v>0</v>
      </c>
    </row>
    <row r="51" spans="1:13" ht="23.25" customHeight="1" x14ac:dyDescent="0.25">
      <c r="A51" s="7" t="s">
        <v>52</v>
      </c>
      <c r="B51" s="4" t="s">
        <v>227</v>
      </c>
      <c r="C51" s="7">
        <v>7</v>
      </c>
      <c r="D51" s="7">
        <v>64</v>
      </c>
      <c r="E51" s="126">
        <v>3350</v>
      </c>
      <c r="F51" s="219"/>
      <c r="G51" s="66">
        <v>8000</v>
      </c>
      <c r="H51" s="66">
        <v>96</v>
      </c>
      <c r="I51" s="219"/>
      <c r="J51" s="70">
        <f t="shared" si="0"/>
        <v>0</v>
      </c>
      <c r="K51" s="70">
        <f t="shared" si="1"/>
        <v>0</v>
      </c>
    </row>
    <row r="52" spans="1:13" ht="23.25" customHeight="1" x14ac:dyDescent="0.25">
      <c r="A52" s="7" t="s">
        <v>53</v>
      </c>
      <c r="B52" s="4" t="s">
        <v>227</v>
      </c>
      <c r="C52" s="7">
        <v>8</v>
      </c>
      <c r="D52" s="7">
        <v>64</v>
      </c>
      <c r="E52" s="126">
        <v>3350</v>
      </c>
      <c r="F52" s="219"/>
      <c r="G52" s="66">
        <v>8000</v>
      </c>
      <c r="H52" s="66">
        <v>96</v>
      </c>
      <c r="I52" s="219"/>
      <c r="J52" s="70">
        <f t="shared" si="0"/>
        <v>0</v>
      </c>
      <c r="K52" s="70">
        <f t="shared" si="1"/>
        <v>0</v>
      </c>
    </row>
    <row r="53" spans="1:13" ht="23.25" customHeight="1" x14ac:dyDescent="0.25">
      <c r="A53" s="7" t="s">
        <v>54</v>
      </c>
      <c r="B53" s="4" t="s">
        <v>227</v>
      </c>
      <c r="C53" s="7">
        <v>9</v>
      </c>
      <c r="D53" s="7">
        <v>64</v>
      </c>
      <c r="E53" s="126">
        <v>3350</v>
      </c>
      <c r="F53" s="219"/>
      <c r="G53" s="66">
        <v>8000</v>
      </c>
      <c r="H53" s="66">
        <v>96</v>
      </c>
      <c r="I53" s="219"/>
      <c r="J53" s="70">
        <f t="shared" si="0"/>
        <v>0</v>
      </c>
      <c r="K53" s="70">
        <f t="shared" si="1"/>
        <v>0</v>
      </c>
    </row>
    <row r="54" spans="1:13" ht="23.25" customHeight="1" x14ac:dyDescent="0.25">
      <c r="A54" s="7" t="s">
        <v>55</v>
      </c>
      <c r="B54" s="4" t="s">
        <v>245</v>
      </c>
      <c r="C54" s="7">
        <v>7</v>
      </c>
      <c r="D54" s="7">
        <v>64</v>
      </c>
      <c r="E54" s="126">
        <v>3350</v>
      </c>
      <c r="F54" s="219"/>
      <c r="G54" s="66">
        <v>8000</v>
      </c>
      <c r="H54" s="66">
        <v>128</v>
      </c>
      <c r="I54" s="219"/>
      <c r="J54" s="70">
        <f t="shared" si="0"/>
        <v>0</v>
      </c>
      <c r="K54" s="70">
        <f t="shared" si="1"/>
        <v>0</v>
      </c>
    </row>
    <row r="55" spans="1:13" ht="23.25" customHeight="1" x14ac:dyDescent="0.25">
      <c r="A55" s="7" t="s">
        <v>56</v>
      </c>
      <c r="B55" s="4" t="s">
        <v>245</v>
      </c>
      <c r="C55" s="7">
        <v>8</v>
      </c>
      <c r="D55" s="7">
        <v>64</v>
      </c>
      <c r="E55" s="126">
        <v>3350</v>
      </c>
      <c r="F55" s="219"/>
      <c r="G55" s="66">
        <v>8000</v>
      </c>
      <c r="H55" s="66">
        <v>112</v>
      </c>
      <c r="I55" s="219"/>
      <c r="J55" s="70">
        <f t="shared" si="0"/>
        <v>0</v>
      </c>
      <c r="K55" s="70">
        <f t="shared" si="1"/>
        <v>0</v>
      </c>
    </row>
    <row r="56" spans="1:13" ht="23.25" customHeight="1" x14ac:dyDescent="0.25">
      <c r="A56" s="7" t="s">
        <v>57</v>
      </c>
      <c r="B56" s="4" t="s">
        <v>245</v>
      </c>
      <c r="C56" s="7">
        <v>9</v>
      </c>
      <c r="D56" s="7">
        <v>64</v>
      </c>
      <c r="E56" s="126">
        <v>3350</v>
      </c>
      <c r="F56" s="219"/>
      <c r="G56" s="66">
        <v>8000</v>
      </c>
      <c r="H56" s="66">
        <v>112</v>
      </c>
      <c r="I56" s="219"/>
      <c r="J56" s="70">
        <f t="shared" si="0"/>
        <v>0</v>
      </c>
      <c r="K56" s="70">
        <f t="shared" si="1"/>
        <v>0</v>
      </c>
    </row>
    <row r="57" spans="1:13" ht="23.25" customHeight="1" x14ac:dyDescent="0.25">
      <c r="A57" s="7" t="s">
        <v>58</v>
      </c>
      <c r="B57" s="4" t="s">
        <v>139</v>
      </c>
      <c r="C57" s="7">
        <v>7</v>
      </c>
      <c r="D57" s="7">
        <v>64</v>
      </c>
      <c r="E57" s="126">
        <v>3350</v>
      </c>
      <c r="F57" s="219"/>
      <c r="G57" s="66">
        <v>8000</v>
      </c>
      <c r="H57" s="66">
        <v>96</v>
      </c>
      <c r="I57" s="219"/>
      <c r="J57" s="70">
        <f t="shared" si="0"/>
        <v>0</v>
      </c>
      <c r="K57" s="70">
        <f t="shared" si="1"/>
        <v>0</v>
      </c>
    </row>
    <row r="58" spans="1:13" ht="23.25" customHeight="1" x14ac:dyDescent="0.25">
      <c r="A58" s="7" t="s">
        <v>59</v>
      </c>
      <c r="B58" s="4" t="s">
        <v>139</v>
      </c>
      <c r="C58" s="7">
        <v>8</v>
      </c>
      <c r="D58" s="7">
        <v>64</v>
      </c>
      <c r="E58" s="126">
        <v>3350</v>
      </c>
      <c r="F58" s="219"/>
      <c r="G58" s="66">
        <v>8000</v>
      </c>
      <c r="H58" s="66">
        <v>96</v>
      </c>
      <c r="I58" s="219"/>
      <c r="J58" s="70">
        <f t="shared" si="0"/>
        <v>0</v>
      </c>
      <c r="K58" s="70">
        <f t="shared" si="1"/>
        <v>0</v>
      </c>
    </row>
    <row r="59" spans="1:13" ht="23.25" customHeight="1" x14ac:dyDescent="0.25">
      <c r="A59" s="7" t="s">
        <v>60</v>
      </c>
      <c r="B59" s="4" t="s">
        <v>139</v>
      </c>
      <c r="C59" s="7">
        <v>9</v>
      </c>
      <c r="D59" s="7">
        <v>64</v>
      </c>
      <c r="E59" s="126">
        <v>3350</v>
      </c>
      <c r="F59" s="219"/>
      <c r="G59" s="66">
        <v>8000</v>
      </c>
      <c r="H59" s="66">
        <v>112</v>
      </c>
      <c r="I59" s="219"/>
      <c r="J59" s="70">
        <f t="shared" si="0"/>
        <v>0</v>
      </c>
      <c r="K59" s="70">
        <f t="shared" si="1"/>
        <v>0</v>
      </c>
    </row>
    <row r="60" spans="1:13" ht="23.25" customHeight="1" x14ac:dyDescent="0.25">
      <c r="A60" s="7" t="s">
        <v>61</v>
      </c>
      <c r="B60" s="85" t="s">
        <v>242</v>
      </c>
      <c r="C60" s="22">
        <v>7</v>
      </c>
      <c r="D60" s="7">
        <v>64</v>
      </c>
      <c r="E60" s="126">
        <v>3350</v>
      </c>
      <c r="F60" s="219"/>
      <c r="G60" s="66">
        <v>8000</v>
      </c>
      <c r="H60" s="66">
        <v>96</v>
      </c>
      <c r="I60" s="219"/>
      <c r="J60" s="70">
        <f t="shared" si="0"/>
        <v>0</v>
      </c>
      <c r="K60" s="70">
        <f t="shared" si="1"/>
        <v>0</v>
      </c>
    </row>
    <row r="61" spans="1:13" ht="23.25" customHeight="1" x14ac:dyDescent="0.25">
      <c r="A61" s="7" t="s">
        <v>62</v>
      </c>
      <c r="B61" s="85" t="s">
        <v>242</v>
      </c>
      <c r="C61" s="22">
        <v>8</v>
      </c>
      <c r="D61" s="7">
        <v>64</v>
      </c>
      <c r="E61" s="126">
        <v>3350</v>
      </c>
      <c r="F61" s="219"/>
      <c r="G61" s="66">
        <v>8000</v>
      </c>
      <c r="H61" s="66">
        <v>112</v>
      </c>
      <c r="I61" s="219"/>
      <c r="J61" s="70">
        <f t="shared" si="0"/>
        <v>0</v>
      </c>
      <c r="K61" s="70">
        <f t="shared" si="1"/>
        <v>0</v>
      </c>
    </row>
    <row r="62" spans="1:13" ht="23.25" customHeight="1" x14ac:dyDescent="0.25">
      <c r="A62" s="7" t="s">
        <v>63</v>
      </c>
      <c r="B62" s="85" t="s">
        <v>242</v>
      </c>
      <c r="C62" s="22">
        <v>9</v>
      </c>
      <c r="D62" s="7">
        <v>64</v>
      </c>
      <c r="E62" s="126">
        <v>3350</v>
      </c>
      <c r="F62" s="219"/>
      <c r="G62" s="66">
        <v>8000</v>
      </c>
      <c r="H62" s="66">
        <v>112</v>
      </c>
      <c r="I62" s="219"/>
      <c r="J62" s="70">
        <f t="shared" si="0"/>
        <v>0</v>
      </c>
      <c r="K62" s="70">
        <f t="shared" si="1"/>
        <v>0</v>
      </c>
      <c r="M62" s="27"/>
    </row>
    <row r="63" spans="1:13" ht="23.25" customHeight="1" x14ac:dyDescent="0.25">
      <c r="A63" s="7" t="s">
        <v>64</v>
      </c>
      <c r="B63" s="85" t="s">
        <v>241</v>
      </c>
      <c r="C63" s="22">
        <v>7</v>
      </c>
      <c r="D63" s="7">
        <v>64</v>
      </c>
      <c r="E63" s="126">
        <v>3350</v>
      </c>
      <c r="F63" s="219"/>
      <c r="G63" s="66">
        <v>9000</v>
      </c>
      <c r="H63" s="66">
        <v>80</v>
      </c>
      <c r="I63" s="219"/>
      <c r="J63" s="70">
        <f t="shared" si="0"/>
        <v>0</v>
      </c>
      <c r="K63" s="70">
        <f t="shared" si="1"/>
        <v>0</v>
      </c>
    </row>
    <row r="64" spans="1:13" ht="23.25" customHeight="1" x14ac:dyDescent="0.25">
      <c r="A64" s="7" t="s">
        <v>65</v>
      </c>
      <c r="B64" s="85" t="s">
        <v>241</v>
      </c>
      <c r="C64" s="22">
        <v>8</v>
      </c>
      <c r="D64" s="7">
        <v>64</v>
      </c>
      <c r="E64" s="126">
        <v>3350</v>
      </c>
      <c r="F64" s="219"/>
      <c r="G64" s="66">
        <v>9000</v>
      </c>
      <c r="H64" s="66">
        <v>96</v>
      </c>
      <c r="I64" s="219"/>
      <c r="J64" s="70">
        <f t="shared" si="0"/>
        <v>0</v>
      </c>
      <c r="K64" s="70">
        <f t="shared" si="1"/>
        <v>0</v>
      </c>
      <c r="L64" s="27"/>
    </row>
    <row r="65" spans="1:11" ht="23.25" customHeight="1" x14ac:dyDescent="0.25">
      <c r="A65" s="7" t="s">
        <v>66</v>
      </c>
      <c r="B65" s="85" t="s">
        <v>241</v>
      </c>
      <c r="C65" s="22">
        <v>9</v>
      </c>
      <c r="D65" s="7">
        <v>64</v>
      </c>
      <c r="E65" s="126">
        <v>3350</v>
      </c>
      <c r="F65" s="219"/>
      <c r="G65" s="66">
        <v>9000</v>
      </c>
      <c r="H65" s="66">
        <v>80</v>
      </c>
      <c r="I65" s="219"/>
      <c r="J65" s="70">
        <f t="shared" si="0"/>
        <v>0</v>
      </c>
      <c r="K65" s="70">
        <f t="shared" si="1"/>
        <v>0</v>
      </c>
    </row>
    <row r="66" spans="1:11" ht="23.25" customHeight="1" x14ac:dyDescent="0.25">
      <c r="A66" s="7" t="s">
        <v>73</v>
      </c>
      <c r="B66" s="85" t="s">
        <v>403</v>
      </c>
      <c r="C66" s="22">
        <v>7</v>
      </c>
      <c r="D66" s="7">
        <v>112</v>
      </c>
      <c r="E66" s="126">
        <v>4350</v>
      </c>
      <c r="F66" s="219"/>
      <c r="G66" s="66">
        <v>8000</v>
      </c>
      <c r="H66" s="66">
        <v>160</v>
      </c>
      <c r="I66" s="219"/>
      <c r="J66" s="70">
        <f t="shared" ref="J66:J73" si="2">F66*E66</f>
        <v>0</v>
      </c>
      <c r="K66" s="70">
        <f t="shared" ref="K66:K73" si="3">I66*G66</f>
        <v>0</v>
      </c>
    </row>
    <row r="67" spans="1:11" ht="23.25" customHeight="1" x14ac:dyDescent="0.25">
      <c r="A67" s="7" t="s">
        <v>74</v>
      </c>
      <c r="B67" s="85" t="s">
        <v>403</v>
      </c>
      <c r="C67" s="22">
        <v>8</v>
      </c>
      <c r="D67" s="7">
        <v>112</v>
      </c>
      <c r="E67" s="126">
        <v>4350</v>
      </c>
      <c r="F67" s="219"/>
      <c r="G67" s="66">
        <v>8000</v>
      </c>
      <c r="H67" s="66">
        <v>160</v>
      </c>
      <c r="I67" s="219"/>
      <c r="J67" s="70">
        <f t="shared" si="2"/>
        <v>0</v>
      </c>
      <c r="K67" s="70">
        <f t="shared" si="3"/>
        <v>0</v>
      </c>
    </row>
    <row r="68" spans="1:11" ht="23.25" customHeight="1" x14ac:dyDescent="0.25">
      <c r="A68" s="7" t="s">
        <v>75</v>
      </c>
      <c r="B68" s="85" t="s">
        <v>403</v>
      </c>
      <c r="C68" s="22">
        <v>9</v>
      </c>
      <c r="D68" s="7">
        <v>112</v>
      </c>
      <c r="E68" s="126">
        <v>4350</v>
      </c>
      <c r="F68" s="219"/>
      <c r="G68" s="66">
        <v>8000</v>
      </c>
      <c r="H68" s="66">
        <v>144</v>
      </c>
      <c r="I68" s="219"/>
      <c r="J68" s="70">
        <f t="shared" si="2"/>
        <v>0</v>
      </c>
      <c r="K68" s="70">
        <f t="shared" si="3"/>
        <v>0</v>
      </c>
    </row>
    <row r="69" spans="1:11" ht="23.25" customHeight="1" x14ac:dyDescent="0.25">
      <c r="A69" s="7" t="s">
        <v>83</v>
      </c>
      <c r="B69" s="85" t="s">
        <v>404</v>
      </c>
      <c r="C69" s="22">
        <v>7</v>
      </c>
      <c r="D69" s="7">
        <v>80</v>
      </c>
      <c r="E69" s="126">
        <v>3650</v>
      </c>
      <c r="F69" s="219"/>
      <c r="G69" s="66">
        <v>8000</v>
      </c>
      <c r="H69" s="66">
        <v>128</v>
      </c>
      <c r="I69" s="219"/>
      <c r="J69" s="70">
        <f t="shared" si="2"/>
        <v>0</v>
      </c>
      <c r="K69" s="70">
        <f t="shared" si="3"/>
        <v>0</v>
      </c>
    </row>
    <row r="70" spans="1:11" ht="23.25" customHeight="1" x14ac:dyDescent="0.25">
      <c r="A70" s="7" t="s">
        <v>84</v>
      </c>
      <c r="B70" s="85" t="s">
        <v>404</v>
      </c>
      <c r="C70" s="22">
        <v>8</v>
      </c>
      <c r="D70" s="7">
        <v>80</v>
      </c>
      <c r="E70" s="126">
        <v>3650</v>
      </c>
      <c r="F70" s="219"/>
      <c r="G70" s="66">
        <v>8000</v>
      </c>
      <c r="H70" s="66">
        <v>128</v>
      </c>
      <c r="I70" s="219"/>
      <c r="J70" s="70">
        <f t="shared" si="2"/>
        <v>0</v>
      </c>
      <c r="K70" s="70">
        <f t="shared" si="3"/>
        <v>0</v>
      </c>
    </row>
    <row r="71" spans="1:11" ht="23.25" customHeight="1" x14ac:dyDescent="0.25">
      <c r="A71" s="7" t="s">
        <v>85</v>
      </c>
      <c r="B71" s="85" t="s">
        <v>404</v>
      </c>
      <c r="C71" s="22">
        <v>9</v>
      </c>
      <c r="D71" s="7">
        <v>80</v>
      </c>
      <c r="E71" s="126">
        <v>3650</v>
      </c>
      <c r="F71" s="219"/>
      <c r="G71" s="66">
        <v>8000</v>
      </c>
      <c r="H71" s="66">
        <v>144</v>
      </c>
      <c r="I71" s="219"/>
      <c r="J71" s="70">
        <f t="shared" si="2"/>
        <v>0</v>
      </c>
      <c r="K71" s="70">
        <f t="shared" si="3"/>
        <v>0</v>
      </c>
    </row>
    <row r="72" spans="1:11" ht="23.25" customHeight="1" x14ac:dyDescent="0.25">
      <c r="A72" s="7" t="s">
        <v>111</v>
      </c>
      <c r="B72" s="85" t="s">
        <v>548</v>
      </c>
      <c r="C72" s="22">
        <v>7</v>
      </c>
      <c r="D72" s="7">
        <v>64</v>
      </c>
      <c r="E72" s="126">
        <v>3350</v>
      </c>
      <c r="F72" s="219"/>
      <c r="G72" s="66">
        <v>8000</v>
      </c>
      <c r="H72" s="66"/>
      <c r="I72" s="219"/>
      <c r="J72" s="70"/>
      <c r="K72" s="70"/>
    </row>
    <row r="73" spans="1:11" ht="23.25" customHeight="1" x14ac:dyDescent="0.25">
      <c r="A73" s="7" t="s">
        <v>112</v>
      </c>
      <c r="B73" s="85" t="s">
        <v>548</v>
      </c>
      <c r="C73" s="22">
        <v>8</v>
      </c>
      <c r="D73" s="7">
        <v>64</v>
      </c>
      <c r="E73" s="126">
        <v>3350</v>
      </c>
      <c r="F73" s="219"/>
      <c r="G73" s="66">
        <v>8000</v>
      </c>
      <c r="H73" s="66"/>
      <c r="I73" s="219"/>
      <c r="J73" s="70">
        <f t="shared" si="2"/>
        <v>0</v>
      </c>
      <c r="K73" s="70">
        <f t="shared" si="3"/>
        <v>0</v>
      </c>
    </row>
    <row r="74" spans="1:11" ht="23.25" customHeight="1" x14ac:dyDescent="0.25">
      <c r="A74" s="7" t="s">
        <v>113</v>
      </c>
      <c r="B74" s="85" t="s">
        <v>548</v>
      </c>
      <c r="C74" s="22">
        <v>9</v>
      </c>
      <c r="D74" s="7">
        <v>64</v>
      </c>
      <c r="E74" s="126">
        <v>3350</v>
      </c>
      <c r="F74" s="219"/>
      <c r="G74" s="66">
        <v>8000</v>
      </c>
      <c r="H74" s="66"/>
      <c r="I74" s="219"/>
      <c r="J74" s="70"/>
      <c r="K74" s="70"/>
    </row>
    <row r="75" spans="1:11" ht="26.25" customHeight="1" x14ac:dyDescent="0.25">
      <c r="E75" s="32"/>
      <c r="F75" s="242">
        <f>SUM(F6:F74)</f>
        <v>0</v>
      </c>
      <c r="G75" s="32"/>
      <c r="H75" s="32"/>
      <c r="I75" s="242">
        <f>SUM(I6:I74)</f>
        <v>0</v>
      </c>
      <c r="J75" s="127">
        <f>SUM(J6:J73)</f>
        <v>0</v>
      </c>
      <c r="K75" s="127">
        <f>SUM(K6:K73)</f>
        <v>0</v>
      </c>
    </row>
  </sheetData>
  <mergeCells count="9">
    <mergeCell ref="F4:F5"/>
    <mergeCell ref="G4:G5"/>
    <mergeCell ref="I4:I5"/>
    <mergeCell ref="A4:A5"/>
    <mergeCell ref="B4:B5"/>
    <mergeCell ref="C4:C5"/>
    <mergeCell ref="D4:D5"/>
    <mergeCell ref="E4:E5"/>
    <mergeCell ref="H4:H5"/>
  </mergeCells>
  <phoneticPr fontId="19" type="noConversion"/>
  <pageMargins left="0.2" right="0.22" top="0.75" bottom="0.75" header="0.3" footer="0.3"/>
  <pageSetup paperSize="9" scale="47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Y100"/>
  <sheetViews>
    <sheetView view="pageBreakPreview" topLeftCell="A67" zoomScale="80" zoomScaleSheetLayoutView="80" workbookViewId="0">
      <selection activeCell="D82" sqref="D82"/>
    </sheetView>
  </sheetViews>
  <sheetFormatPr defaultRowHeight="15" x14ac:dyDescent="0.25"/>
  <cols>
    <col min="1" max="1" width="7.5703125" customWidth="1"/>
    <col min="2" max="2" width="48.85546875" customWidth="1"/>
    <col min="5" max="5" width="9.85546875" style="10" customWidth="1"/>
    <col min="6" max="6" width="12.5703125" customWidth="1"/>
    <col min="9" max="9" width="12.85546875" customWidth="1"/>
    <col min="10" max="10" width="14.28515625" hidden="1" customWidth="1"/>
    <col min="11" max="11" width="12.140625" hidden="1" customWidth="1"/>
    <col min="12" max="12" width="5.140625" customWidth="1"/>
    <col min="14" max="14" width="36.85546875" customWidth="1"/>
    <col min="18" max="18" width="12.42578125" customWidth="1"/>
    <col min="21" max="21" width="12.42578125" customWidth="1"/>
    <col min="22" max="23" width="14" hidden="1" customWidth="1"/>
    <col min="24" max="25" width="14" customWidth="1"/>
  </cols>
  <sheetData>
    <row r="1" spans="1:23" ht="30" x14ac:dyDescent="0.4">
      <c r="A1" s="1" t="s">
        <v>72</v>
      </c>
      <c r="M1" s="1" t="s">
        <v>72</v>
      </c>
      <c r="Q1" s="10"/>
    </row>
    <row r="2" spans="1:23" ht="19.5" x14ac:dyDescent="0.25">
      <c r="A2" s="43" t="str">
        <f>REKAP!A2</f>
        <v>Smt. 2 Tahun Ajaran 2026 - 2027</v>
      </c>
      <c r="M2" s="43" t="str">
        <f>A2</f>
        <v>Smt. 2 Tahun Ajaran 2026 - 2027</v>
      </c>
      <c r="Q2" s="10"/>
    </row>
    <row r="3" spans="1:23" ht="31.5" x14ac:dyDescent="0.55000000000000004">
      <c r="A3" s="265" t="s">
        <v>583</v>
      </c>
      <c r="B3" s="266">
        <f>REKAP!$J$4</f>
        <v>0</v>
      </c>
      <c r="N3" s="90"/>
      <c r="Q3" s="10"/>
    </row>
    <row r="4" spans="1:23" ht="15" customHeight="1" x14ac:dyDescent="0.25">
      <c r="A4" s="316" t="s">
        <v>0</v>
      </c>
      <c r="B4" s="316" t="s">
        <v>222</v>
      </c>
      <c r="C4" s="316" t="s">
        <v>1</v>
      </c>
      <c r="D4" s="316" t="s">
        <v>2</v>
      </c>
      <c r="E4" s="312" t="s">
        <v>3</v>
      </c>
      <c r="F4" s="310" t="s">
        <v>207</v>
      </c>
      <c r="G4" s="314" t="s">
        <v>212</v>
      </c>
      <c r="H4" s="314" t="s">
        <v>439</v>
      </c>
      <c r="I4" s="307" t="s">
        <v>208</v>
      </c>
      <c r="M4" s="316" t="s">
        <v>0</v>
      </c>
      <c r="N4" s="316" t="s">
        <v>222</v>
      </c>
      <c r="O4" s="316" t="s">
        <v>1</v>
      </c>
      <c r="P4" s="316" t="s">
        <v>2</v>
      </c>
      <c r="Q4" s="312" t="s">
        <v>3</v>
      </c>
      <c r="R4" s="310" t="s">
        <v>207</v>
      </c>
      <c r="S4" s="314" t="s">
        <v>212</v>
      </c>
      <c r="T4" s="314" t="s">
        <v>439</v>
      </c>
      <c r="U4" s="307" t="s">
        <v>208</v>
      </c>
    </row>
    <row r="5" spans="1:23" ht="15" customHeight="1" x14ac:dyDescent="0.25">
      <c r="A5" s="317"/>
      <c r="B5" s="317"/>
      <c r="C5" s="317"/>
      <c r="D5" s="317"/>
      <c r="E5" s="313"/>
      <c r="F5" s="311"/>
      <c r="G5" s="315"/>
      <c r="H5" s="315"/>
      <c r="I5" s="307"/>
      <c r="M5" s="317"/>
      <c r="N5" s="317"/>
      <c r="O5" s="317"/>
      <c r="P5" s="317"/>
      <c r="Q5" s="313"/>
      <c r="R5" s="311"/>
      <c r="S5" s="315"/>
      <c r="T5" s="315"/>
      <c r="U5" s="307"/>
    </row>
    <row r="6" spans="1:23" ht="24.75" customHeight="1" x14ac:dyDescent="0.25">
      <c r="A6" s="7" t="s">
        <v>4</v>
      </c>
      <c r="B6" s="49" t="s">
        <v>229</v>
      </c>
      <c r="C6" s="36">
        <v>10</v>
      </c>
      <c r="D6" s="36">
        <v>80</v>
      </c>
      <c r="E6" s="125">
        <v>3650</v>
      </c>
      <c r="F6" s="219"/>
      <c r="G6" s="239">
        <v>8000</v>
      </c>
      <c r="H6" s="239">
        <v>112</v>
      </c>
      <c r="I6" s="219"/>
      <c r="J6" s="243">
        <f>E6*F6</f>
        <v>0</v>
      </c>
      <c r="K6" s="243">
        <f>G6*I6</f>
        <v>0</v>
      </c>
      <c r="M6" s="7" t="s">
        <v>4</v>
      </c>
      <c r="N6" s="49" t="s">
        <v>330</v>
      </c>
      <c r="O6" s="36">
        <v>12</v>
      </c>
      <c r="P6" s="36">
        <v>64</v>
      </c>
      <c r="Q6" s="125">
        <v>3350</v>
      </c>
      <c r="R6" s="219"/>
      <c r="S6" s="239">
        <v>8000</v>
      </c>
      <c r="T6" s="239"/>
      <c r="U6" s="219"/>
      <c r="V6" s="27">
        <f>Q6*R6</f>
        <v>0</v>
      </c>
      <c r="W6" s="27">
        <f>Q6*U6</f>
        <v>0</v>
      </c>
    </row>
    <row r="7" spans="1:23" ht="24.75" customHeight="1" x14ac:dyDescent="0.25">
      <c r="A7" s="7" t="s">
        <v>6</v>
      </c>
      <c r="B7" s="49" t="s">
        <v>229</v>
      </c>
      <c r="C7" s="36">
        <v>11</v>
      </c>
      <c r="D7" s="36">
        <v>80</v>
      </c>
      <c r="E7" s="125">
        <v>3650</v>
      </c>
      <c r="F7" s="219"/>
      <c r="G7" s="239">
        <v>8000</v>
      </c>
      <c r="H7" s="239">
        <v>112</v>
      </c>
      <c r="I7" s="219"/>
      <c r="J7" s="243">
        <f t="shared" ref="J7:J70" si="0">E7*F7</f>
        <v>0</v>
      </c>
      <c r="K7" s="243">
        <f t="shared" ref="K7:K70" si="1">G7*I7</f>
        <v>0</v>
      </c>
      <c r="M7" s="7" t="s">
        <v>6</v>
      </c>
      <c r="N7" s="49" t="s">
        <v>331</v>
      </c>
      <c r="O7" s="36">
        <v>12</v>
      </c>
      <c r="P7" s="36">
        <v>64</v>
      </c>
      <c r="Q7" s="125">
        <v>3350</v>
      </c>
      <c r="R7" s="219"/>
      <c r="S7" s="239">
        <v>8000</v>
      </c>
      <c r="T7" s="239"/>
      <c r="U7" s="219"/>
      <c r="V7" s="27">
        <f t="shared" ref="V7:V22" si="2">Q7*R7</f>
        <v>0</v>
      </c>
      <c r="W7" s="27">
        <f t="shared" ref="W7:W22" si="3">Q7*U7</f>
        <v>0</v>
      </c>
    </row>
    <row r="8" spans="1:23" ht="24.75" customHeight="1" x14ac:dyDescent="0.25">
      <c r="A8" s="7" t="s">
        <v>7</v>
      </c>
      <c r="B8" s="49" t="s">
        <v>549</v>
      </c>
      <c r="C8" s="36">
        <v>12</v>
      </c>
      <c r="D8" s="36">
        <v>128</v>
      </c>
      <c r="E8" s="125">
        <v>5150</v>
      </c>
      <c r="F8" s="219"/>
      <c r="G8" s="239">
        <v>8000</v>
      </c>
      <c r="H8" s="239">
        <v>208</v>
      </c>
      <c r="I8" s="219"/>
      <c r="J8" s="243">
        <f t="shared" si="0"/>
        <v>0</v>
      </c>
      <c r="K8" s="243">
        <f t="shared" si="1"/>
        <v>0</v>
      </c>
      <c r="M8" s="7" t="s">
        <v>7</v>
      </c>
      <c r="N8" s="49" t="s">
        <v>332</v>
      </c>
      <c r="O8" s="36">
        <v>12</v>
      </c>
      <c r="P8" s="36">
        <v>80</v>
      </c>
      <c r="Q8" s="125">
        <v>3650</v>
      </c>
      <c r="R8" s="219"/>
      <c r="S8" s="239">
        <v>8000</v>
      </c>
      <c r="T8" s="239"/>
      <c r="U8" s="219"/>
      <c r="V8" s="27">
        <f t="shared" si="2"/>
        <v>0</v>
      </c>
      <c r="W8" s="27">
        <f t="shared" si="3"/>
        <v>0</v>
      </c>
    </row>
    <row r="9" spans="1:23" ht="24.75" customHeight="1" x14ac:dyDescent="0.25">
      <c r="A9" s="7" t="s">
        <v>8</v>
      </c>
      <c r="B9" s="49" t="s">
        <v>230</v>
      </c>
      <c r="C9" s="36">
        <v>10</v>
      </c>
      <c r="D9" s="36">
        <v>80</v>
      </c>
      <c r="E9" s="125">
        <v>3650</v>
      </c>
      <c r="F9" s="219"/>
      <c r="G9" s="239">
        <v>8000</v>
      </c>
      <c r="H9" s="239">
        <v>112</v>
      </c>
      <c r="I9" s="219"/>
      <c r="J9" s="243">
        <f t="shared" si="0"/>
        <v>0</v>
      </c>
      <c r="K9" s="243">
        <f t="shared" si="1"/>
        <v>0</v>
      </c>
      <c r="M9" s="7" t="s">
        <v>8</v>
      </c>
      <c r="N9" s="49" t="s">
        <v>333</v>
      </c>
      <c r="O9" s="36">
        <v>12</v>
      </c>
      <c r="P9" s="36">
        <v>80</v>
      </c>
      <c r="Q9" s="125">
        <v>3650</v>
      </c>
      <c r="R9" s="219"/>
      <c r="S9" s="239">
        <v>8000</v>
      </c>
      <c r="T9" s="239"/>
      <c r="U9" s="219"/>
      <c r="V9" s="27">
        <f t="shared" si="2"/>
        <v>0</v>
      </c>
      <c r="W9" s="27">
        <f t="shared" si="3"/>
        <v>0</v>
      </c>
    </row>
    <row r="10" spans="1:23" ht="24.75" customHeight="1" x14ac:dyDescent="0.25">
      <c r="A10" s="7" t="s">
        <v>9</v>
      </c>
      <c r="B10" s="49" t="s">
        <v>230</v>
      </c>
      <c r="C10" s="36">
        <v>11</v>
      </c>
      <c r="D10" s="36">
        <v>80</v>
      </c>
      <c r="E10" s="125">
        <v>3650</v>
      </c>
      <c r="F10" s="219"/>
      <c r="G10" s="239">
        <v>8000</v>
      </c>
      <c r="H10" s="239">
        <v>112</v>
      </c>
      <c r="I10" s="219"/>
      <c r="J10" s="243">
        <f t="shared" si="0"/>
        <v>0</v>
      </c>
      <c r="K10" s="243">
        <f t="shared" si="1"/>
        <v>0</v>
      </c>
      <c r="M10" s="7" t="s">
        <v>9</v>
      </c>
      <c r="N10" s="49" t="s">
        <v>334</v>
      </c>
      <c r="O10" s="36">
        <v>12</v>
      </c>
      <c r="P10" s="36">
        <v>64</v>
      </c>
      <c r="Q10" s="125">
        <v>3350</v>
      </c>
      <c r="R10" s="219"/>
      <c r="S10" s="239">
        <v>8000</v>
      </c>
      <c r="T10" s="239"/>
      <c r="U10" s="219"/>
      <c r="V10" s="27">
        <f t="shared" si="2"/>
        <v>0</v>
      </c>
      <c r="W10" s="27">
        <f t="shared" si="3"/>
        <v>0</v>
      </c>
    </row>
    <row r="11" spans="1:23" ht="24.75" customHeight="1" x14ac:dyDescent="0.25">
      <c r="A11" s="7" t="s">
        <v>10</v>
      </c>
      <c r="B11" s="49" t="s">
        <v>374</v>
      </c>
      <c r="C11" s="36">
        <v>12</v>
      </c>
      <c r="D11" s="36">
        <v>128</v>
      </c>
      <c r="E11" s="125">
        <v>5150</v>
      </c>
      <c r="F11" s="219"/>
      <c r="G11" s="239">
        <v>8000</v>
      </c>
      <c r="H11" s="239">
        <v>192</v>
      </c>
      <c r="I11" s="219"/>
      <c r="J11" s="243">
        <f t="shared" si="0"/>
        <v>0</v>
      </c>
      <c r="K11" s="243">
        <f t="shared" si="1"/>
        <v>0</v>
      </c>
      <c r="M11" s="7" t="s">
        <v>10</v>
      </c>
      <c r="N11" s="49" t="s">
        <v>335</v>
      </c>
      <c r="O11" s="36">
        <v>12</v>
      </c>
      <c r="P11" s="36">
        <v>64</v>
      </c>
      <c r="Q11" s="125">
        <v>3350</v>
      </c>
      <c r="R11" s="219"/>
      <c r="S11" s="239">
        <v>8000</v>
      </c>
      <c r="T11" s="239"/>
      <c r="U11" s="219"/>
      <c r="V11" s="27">
        <f t="shared" si="2"/>
        <v>0</v>
      </c>
      <c r="W11" s="27">
        <f t="shared" si="3"/>
        <v>0</v>
      </c>
    </row>
    <row r="12" spans="1:23" ht="24.75" customHeight="1" x14ac:dyDescent="0.25">
      <c r="A12" s="7" t="s">
        <v>11</v>
      </c>
      <c r="B12" s="49" t="s">
        <v>172</v>
      </c>
      <c r="C12" s="36">
        <v>11</v>
      </c>
      <c r="D12" s="36">
        <v>64</v>
      </c>
      <c r="E12" s="125">
        <v>3350</v>
      </c>
      <c r="F12" s="219"/>
      <c r="G12" s="239">
        <v>8000</v>
      </c>
      <c r="H12" s="239"/>
      <c r="I12" s="219"/>
      <c r="J12" s="243">
        <f t="shared" si="0"/>
        <v>0</v>
      </c>
      <c r="K12" s="243">
        <f t="shared" si="1"/>
        <v>0</v>
      </c>
      <c r="M12" s="7" t="s">
        <v>11</v>
      </c>
      <c r="N12" s="49" t="s">
        <v>336</v>
      </c>
      <c r="O12" s="36">
        <v>12</v>
      </c>
      <c r="P12" s="36">
        <v>64</v>
      </c>
      <c r="Q12" s="125">
        <v>3350</v>
      </c>
      <c r="R12" s="219"/>
      <c r="S12" s="239">
        <v>8000</v>
      </c>
      <c r="T12" s="239"/>
      <c r="U12" s="219"/>
      <c r="V12" s="27">
        <f t="shared" si="2"/>
        <v>0</v>
      </c>
      <c r="W12" s="27">
        <f t="shared" si="3"/>
        <v>0</v>
      </c>
    </row>
    <row r="13" spans="1:23" ht="24.75" customHeight="1" x14ac:dyDescent="0.25">
      <c r="A13" s="7" t="s">
        <v>12</v>
      </c>
      <c r="B13" s="49" t="s">
        <v>375</v>
      </c>
      <c r="C13" s="36">
        <v>12</v>
      </c>
      <c r="D13" s="36">
        <v>128</v>
      </c>
      <c r="E13" s="125">
        <v>5150</v>
      </c>
      <c r="F13" s="219"/>
      <c r="G13" s="239">
        <v>8000</v>
      </c>
      <c r="H13" s="239"/>
      <c r="I13" s="219"/>
      <c r="J13" s="243">
        <f t="shared" si="0"/>
        <v>0</v>
      </c>
      <c r="K13" s="243">
        <f t="shared" si="1"/>
        <v>0</v>
      </c>
      <c r="M13" s="7" t="s">
        <v>12</v>
      </c>
      <c r="N13" s="49" t="s">
        <v>337</v>
      </c>
      <c r="O13" s="36">
        <v>12</v>
      </c>
      <c r="P13" s="36">
        <v>64</v>
      </c>
      <c r="Q13" s="125">
        <v>3350</v>
      </c>
      <c r="R13" s="219"/>
      <c r="S13" s="239">
        <v>8000</v>
      </c>
      <c r="T13" s="239"/>
      <c r="U13" s="219"/>
      <c r="V13" s="27">
        <f t="shared" si="2"/>
        <v>0</v>
      </c>
      <c r="W13" s="27">
        <f t="shared" si="3"/>
        <v>0</v>
      </c>
    </row>
    <row r="14" spans="1:23" ht="24.75" customHeight="1" x14ac:dyDescent="0.25">
      <c r="A14" s="7" t="s">
        <v>13</v>
      </c>
      <c r="B14" s="49" t="s">
        <v>160</v>
      </c>
      <c r="C14" s="36">
        <v>10</v>
      </c>
      <c r="D14" s="36">
        <v>80</v>
      </c>
      <c r="E14" s="125">
        <v>3650</v>
      </c>
      <c r="F14" s="219"/>
      <c r="G14" s="239">
        <v>8000</v>
      </c>
      <c r="H14" s="239">
        <v>128</v>
      </c>
      <c r="I14" s="219"/>
      <c r="J14" s="243">
        <f t="shared" si="0"/>
        <v>0</v>
      </c>
      <c r="K14" s="243">
        <f t="shared" si="1"/>
        <v>0</v>
      </c>
      <c r="M14" s="7" t="s">
        <v>13</v>
      </c>
      <c r="N14" s="49" t="s">
        <v>370</v>
      </c>
      <c r="O14" s="36">
        <v>12</v>
      </c>
      <c r="P14" s="36">
        <v>64</v>
      </c>
      <c r="Q14" s="125">
        <v>3350</v>
      </c>
      <c r="R14" s="219"/>
      <c r="S14" s="239">
        <v>8000</v>
      </c>
      <c r="T14" s="239"/>
      <c r="U14" s="219"/>
      <c r="V14" s="27">
        <f t="shared" si="2"/>
        <v>0</v>
      </c>
      <c r="W14" s="27">
        <f t="shared" si="3"/>
        <v>0</v>
      </c>
    </row>
    <row r="15" spans="1:23" ht="24.75" customHeight="1" x14ac:dyDescent="0.25">
      <c r="A15" s="7" t="s">
        <v>14</v>
      </c>
      <c r="B15" s="49" t="s">
        <v>160</v>
      </c>
      <c r="C15" s="36">
        <v>11</v>
      </c>
      <c r="D15" s="36">
        <v>80</v>
      </c>
      <c r="E15" s="125">
        <v>3650</v>
      </c>
      <c r="F15" s="219"/>
      <c r="G15" s="239">
        <v>8000</v>
      </c>
      <c r="H15" s="239">
        <v>144</v>
      </c>
      <c r="I15" s="219"/>
      <c r="J15" s="243">
        <f t="shared" si="0"/>
        <v>0</v>
      </c>
      <c r="K15" s="243">
        <f t="shared" si="1"/>
        <v>0</v>
      </c>
      <c r="M15" s="7" t="s">
        <v>14</v>
      </c>
      <c r="N15" s="49" t="s">
        <v>338</v>
      </c>
      <c r="O15" s="36">
        <v>12</v>
      </c>
      <c r="P15" s="36">
        <v>64</v>
      </c>
      <c r="Q15" s="125">
        <v>3350</v>
      </c>
      <c r="R15" s="219"/>
      <c r="S15" s="239">
        <v>8000</v>
      </c>
      <c r="T15" s="239"/>
      <c r="U15" s="219"/>
      <c r="V15" s="27">
        <f t="shared" si="2"/>
        <v>0</v>
      </c>
      <c r="W15" s="27">
        <f t="shared" si="3"/>
        <v>0</v>
      </c>
    </row>
    <row r="16" spans="1:23" ht="24.75" customHeight="1" x14ac:dyDescent="0.25">
      <c r="A16" s="7" t="s">
        <v>15</v>
      </c>
      <c r="B16" s="49" t="s">
        <v>376</v>
      </c>
      <c r="C16" s="36">
        <v>12</v>
      </c>
      <c r="D16" s="36">
        <v>128</v>
      </c>
      <c r="E16" s="125">
        <v>5150</v>
      </c>
      <c r="F16" s="219"/>
      <c r="G16" s="239">
        <v>8000</v>
      </c>
      <c r="H16" s="239">
        <v>192</v>
      </c>
      <c r="I16" s="219"/>
      <c r="J16" s="243">
        <f t="shared" si="0"/>
        <v>0</v>
      </c>
      <c r="K16" s="243">
        <f t="shared" si="1"/>
        <v>0</v>
      </c>
      <c r="M16" s="7" t="s">
        <v>15</v>
      </c>
      <c r="N16" s="4" t="s">
        <v>339</v>
      </c>
      <c r="O16" s="7">
        <v>12</v>
      </c>
      <c r="P16" s="7">
        <v>64</v>
      </c>
      <c r="Q16" s="125">
        <v>3350</v>
      </c>
      <c r="R16" s="219"/>
      <c r="S16" s="239">
        <v>8000</v>
      </c>
      <c r="T16" s="239"/>
      <c r="U16" s="219"/>
      <c r="V16" s="27">
        <f t="shared" si="2"/>
        <v>0</v>
      </c>
      <c r="W16" s="27">
        <f t="shared" si="3"/>
        <v>0</v>
      </c>
    </row>
    <row r="17" spans="1:23" ht="24.75" customHeight="1" x14ac:dyDescent="0.25">
      <c r="A17" s="7" t="s">
        <v>16</v>
      </c>
      <c r="B17" s="49" t="s">
        <v>173</v>
      </c>
      <c r="C17" s="36">
        <v>11</v>
      </c>
      <c r="D17" s="36">
        <v>80</v>
      </c>
      <c r="E17" s="125">
        <v>3650</v>
      </c>
      <c r="F17" s="219"/>
      <c r="G17" s="239">
        <v>8000</v>
      </c>
      <c r="H17" s="239">
        <v>144</v>
      </c>
      <c r="I17" s="219"/>
      <c r="J17" s="243">
        <f t="shared" si="0"/>
        <v>0</v>
      </c>
      <c r="K17" s="243">
        <f t="shared" si="1"/>
        <v>0</v>
      </c>
      <c r="M17" s="7" t="s">
        <v>16</v>
      </c>
      <c r="N17" s="4" t="s">
        <v>340</v>
      </c>
      <c r="O17" s="7">
        <v>12</v>
      </c>
      <c r="P17" s="7">
        <v>64</v>
      </c>
      <c r="Q17" s="125">
        <v>3350</v>
      </c>
      <c r="R17" s="219"/>
      <c r="S17" s="239">
        <v>8000</v>
      </c>
      <c r="T17" s="239"/>
      <c r="U17" s="219"/>
      <c r="V17" s="27">
        <f t="shared" si="2"/>
        <v>0</v>
      </c>
      <c r="W17" s="27">
        <f t="shared" si="3"/>
        <v>0</v>
      </c>
    </row>
    <row r="18" spans="1:23" ht="24.75" customHeight="1" x14ac:dyDescent="0.25">
      <c r="A18" s="7" t="s">
        <v>17</v>
      </c>
      <c r="B18" s="49" t="s">
        <v>377</v>
      </c>
      <c r="C18" s="36">
        <v>12</v>
      </c>
      <c r="D18" s="36">
        <v>128</v>
      </c>
      <c r="E18" s="125">
        <v>5150</v>
      </c>
      <c r="F18" s="219"/>
      <c r="G18" s="239">
        <v>8000</v>
      </c>
      <c r="H18" s="239">
        <v>224</v>
      </c>
      <c r="I18" s="219"/>
      <c r="J18" s="243">
        <f t="shared" si="0"/>
        <v>0</v>
      </c>
      <c r="K18" s="243">
        <f t="shared" si="1"/>
        <v>0</v>
      </c>
      <c r="M18" s="7" t="s">
        <v>17</v>
      </c>
      <c r="N18" s="4" t="s">
        <v>341</v>
      </c>
      <c r="O18" s="7">
        <v>12</v>
      </c>
      <c r="P18" s="7">
        <v>64</v>
      </c>
      <c r="Q18" s="125">
        <v>3350</v>
      </c>
      <c r="R18" s="219"/>
      <c r="S18" s="239">
        <v>8000</v>
      </c>
      <c r="T18" s="239"/>
      <c r="U18" s="219"/>
      <c r="V18" s="27">
        <f t="shared" si="2"/>
        <v>0</v>
      </c>
      <c r="W18" s="27">
        <f t="shared" si="3"/>
        <v>0</v>
      </c>
    </row>
    <row r="19" spans="1:23" ht="24.75" customHeight="1" x14ac:dyDescent="0.25">
      <c r="A19" s="7" t="s">
        <v>19</v>
      </c>
      <c r="B19" s="49" t="s">
        <v>174</v>
      </c>
      <c r="C19" s="36">
        <v>10</v>
      </c>
      <c r="D19" s="36">
        <v>80</v>
      </c>
      <c r="E19" s="125">
        <v>3650</v>
      </c>
      <c r="F19" s="219"/>
      <c r="G19" s="239">
        <v>8000</v>
      </c>
      <c r="H19" s="239">
        <v>112</v>
      </c>
      <c r="I19" s="219"/>
      <c r="J19" s="243">
        <f t="shared" si="0"/>
        <v>0</v>
      </c>
      <c r="K19" s="243">
        <f t="shared" si="1"/>
        <v>0</v>
      </c>
      <c r="M19" s="7" t="s">
        <v>19</v>
      </c>
      <c r="N19" s="4" t="s">
        <v>371</v>
      </c>
      <c r="O19" s="7">
        <v>12</v>
      </c>
      <c r="P19" s="7">
        <v>64</v>
      </c>
      <c r="Q19" s="125">
        <v>3350</v>
      </c>
      <c r="R19" s="219"/>
      <c r="S19" s="239">
        <v>8000</v>
      </c>
      <c r="T19" s="239"/>
      <c r="U19" s="219"/>
      <c r="V19" s="27">
        <f t="shared" si="2"/>
        <v>0</v>
      </c>
      <c r="W19" s="27">
        <f t="shared" si="3"/>
        <v>0</v>
      </c>
    </row>
    <row r="20" spans="1:23" ht="24.75" customHeight="1" x14ac:dyDescent="0.25">
      <c r="A20" s="7" t="s">
        <v>20</v>
      </c>
      <c r="B20" s="49" t="s">
        <v>174</v>
      </c>
      <c r="C20" s="36">
        <v>11</v>
      </c>
      <c r="D20" s="36">
        <v>80</v>
      </c>
      <c r="E20" s="125">
        <v>3650</v>
      </c>
      <c r="F20" s="219"/>
      <c r="G20" s="239">
        <v>8000</v>
      </c>
      <c r="H20" s="239">
        <v>128</v>
      </c>
      <c r="I20" s="219"/>
      <c r="J20" s="243">
        <f t="shared" si="0"/>
        <v>0</v>
      </c>
      <c r="K20" s="243">
        <f t="shared" si="1"/>
        <v>0</v>
      </c>
      <c r="M20" s="7" t="s">
        <v>20</v>
      </c>
      <c r="N20" s="4" t="s">
        <v>372</v>
      </c>
      <c r="O20" s="7">
        <v>12</v>
      </c>
      <c r="P20" s="7">
        <v>64</v>
      </c>
      <c r="Q20" s="125">
        <v>3350</v>
      </c>
      <c r="R20" s="219"/>
      <c r="S20" s="239">
        <v>8000</v>
      </c>
      <c r="T20" s="239"/>
      <c r="U20" s="219"/>
      <c r="V20" s="27">
        <f t="shared" si="2"/>
        <v>0</v>
      </c>
      <c r="W20" s="27">
        <f t="shared" si="3"/>
        <v>0</v>
      </c>
    </row>
    <row r="21" spans="1:23" ht="24.75" customHeight="1" x14ac:dyDescent="0.25">
      <c r="A21" s="7" t="s">
        <v>21</v>
      </c>
      <c r="B21" s="49" t="s">
        <v>378</v>
      </c>
      <c r="C21" s="36">
        <v>12</v>
      </c>
      <c r="D21" s="36">
        <v>128</v>
      </c>
      <c r="E21" s="125">
        <v>5150</v>
      </c>
      <c r="F21" s="219"/>
      <c r="G21" s="239">
        <v>8000</v>
      </c>
      <c r="H21" s="239">
        <v>224</v>
      </c>
      <c r="I21" s="219"/>
      <c r="J21" s="243">
        <f t="shared" si="0"/>
        <v>0</v>
      </c>
      <c r="K21" s="243">
        <f t="shared" si="1"/>
        <v>0</v>
      </c>
      <c r="M21" s="7" t="s">
        <v>21</v>
      </c>
      <c r="N21" s="4" t="s">
        <v>342</v>
      </c>
      <c r="O21" s="7">
        <v>12</v>
      </c>
      <c r="P21" s="7">
        <v>64</v>
      </c>
      <c r="Q21" s="125">
        <v>3350</v>
      </c>
      <c r="R21" s="219"/>
      <c r="S21" s="239">
        <v>8000</v>
      </c>
      <c r="T21" s="239"/>
      <c r="U21" s="219"/>
      <c r="V21" s="27">
        <f t="shared" si="2"/>
        <v>0</v>
      </c>
      <c r="W21" s="27">
        <f t="shared" si="3"/>
        <v>0</v>
      </c>
    </row>
    <row r="22" spans="1:23" ht="24.75" customHeight="1" x14ac:dyDescent="0.25">
      <c r="A22" s="7" t="s">
        <v>22</v>
      </c>
      <c r="B22" s="49" t="s">
        <v>175</v>
      </c>
      <c r="C22" s="36">
        <v>10</v>
      </c>
      <c r="D22" s="36">
        <v>80</v>
      </c>
      <c r="E22" s="125">
        <v>3650</v>
      </c>
      <c r="F22" s="219"/>
      <c r="G22" s="239">
        <v>8000</v>
      </c>
      <c r="H22" s="239">
        <v>112</v>
      </c>
      <c r="I22" s="219"/>
      <c r="J22" s="243">
        <f t="shared" si="0"/>
        <v>0</v>
      </c>
      <c r="K22" s="243">
        <f t="shared" si="1"/>
        <v>0</v>
      </c>
      <c r="M22" s="7" t="s">
        <v>22</v>
      </c>
      <c r="N22" s="4" t="s">
        <v>373</v>
      </c>
      <c r="O22" s="7">
        <v>12</v>
      </c>
      <c r="P22" s="7">
        <v>64</v>
      </c>
      <c r="Q22" s="125">
        <v>3350</v>
      </c>
      <c r="R22" s="219"/>
      <c r="S22" s="239">
        <v>8000</v>
      </c>
      <c r="T22" s="239"/>
      <c r="U22" s="219"/>
      <c r="V22" s="27">
        <f t="shared" si="2"/>
        <v>0</v>
      </c>
      <c r="W22" s="27">
        <f t="shared" si="3"/>
        <v>0</v>
      </c>
    </row>
    <row r="23" spans="1:23" ht="24.75" customHeight="1" x14ac:dyDescent="0.25">
      <c r="A23" s="7" t="s">
        <v>23</v>
      </c>
      <c r="B23" s="49" t="s">
        <v>175</v>
      </c>
      <c r="C23" s="36">
        <v>11</v>
      </c>
      <c r="D23" s="36">
        <v>80</v>
      </c>
      <c r="E23" s="125">
        <v>3650</v>
      </c>
      <c r="F23" s="219"/>
      <c r="G23" s="239">
        <v>8000</v>
      </c>
      <c r="H23" s="239">
        <v>128</v>
      </c>
      <c r="I23" s="219"/>
      <c r="J23" s="243">
        <f t="shared" si="0"/>
        <v>0</v>
      </c>
      <c r="K23" s="243">
        <f t="shared" si="1"/>
        <v>0</v>
      </c>
      <c r="R23" s="244">
        <f>SUM(R6:R22)</f>
        <v>0</v>
      </c>
      <c r="U23" s="244">
        <f>SUM(U6:U22)</f>
        <v>0</v>
      </c>
      <c r="V23" s="48">
        <f t="shared" ref="V23:W23" si="4">SUM(V6:V22)</f>
        <v>0</v>
      </c>
      <c r="W23" s="48">
        <f t="shared" si="4"/>
        <v>0</v>
      </c>
    </row>
    <row r="24" spans="1:23" ht="24.75" customHeight="1" x14ac:dyDescent="0.25">
      <c r="A24" s="7" t="s">
        <v>24</v>
      </c>
      <c r="B24" s="49" t="s">
        <v>379</v>
      </c>
      <c r="C24" s="36">
        <v>12</v>
      </c>
      <c r="D24" s="36">
        <v>128</v>
      </c>
      <c r="E24" s="125">
        <v>5150</v>
      </c>
      <c r="F24" s="219"/>
      <c r="G24" s="239">
        <v>8000</v>
      </c>
      <c r="H24" s="239">
        <v>176</v>
      </c>
      <c r="I24" s="219"/>
      <c r="J24" s="243">
        <f t="shared" si="0"/>
        <v>0</v>
      </c>
      <c r="K24" s="243">
        <f t="shared" si="1"/>
        <v>0</v>
      </c>
    </row>
    <row r="25" spans="1:23" ht="24.75" customHeight="1" x14ac:dyDescent="0.25">
      <c r="A25" s="7" t="s">
        <v>25</v>
      </c>
      <c r="B25" s="49" t="s">
        <v>199</v>
      </c>
      <c r="C25" s="36">
        <v>10</v>
      </c>
      <c r="D25" s="36">
        <v>80</v>
      </c>
      <c r="E25" s="125">
        <v>3650</v>
      </c>
      <c r="F25" s="219"/>
      <c r="G25" s="239">
        <v>8000</v>
      </c>
      <c r="H25" s="239">
        <v>112</v>
      </c>
      <c r="I25" s="219"/>
      <c r="J25" s="243">
        <f t="shared" si="0"/>
        <v>0</v>
      </c>
      <c r="K25" s="243">
        <f t="shared" si="1"/>
        <v>0</v>
      </c>
      <c r="R25" s="27"/>
    </row>
    <row r="26" spans="1:23" ht="24.75" customHeight="1" x14ac:dyDescent="0.25">
      <c r="A26" s="7" t="s">
        <v>26</v>
      </c>
      <c r="B26" s="49" t="s">
        <v>199</v>
      </c>
      <c r="C26" s="36">
        <v>11</v>
      </c>
      <c r="D26" s="36">
        <v>80</v>
      </c>
      <c r="E26" s="125">
        <v>3650</v>
      </c>
      <c r="F26" s="219"/>
      <c r="G26" s="239">
        <v>8000</v>
      </c>
      <c r="H26" s="239">
        <v>128</v>
      </c>
      <c r="I26" s="219"/>
      <c r="J26" s="243">
        <f t="shared" si="0"/>
        <v>0</v>
      </c>
      <c r="K26" s="243">
        <f t="shared" si="1"/>
        <v>0</v>
      </c>
    </row>
    <row r="27" spans="1:23" ht="24.75" customHeight="1" x14ac:dyDescent="0.25">
      <c r="A27" s="7" t="s">
        <v>27</v>
      </c>
      <c r="B27" s="49" t="s">
        <v>380</v>
      </c>
      <c r="C27" s="36">
        <v>12</v>
      </c>
      <c r="D27" s="36">
        <v>128</v>
      </c>
      <c r="E27" s="125">
        <v>5150</v>
      </c>
      <c r="F27" s="219"/>
      <c r="G27" s="239">
        <v>8000</v>
      </c>
      <c r="H27" s="239">
        <v>176</v>
      </c>
      <c r="I27" s="219"/>
      <c r="J27" s="243">
        <f t="shared" si="0"/>
        <v>0</v>
      </c>
      <c r="K27" s="243">
        <f t="shared" si="1"/>
        <v>0</v>
      </c>
    </row>
    <row r="28" spans="1:23" ht="24.75" customHeight="1" x14ac:dyDescent="0.25">
      <c r="A28" s="7" t="s">
        <v>28</v>
      </c>
      <c r="B28" s="49" t="s">
        <v>231</v>
      </c>
      <c r="C28" s="36">
        <v>10</v>
      </c>
      <c r="D28" s="36">
        <v>80</v>
      </c>
      <c r="E28" s="125">
        <v>3650</v>
      </c>
      <c r="F28" s="219"/>
      <c r="G28" s="239">
        <v>8000</v>
      </c>
      <c r="H28" s="239">
        <v>112</v>
      </c>
      <c r="I28" s="219"/>
      <c r="J28" s="243">
        <f t="shared" si="0"/>
        <v>0</v>
      </c>
      <c r="K28" s="243">
        <f t="shared" si="1"/>
        <v>0</v>
      </c>
    </row>
    <row r="29" spans="1:23" ht="24.75" customHeight="1" x14ac:dyDescent="0.25">
      <c r="A29" s="7" t="s">
        <v>29</v>
      </c>
      <c r="B29" s="49" t="s">
        <v>231</v>
      </c>
      <c r="C29" s="36">
        <v>11</v>
      </c>
      <c r="D29" s="36">
        <v>80</v>
      </c>
      <c r="E29" s="125">
        <v>3650</v>
      </c>
      <c r="F29" s="219"/>
      <c r="G29" s="239">
        <v>8000</v>
      </c>
      <c r="H29" s="239">
        <v>112</v>
      </c>
      <c r="I29" s="219"/>
      <c r="J29" s="243">
        <f t="shared" si="0"/>
        <v>0</v>
      </c>
      <c r="K29" s="243">
        <f t="shared" si="1"/>
        <v>0</v>
      </c>
    </row>
    <row r="30" spans="1:23" ht="24.75" customHeight="1" x14ac:dyDescent="0.25">
      <c r="A30" s="7" t="s">
        <v>30</v>
      </c>
      <c r="B30" s="49" t="s">
        <v>381</v>
      </c>
      <c r="C30" s="36">
        <v>12</v>
      </c>
      <c r="D30" s="36">
        <v>128</v>
      </c>
      <c r="E30" s="125">
        <v>5150</v>
      </c>
      <c r="F30" s="219"/>
      <c r="G30" s="239">
        <v>8000</v>
      </c>
      <c r="H30" s="239">
        <v>192</v>
      </c>
      <c r="I30" s="219"/>
      <c r="J30" s="243">
        <f t="shared" si="0"/>
        <v>0</v>
      </c>
      <c r="K30" s="243">
        <f t="shared" si="1"/>
        <v>0</v>
      </c>
    </row>
    <row r="31" spans="1:23" ht="24.75" customHeight="1" x14ac:dyDescent="0.25">
      <c r="A31" s="7" t="s">
        <v>31</v>
      </c>
      <c r="B31" s="49" t="s">
        <v>329</v>
      </c>
      <c r="C31" s="36">
        <v>11</v>
      </c>
      <c r="D31" s="36">
        <v>64</v>
      </c>
      <c r="E31" s="125">
        <v>3350</v>
      </c>
      <c r="F31" s="219"/>
      <c r="G31" s="239">
        <v>8000</v>
      </c>
      <c r="H31" s="239">
        <v>112</v>
      </c>
      <c r="I31" s="219"/>
      <c r="J31" s="243">
        <f t="shared" si="0"/>
        <v>0</v>
      </c>
      <c r="K31" s="243">
        <f t="shared" si="1"/>
        <v>0</v>
      </c>
    </row>
    <row r="32" spans="1:23" ht="24.75" customHeight="1" x14ac:dyDescent="0.25">
      <c r="A32" s="7" t="s">
        <v>32</v>
      </c>
      <c r="B32" s="49" t="s">
        <v>382</v>
      </c>
      <c r="C32" s="36">
        <v>12</v>
      </c>
      <c r="D32" s="36">
        <v>128</v>
      </c>
      <c r="E32" s="125">
        <v>5150</v>
      </c>
      <c r="F32" s="219"/>
      <c r="G32" s="239">
        <v>8000</v>
      </c>
      <c r="H32" s="239">
        <v>176</v>
      </c>
      <c r="I32" s="219"/>
      <c r="J32" s="243">
        <f t="shared" si="0"/>
        <v>0</v>
      </c>
      <c r="K32" s="243">
        <f t="shared" si="1"/>
        <v>0</v>
      </c>
    </row>
    <row r="33" spans="1:11" ht="24.75" customHeight="1" x14ac:dyDescent="0.25">
      <c r="A33" s="7" t="s">
        <v>33</v>
      </c>
      <c r="B33" s="49" t="s">
        <v>176</v>
      </c>
      <c r="C33" s="36">
        <v>10</v>
      </c>
      <c r="D33" s="36">
        <v>80</v>
      </c>
      <c r="E33" s="125">
        <v>3650</v>
      </c>
      <c r="F33" s="219"/>
      <c r="G33" s="239">
        <v>8000</v>
      </c>
      <c r="H33" s="239">
        <v>112</v>
      </c>
      <c r="I33" s="219"/>
      <c r="J33" s="243">
        <f t="shared" si="0"/>
        <v>0</v>
      </c>
      <c r="K33" s="243">
        <f t="shared" si="1"/>
        <v>0</v>
      </c>
    </row>
    <row r="34" spans="1:11" ht="24.75" customHeight="1" x14ac:dyDescent="0.25">
      <c r="A34" s="7" t="s">
        <v>34</v>
      </c>
      <c r="B34" s="49" t="s">
        <v>176</v>
      </c>
      <c r="C34" s="36">
        <v>11</v>
      </c>
      <c r="D34" s="36">
        <v>80</v>
      </c>
      <c r="E34" s="125">
        <v>3650</v>
      </c>
      <c r="F34" s="219"/>
      <c r="G34" s="239">
        <v>8000</v>
      </c>
      <c r="H34" s="239">
        <v>128</v>
      </c>
      <c r="I34" s="219"/>
      <c r="J34" s="243">
        <f t="shared" si="0"/>
        <v>0</v>
      </c>
      <c r="K34" s="243">
        <f t="shared" si="1"/>
        <v>0</v>
      </c>
    </row>
    <row r="35" spans="1:11" ht="24.75" customHeight="1" x14ac:dyDescent="0.25">
      <c r="A35" s="7" t="s">
        <v>35</v>
      </c>
      <c r="B35" s="49" t="s">
        <v>383</v>
      </c>
      <c r="C35" s="36">
        <v>12</v>
      </c>
      <c r="D35" s="36">
        <v>128</v>
      </c>
      <c r="E35" s="125">
        <v>5150</v>
      </c>
      <c r="F35" s="219"/>
      <c r="G35" s="239">
        <v>8000</v>
      </c>
      <c r="H35" s="239">
        <v>176</v>
      </c>
      <c r="I35" s="219"/>
      <c r="J35" s="243">
        <f t="shared" si="0"/>
        <v>0</v>
      </c>
      <c r="K35" s="243">
        <f t="shared" si="1"/>
        <v>0</v>
      </c>
    </row>
    <row r="36" spans="1:11" ht="24.75" customHeight="1" x14ac:dyDescent="0.25">
      <c r="A36" s="7" t="s">
        <v>36</v>
      </c>
      <c r="B36" s="49" t="s">
        <v>177</v>
      </c>
      <c r="C36" s="36">
        <v>10</v>
      </c>
      <c r="D36" s="36">
        <v>80</v>
      </c>
      <c r="E36" s="125">
        <v>3650</v>
      </c>
      <c r="F36" s="219"/>
      <c r="G36" s="239">
        <v>8000</v>
      </c>
      <c r="H36" s="239">
        <v>128</v>
      </c>
      <c r="I36" s="219"/>
      <c r="J36" s="243">
        <f t="shared" si="0"/>
        <v>0</v>
      </c>
      <c r="K36" s="243">
        <f t="shared" si="1"/>
        <v>0</v>
      </c>
    </row>
    <row r="37" spans="1:11" ht="24.75" customHeight="1" x14ac:dyDescent="0.25">
      <c r="A37" s="7" t="s">
        <v>37</v>
      </c>
      <c r="B37" s="49" t="s">
        <v>177</v>
      </c>
      <c r="C37" s="36">
        <v>11</v>
      </c>
      <c r="D37" s="36">
        <v>80</v>
      </c>
      <c r="E37" s="125">
        <v>3650</v>
      </c>
      <c r="F37" s="219"/>
      <c r="G37" s="239">
        <v>8000</v>
      </c>
      <c r="H37" s="239">
        <v>112</v>
      </c>
      <c r="I37" s="219"/>
      <c r="J37" s="243">
        <f t="shared" si="0"/>
        <v>0</v>
      </c>
      <c r="K37" s="243">
        <f t="shared" si="1"/>
        <v>0</v>
      </c>
    </row>
    <row r="38" spans="1:11" ht="24.75" customHeight="1" x14ac:dyDescent="0.25">
      <c r="A38" s="7" t="s">
        <v>38</v>
      </c>
      <c r="B38" s="49" t="s">
        <v>384</v>
      </c>
      <c r="C38" s="36">
        <v>12</v>
      </c>
      <c r="D38" s="36">
        <v>128</v>
      </c>
      <c r="E38" s="125">
        <v>5150</v>
      </c>
      <c r="F38" s="219"/>
      <c r="G38" s="239">
        <v>8000</v>
      </c>
      <c r="H38" s="239">
        <v>192</v>
      </c>
      <c r="I38" s="219"/>
      <c r="J38" s="243">
        <f t="shared" si="0"/>
        <v>0</v>
      </c>
      <c r="K38" s="243">
        <f t="shared" si="1"/>
        <v>0</v>
      </c>
    </row>
    <row r="39" spans="1:11" ht="24.75" customHeight="1" x14ac:dyDescent="0.25">
      <c r="A39" s="7" t="s">
        <v>39</v>
      </c>
      <c r="B39" s="49" t="s">
        <v>178</v>
      </c>
      <c r="C39" s="36">
        <v>10</v>
      </c>
      <c r="D39" s="36">
        <v>80</v>
      </c>
      <c r="E39" s="125">
        <v>3650</v>
      </c>
      <c r="F39" s="219"/>
      <c r="G39" s="239">
        <v>8000</v>
      </c>
      <c r="H39" s="239">
        <v>112</v>
      </c>
      <c r="I39" s="219"/>
      <c r="J39" s="243">
        <f t="shared" si="0"/>
        <v>0</v>
      </c>
      <c r="K39" s="243">
        <f t="shared" si="1"/>
        <v>0</v>
      </c>
    </row>
    <row r="40" spans="1:11" ht="24.75" customHeight="1" x14ac:dyDescent="0.25">
      <c r="A40" s="7" t="s">
        <v>40</v>
      </c>
      <c r="B40" s="49" t="s">
        <v>178</v>
      </c>
      <c r="C40" s="36">
        <v>11</v>
      </c>
      <c r="D40" s="36">
        <v>80</v>
      </c>
      <c r="E40" s="125">
        <v>3650</v>
      </c>
      <c r="F40" s="219"/>
      <c r="G40" s="239">
        <v>8000</v>
      </c>
      <c r="H40" s="239">
        <v>112</v>
      </c>
      <c r="I40" s="219"/>
      <c r="J40" s="243">
        <f t="shared" si="0"/>
        <v>0</v>
      </c>
      <c r="K40" s="243">
        <f t="shared" si="1"/>
        <v>0</v>
      </c>
    </row>
    <row r="41" spans="1:11" ht="24.75" customHeight="1" x14ac:dyDescent="0.25">
      <c r="A41" s="7" t="s">
        <v>41</v>
      </c>
      <c r="B41" s="49" t="s">
        <v>385</v>
      </c>
      <c r="C41" s="36">
        <v>12</v>
      </c>
      <c r="D41" s="36">
        <v>128</v>
      </c>
      <c r="E41" s="125">
        <v>5150</v>
      </c>
      <c r="F41" s="219"/>
      <c r="G41" s="239">
        <v>8000</v>
      </c>
      <c r="H41" s="239">
        <v>176</v>
      </c>
      <c r="I41" s="219"/>
      <c r="J41" s="243">
        <f t="shared" si="0"/>
        <v>0</v>
      </c>
      <c r="K41" s="243">
        <f t="shared" si="1"/>
        <v>0</v>
      </c>
    </row>
    <row r="42" spans="1:11" ht="24.75" customHeight="1" x14ac:dyDescent="0.25">
      <c r="A42" s="7" t="s">
        <v>42</v>
      </c>
      <c r="B42" s="49" t="s">
        <v>179</v>
      </c>
      <c r="C42" s="36">
        <v>11</v>
      </c>
      <c r="D42" s="36">
        <v>64</v>
      </c>
      <c r="E42" s="125">
        <v>3350</v>
      </c>
      <c r="F42" s="219"/>
      <c r="G42" s="239">
        <v>8000</v>
      </c>
      <c r="H42" s="239"/>
      <c r="I42" s="219"/>
      <c r="J42" s="243">
        <f t="shared" si="0"/>
        <v>0</v>
      </c>
      <c r="K42" s="243">
        <f t="shared" si="1"/>
        <v>0</v>
      </c>
    </row>
    <row r="43" spans="1:11" ht="24.75" customHeight="1" x14ac:dyDescent="0.25">
      <c r="A43" s="7" t="s">
        <v>44</v>
      </c>
      <c r="B43" s="49" t="s">
        <v>386</v>
      </c>
      <c r="C43" s="36">
        <v>12</v>
      </c>
      <c r="D43" s="36">
        <v>128</v>
      </c>
      <c r="E43" s="125">
        <v>5150</v>
      </c>
      <c r="F43" s="219"/>
      <c r="G43" s="239">
        <v>8000</v>
      </c>
      <c r="H43" s="239"/>
      <c r="I43" s="219"/>
      <c r="J43" s="243">
        <f t="shared" si="0"/>
        <v>0</v>
      </c>
      <c r="K43" s="243">
        <f t="shared" si="1"/>
        <v>0</v>
      </c>
    </row>
    <row r="44" spans="1:11" ht="24.75" customHeight="1" x14ac:dyDescent="0.25">
      <c r="A44" s="7" t="s">
        <v>45</v>
      </c>
      <c r="B44" s="49" t="s">
        <v>161</v>
      </c>
      <c r="C44" s="36">
        <v>10</v>
      </c>
      <c r="D44" s="36">
        <v>80</v>
      </c>
      <c r="E44" s="125">
        <v>3650</v>
      </c>
      <c r="F44" s="219"/>
      <c r="G44" s="239">
        <v>8000</v>
      </c>
      <c r="H44" s="239">
        <v>112</v>
      </c>
      <c r="I44" s="219"/>
      <c r="J44" s="243">
        <f t="shared" si="0"/>
        <v>0</v>
      </c>
      <c r="K44" s="243">
        <f t="shared" si="1"/>
        <v>0</v>
      </c>
    </row>
    <row r="45" spans="1:11" ht="24.75" customHeight="1" x14ac:dyDescent="0.25">
      <c r="A45" s="7" t="s">
        <v>46</v>
      </c>
      <c r="B45" s="49" t="s">
        <v>161</v>
      </c>
      <c r="C45" s="36">
        <v>11</v>
      </c>
      <c r="D45" s="36">
        <v>80</v>
      </c>
      <c r="E45" s="125">
        <v>3650</v>
      </c>
      <c r="F45" s="219"/>
      <c r="G45" s="239">
        <v>8000</v>
      </c>
      <c r="H45" s="239">
        <v>112</v>
      </c>
      <c r="I45" s="219"/>
      <c r="J45" s="243">
        <f t="shared" si="0"/>
        <v>0</v>
      </c>
      <c r="K45" s="243">
        <f t="shared" si="1"/>
        <v>0</v>
      </c>
    </row>
    <row r="46" spans="1:11" ht="24.75" customHeight="1" x14ac:dyDescent="0.25">
      <c r="A46" s="7" t="s">
        <v>47</v>
      </c>
      <c r="B46" s="49" t="s">
        <v>387</v>
      </c>
      <c r="C46" s="36">
        <v>12</v>
      </c>
      <c r="D46" s="36">
        <v>128</v>
      </c>
      <c r="E46" s="125">
        <v>5150</v>
      </c>
      <c r="F46" s="219"/>
      <c r="G46" s="239">
        <v>8000</v>
      </c>
      <c r="H46" s="239">
        <v>176</v>
      </c>
      <c r="I46" s="219"/>
      <c r="J46" s="243">
        <f t="shared" si="0"/>
        <v>0</v>
      </c>
      <c r="K46" s="243">
        <f t="shared" si="1"/>
        <v>0</v>
      </c>
    </row>
    <row r="47" spans="1:11" ht="24.75" customHeight="1" x14ac:dyDescent="0.25">
      <c r="A47" s="7" t="s">
        <v>48</v>
      </c>
      <c r="B47" s="49" t="s">
        <v>180</v>
      </c>
      <c r="C47" s="36">
        <v>11</v>
      </c>
      <c r="D47" s="36">
        <v>64</v>
      </c>
      <c r="E47" s="125">
        <v>3350</v>
      </c>
      <c r="F47" s="219"/>
      <c r="G47" s="239">
        <v>8000</v>
      </c>
      <c r="H47" s="239">
        <v>128</v>
      </c>
      <c r="I47" s="219"/>
      <c r="J47" s="243">
        <f t="shared" si="0"/>
        <v>0</v>
      </c>
      <c r="K47" s="243">
        <f t="shared" si="1"/>
        <v>0</v>
      </c>
    </row>
    <row r="48" spans="1:11" ht="24.75" customHeight="1" x14ac:dyDescent="0.25">
      <c r="A48" s="7" t="s">
        <v>49</v>
      </c>
      <c r="B48" s="49" t="s">
        <v>388</v>
      </c>
      <c r="C48" s="36">
        <v>12</v>
      </c>
      <c r="D48" s="36">
        <v>128</v>
      </c>
      <c r="E48" s="125">
        <v>5150</v>
      </c>
      <c r="F48" s="219"/>
      <c r="G48" s="239">
        <v>8000</v>
      </c>
      <c r="H48" s="239">
        <v>176</v>
      </c>
      <c r="I48" s="219"/>
      <c r="J48" s="243">
        <f t="shared" si="0"/>
        <v>0</v>
      </c>
      <c r="K48" s="243">
        <f t="shared" si="1"/>
        <v>0</v>
      </c>
    </row>
    <row r="49" spans="1:11" ht="24.75" customHeight="1" x14ac:dyDescent="0.25">
      <c r="A49" s="7" t="s">
        <v>50</v>
      </c>
      <c r="B49" s="49" t="s">
        <v>162</v>
      </c>
      <c r="C49" s="36">
        <v>10</v>
      </c>
      <c r="D49" s="36">
        <v>80</v>
      </c>
      <c r="E49" s="125">
        <v>3650</v>
      </c>
      <c r="F49" s="219"/>
      <c r="G49" s="239">
        <v>8000</v>
      </c>
      <c r="H49" s="239">
        <v>144</v>
      </c>
      <c r="I49" s="219"/>
      <c r="J49" s="243">
        <f t="shared" si="0"/>
        <v>0</v>
      </c>
      <c r="K49" s="243">
        <f t="shared" si="1"/>
        <v>0</v>
      </c>
    </row>
    <row r="50" spans="1:11" ht="24.75" customHeight="1" x14ac:dyDescent="0.25">
      <c r="A50" s="7" t="s">
        <v>51</v>
      </c>
      <c r="B50" s="49" t="s">
        <v>162</v>
      </c>
      <c r="C50" s="36">
        <v>11</v>
      </c>
      <c r="D50" s="36">
        <v>80</v>
      </c>
      <c r="E50" s="125">
        <v>3650</v>
      </c>
      <c r="F50" s="219"/>
      <c r="G50" s="239">
        <v>8000</v>
      </c>
      <c r="H50" s="239">
        <v>128</v>
      </c>
      <c r="I50" s="219"/>
      <c r="J50" s="243">
        <f t="shared" si="0"/>
        <v>0</v>
      </c>
      <c r="K50" s="243">
        <f t="shared" si="1"/>
        <v>0</v>
      </c>
    </row>
    <row r="51" spans="1:11" ht="24.75" customHeight="1" x14ac:dyDescent="0.25">
      <c r="A51" s="7" t="s">
        <v>52</v>
      </c>
      <c r="B51" s="49" t="s">
        <v>389</v>
      </c>
      <c r="C51" s="36">
        <v>12</v>
      </c>
      <c r="D51" s="36">
        <v>128</v>
      </c>
      <c r="E51" s="125">
        <v>5150</v>
      </c>
      <c r="F51" s="219"/>
      <c r="G51" s="239">
        <v>8000</v>
      </c>
      <c r="H51" s="239">
        <v>208</v>
      </c>
      <c r="I51" s="219"/>
      <c r="J51" s="243">
        <f t="shared" si="0"/>
        <v>0</v>
      </c>
      <c r="K51" s="243">
        <f t="shared" si="1"/>
        <v>0</v>
      </c>
    </row>
    <row r="52" spans="1:11" ht="24.75" customHeight="1" x14ac:dyDescent="0.25">
      <c r="A52" s="7" t="s">
        <v>53</v>
      </c>
      <c r="B52" s="49" t="s">
        <v>163</v>
      </c>
      <c r="C52" s="36">
        <v>10</v>
      </c>
      <c r="D52" s="36">
        <v>80</v>
      </c>
      <c r="E52" s="125">
        <v>3650</v>
      </c>
      <c r="F52" s="219"/>
      <c r="G52" s="239">
        <v>8000</v>
      </c>
      <c r="H52" s="239">
        <v>128</v>
      </c>
      <c r="I52" s="219"/>
      <c r="J52" s="243">
        <f t="shared" si="0"/>
        <v>0</v>
      </c>
      <c r="K52" s="243">
        <f t="shared" si="1"/>
        <v>0</v>
      </c>
    </row>
    <row r="53" spans="1:11" ht="24.75" customHeight="1" x14ac:dyDescent="0.25">
      <c r="A53" s="7" t="s">
        <v>54</v>
      </c>
      <c r="B53" s="49" t="s">
        <v>163</v>
      </c>
      <c r="C53" s="36">
        <v>11</v>
      </c>
      <c r="D53" s="36">
        <v>80</v>
      </c>
      <c r="E53" s="125">
        <v>3650</v>
      </c>
      <c r="F53" s="219"/>
      <c r="G53" s="239">
        <v>8000</v>
      </c>
      <c r="H53" s="239">
        <v>128</v>
      </c>
      <c r="I53" s="219"/>
      <c r="J53" s="243">
        <f t="shared" si="0"/>
        <v>0</v>
      </c>
      <c r="K53" s="243">
        <f t="shared" si="1"/>
        <v>0</v>
      </c>
    </row>
    <row r="54" spans="1:11" ht="24.75" customHeight="1" x14ac:dyDescent="0.25">
      <c r="A54" s="7" t="s">
        <v>55</v>
      </c>
      <c r="B54" s="49" t="s">
        <v>390</v>
      </c>
      <c r="C54" s="36">
        <v>12</v>
      </c>
      <c r="D54" s="36">
        <v>128</v>
      </c>
      <c r="E54" s="125">
        <v>5150</v>
      </c>
      <c r="F54" s="219"/>
      <c r="G54" s="239">
        <v>8000</v>
      </c>
      <c r="H54" s="239">
        <v>208</v>
      </c>
      <c r="I54" s="219"/>
      <c r="J54" s="243">
        <f t="shared" si="0"/>
        <v>0</v>
      </c>
      <c r="K54" s="243">
        <f t="shared" si="1"/>
        <v>0</v>
      </c>
    </row>
    <row r="55" spans="1:11" ht="24.75" customHeight="1" x14ac:dyDescent="0.25">
      <c r="A55" s="7" t="s">
        <v>56</v>
      </c>
      <c r="B55" s="49" t="s">
        <v>164</v>
      </c>
      <c r="C55" s="36">
        <v>10</v>
      </c>
      <c r="D55" s="36">
        <v>64</v>
      </c>
      <c r="E55" s="125">
        <v>3350</v>
      </c>
      <c r="F55" s="219"/>
      <c r="G55" s="239">
        <v>8000</v>
      </c>
      <c r="H55" s="239">
        <v>112</v>
      </c>
      <c r="I55" s="219"/>
      <c r="J55" s="243">
        <f t="shared" si="0"/>
        <v>0</v>
      </c>
      <c r="K55" s="243">
        <f t="shared" si="1"/>
        <v>0</v>
      </c>
    </row>
    <row r="56" spans="1:11" ht="24.75" customHeight="1" x14ac:dyDescent="0.25">
      <c r="A56" s="7" t="s">
        <v>57</v>
      </c>
      <c r="B56" s="49" t="s">
        <v>232</v>
      </c>
      <c r="C56" s="36">
        <v>11</v>
      </c>
      <c r="D56" s="36">
        <v>64</v>
      </c>
      <c r="E56" s="125">
        <v>3350</v>
      </c>
      <c r="F56" s="219"/>
      <c r="G56" s="239">
        <v>8000</v>
      </c>
      <c r="H56" s="239">
        <v>112</v>
      </c>
      <c r="I56" s="219"/>
      <c r="J56" s="243">
        <f t="shared" si="0"/>
        <v>0</v>
      </c>
      <c r="K56" s="243">
        <f t="shared" si="1"/>
        <v>0</v>
      </c>
    </row>
    <row r="57" spans="1:11" ht="24.75" customHeight="1" x14ac:dyDescent="0.25">
      <c r="A57" s="7" t="s">
        <v>58</v>
      </c>
      <c r="B57" s="49" t="s">
        <v>391</v>
      </c>
      <c r="C57" s="36">
        <v>12</v>
      </c>
      <c r="D57" s="36">
        <v>128</v>
      </c>
      <c r="E57" s="125">
        <v>5150</v>
      </c>
      <c r="F57" s="219"/>
      <c r="G57" s="239">
        <v>8000</v>
      </c>
      <c r="H57" s="239">
        <v>176</v>
      </c>
      <c r="I57" s="219"/>
      <c r="J57" s="243">
        <f t="shared" si="0"/>
        <v>0</v>
      </c>
      <c r="K57" s="243">
        <f t="shared" si="1"/>
        <v>0</v>
      </c>
    </row>
    <row r="58" spans="1:11" ht="24.75" customHeight="1" x14ac:dyDescent="0.25">
      <c r="A58" s="7" t="s">
        <v>59</v>
      </c>
      <c r="B58" s="49" t="s">
        <v>165</v>
      </c>
      <c r="C58" s="36">
        <v>10</v>
      </c>
      <c r="D58" s="36">
        <v>80</v>
      </c>
      <c r="E58" s="125">
        <v>3650</v>
      </c>
      <c r="F58" s="219"/>
      <c r="G58" s="239">
        <v>8000</v>
      </c>
      <c r="H58" s="239">
        <v>112</v>
      </c>
      <c r="I58" s="219"/>
      <c r="J58" s="243">
        <f t="shared" si="0"/>
        <v>0</v>
      </c>
      <c r="K58" s="243">
        <f t="shared" si="1"/>
        <v>0</v>
      </c>
    </row>
    <row r="59" spans="1:11" ht="24.75" customHeight="1" x14ac:dyDescent="0.25">
      <c r="A59" s="7" t="s">
        <v>60</v>
      </c>
      <c r="B59" s="49" t="s">
        <v>233</v>
      </c>
      <c r="C59" s="36">
        <v>11</v>
      </c>
      <c r="D59" s="36">
        <v>80</v>
      </c>
      <c r="E59" s="125">
        <v>3650</v>
      </c>
      <c r="F59" s="219"/>
      <c r="G59" s="239">
        <v>8000</v>
      </c>
      <c r="H59" s="239">
        <v>112</v>
      </c>
      <c r="I59" s="219"/>
      <c r="J59" s="243">
        <f t="shared" si="0"/>
        <v>0</v>
      </c>
      <c r="K59" s="243">
        <f t="shared" si="1"/>
        <v>0</v>
      </c>
    </row>
    <row r="60" spans="1:11" ht="24.75" customHeight="1" x14ac:dyDescent="0.25">
      <c r="A60" s="7" t="s">
        <v>61</v>
      </c>
      <c r="B60" s="49" t="s">
        <v>392</v>
      </c>
      <c r="C60" s="36">
        <v>12</v>
      </c>
      <c r="D60" s="36">
        <v>128</v>
      </c>
      <c r="E60" s="125">
        <v>5150</v>
      </c>
      <c r="F60" s="219"/>
      <c r="G60" s="239">
        <v>8000</v>
      </c>
      <c r="H60" s="239">
        <v>192</v>
      </c>
      <c r="I60" s="219"/>
      <c r="J60" s="243">
        <f t="shared" si="0"/>
        <v>0</v>
      </c>
      <c r="K60" s="243">
        <f t="shared" si="1"/>
        <v>0</v>
      </c>
    </row>
    <row r="61" spans="1:11" ht="24.75" customHeight="1" x14ac:dyDescent="0.25">
      <c r="A61" s="7" t="s">
        <v>62</v>
      </c>
      <c r="B61" s="49" t="s">
        <v>166</v>
      </c>
      <c r="C61" s="36">
        <v>10</v>
      </c>
      <c r="D61" s="36">
        <v>64</v>
      </c>
      <c r="E61" s="125">
        <v>3350</v>
      </c>
      <c r="F61" s="219"/>
      <c r="G61" s="239">
        <v>8000</v>
      </c>
      <c r="H61" s="239">
        <v>128</v>
      </c>
      <c r="I61" s="219"/>
      <c r="J61" s="243">
        <f t="shared" si="0"/>
        <v>0</v>
      </c>
      <c r="K61" s="243">
        <f t="shared" si="1"/>
        <v>0</v>
      </c>
    </row>
    <row r="62" spans="1:11" ht="24.75" customHeight="1" x14ac:dyDescent="0.25">
      <c r="A62" s="7" t="s">
        <v>63</v>
      </c>
      <c r="B62" s="49" t="s">
        <v>234</v>
      </c>
      <c r="C62" s="36">
        <v>11</v>
      </c>
      <c r="D62" s="36">
        <v>64</v>
      </c>
      <c r="E62" s="125">
        <v>3350</v>
      </c>
      <c r="F62" s="219"/>
      <c r="G62" s="239">
        <v>8000</v>
      </c>
      <c r="H62" s="239">
        <v>112</v>
      </c>
      <c r="I62" s="219"/>
      <c r="J62" s="243">
        <f t="shared" si="0"/>
        <v>0</v>
      </c>
      <c r="K62" s="243">
        <f t="shared" si="1"/>
        <v>0</v>
      </c>
    </row>
    <row r="63" spans="1:11" ht="24.75" customHeight="1" x14ac:dyDescent="0.25">
      <c r="A63" s="7" t="s">
        <v>64</v>
      </c>
      <c r="B63" s="49" t="s">
        <v>393</v>
      </c>
      <c r="C63" s="36">
        <v>12</v>
      </c>
      <c r="D63" s="36">
        <v>128</v>
      </c>
      <c r="E63" s="125">
        <v>5150</v>
      </c>
      <c r="F63" s="219"/>
      <c r="G63" s="239">
        <v>8000</v>
      </c>
      <c r="H63" s="239">
        <v>176</v>
      </c>
      <c r="I63" s="219"/>
      <c r="J63" s="243">
        <f t="shared" si="0"/>
        <v>0</v>
      </c>
      <c r="K63" s="243">
        <f t="shared" si="1"/>
        <v>0</v>
      </c>
    </row>
    <row r="64" spans="1:11" ht="24.75" customHeight="1" x14ac:dyDescent="0.25">
      <c r="A64" s="7" t="s">
        <v>65</v>
      </c>
      <c r="B64" s="49" t="s">
        <v>167</v>
      </c>
      <c r="C64" s="36">
        <v>10</v>
      </c>
      <c r="D64" s="36">
        <v>64</v>
      </c>
      <c r="E64" s="125">
        <v>3350</v>
      </c>
      <c r="F64" s="219"/>
      <c r="G64" s="239">
        <v>8000</v>
      </c>
      <c r="H64" s="239"/>
      <c r="I64" s="219"/>
      <c r="J64" s="243">
        <f t="shared" si="0"/>
        <v>0</v>
      </c>
      <c r="K64" s="243">
        <f t="shared" si="1"/>
        <v>0</v>
      </c>
    </row>
    <row r="65" spans="1:11" ht="24.75" customHeight="1" x14ac:dyDescent="0.25">
      <c r="A65" s="7" t="s">
        <v>66</v>
      </c>
      <c r="B65" s="49" t="s">
        <v>235</v>
      </c>
      <c r="C65" s="36">
        <v>11</v>
      </c>
      <c r="D65" s="36">
        <v>64</v>
      </c>
      <c r="E65" s="125">
        <v>3350</v>
      </c>
      <c r="F65" s="219"/>
      <c r="G65" s="239">
        <v>8000</v>
      </c>
      <c r="H65" s="239"/>
      <c r="I65" s="219"/>
      <c r="J65" s="243">
        <f t="shared" si="0"/>
        <v>0</v>
      </c>
      <c r="K65" s="243">
        <f t="shared" si="1"/>
        <v>0</v>
      </c>
    </row>
    <row r="66" spans="1:11" ht="24.75" customHeight="1" x14ac:dyDescent="0.25">
      <c r="A66" s="7" t="s">
        <v>73</v>
      </c>
      <c r="B66" s="49" t="s">
        <v>394</v>
      </c>
      <c r="C66" s="36">
        <v>12</v>
      </c>
      <c r="D66" s="36">
        <v>128</v>
      </c>
      <c r="E66" s="125">
        <v>5150</v>
      </c>
      <c r="F66" s="219"/>
      <c r="G66" s="239">
        <v>8000</v>
      </c>
      <c r="H66" s="239"/>
      <c r="I66" s="219"/>
      <c r="J66" s="243">
        <f t="shared" si="0"/>
        <v>0</v>
      </c>
      <c r="K66" s="243">
        <f t="shared" si="1"/>
        <v>0</v>
      </c>
    </row>
    <row r="67" spans="1:11" ht="24.75" customHeight="1" x14ac:dyDescent="0.25">
      <c r="A67" s="7" t="s">
        <v>74</v>
      </c>
      <c r="B67" s="49" t="s">
        <v>224</v>
      </c>
      <c r="C67" s="36">
        <v>10</v>
      </c>
      <c r="D67" s="36">
        <v>64</v>
      </c>
      <c r="E67" s="125">
        <v>3350</v>
      </c>
      <c r="F67" s="219"/>
      <c r="G67" s="239">
        <v>8000</v>
      </c>
      <c r="H67" s="239"/>
      <c r="I67" s="219"/>
      <c r="J67" s="243">
        <f t="shared" si="0"/>
        <v>0</v>
      </c>
      <c r="K67" s="243">
        <f t="shared" si="1"/>
        <v>0</v>
      </c>
    </row>
    <row r="68" spans="1:11" ht="24.75" customHeight="1" x14ac:dyDescent="0.25">
      <c r="A68" s="7" t="s">
        <v>75</v>
      </c>
      <c r="B68" s="49" t="s">
        <v>224</v>
      </c>
      <c r="C68" s="36">
        <v>11</v>
      </c>
      <c r="D68" s="36">
        <v>64</v>
      </c>
      <c r="E68" s="125">
        <v>3350</v>
      </c>
      <c r="F68" s="219"/>
      <c r="G68" s="239">
        <v>8000</v>
      </c>
      <c r="H68" s="239"/>
      <c r="I68" s="219"/>
      <c r="J68" s="243">
        <f t="shared" si="0"/>
        <v>0</v>
      </c>
      <c r="K68" s="243">
        <f t="shared" si="1"/>
        <v>0</v>
      </c>
    </row>
    <row r="69" spans="1:11" ht="24.75" customHeight="1" x14ac:dyDescent="0.25">
      <c r="A69" s="7" t="s">
        <v>83</v>
      </c>
      <c r="B69" s="49" t="s">
        <v>395</v>
      </c>
      <c r="C69" s="36">
        <v>12</v>
      </c>
      <c r="D69" s="36">
        <v>128</v>
      </c>
      <c r="E69" s="125">
        <v>5150</v>
      </c>
      <c r="F69" s="219"/>
      <c r="G69" s="239">
        <v>8000</v>
      </c>
      <c r="H69" s="239"/>
      <c r="I69" s="219"/>
      <c r="J69" s="243">
        <f t="shared" si="0"/>
        <v>0</v>
      </c>
      <c r="K69" s="243">
        <f t="shared" si="1"/>
        <v>0</v>
      </c>
    </row>
    <row r="70" spans="1:11" ht="24.75" customHeight="1" x14ac:dyDescent="0.25">
      <c r="A70" s="7" t="s">
        <v>84</v>
      </c>
      <c r="B70" s="49" t="s">
        <v>225</v>
      </c>
      <c r="C70" s="36">
        <v>10</v>
      </c>
      <c r="D70" s="36">
        <v>64</v>
      </c>
      <c r="E70" s="125">
        <v>3350</v>
      </c>
      <c r="F70" s="219"/>
      <c r="G70" s="239">
        <v>8000</v>
      </c>
      <c r="H70" s="239">
        <v>112</v>
      </c>
      <c r="I70" s="219"/>
      <c r="J70" s="243">
        <f t="shared" si="0"/>
        <v>0</v>
      </c>
      <c r="K70" s="243">
        <f t="shared" si="1"/>
        <v>0</v>
      </c>
    </row>
    <row r="71" spans="1:11" ht="24.75" customHeight="1" x14ac:dyDescent="0.25">
      <c r="A71" s="7" t="s">
        <v>85</v>
      </c>
      <c r="B71" s="49" t="s">
        <v>225</v>
      </c>
      <c r="C71" s="36">
        <v>11</v>
      </c>
      <c r="D71" s="36">
        <v>64</v>
      </c>
      <c r="E71" s="125">
        <v>3350</v>
      </c>
      <c r="F71" s="219"/>
      <c r="G71" s="239">
        <v>8000</v>
      </c>
      <c r="H71" s="239">
        <v>128</v>
      </c>
      <c r="I71" s="219"/>
      <c r="J71" s="243">
        <f t="shared" ref="J71:J99" si="5">E71*F71</f>
        <v>0</v>
      </c>
      <c r="K71" s="243">
        <f t="shared" ref="K71:K99" si="6">G71*I71</f>
        <v>0</v>
      </c>
    </row>
    <row r="72" spans="1:11" ht="24.75" customHeight="1" x14ac:dyDescent="0.25">
      <c r="A72" s="7" t="s">
        <v>111</v>
      </c>
      <c r="B72" s="49" t="s">
        <v>396</v>
      </c>
      <c r="C72" s="36">
        <v>12</v>
      </c>
      <c r="D72" s="36">
        <v>128</v>
      </c>
      <c r="E72" s="125">
        <v>5150</v>
      </c>
      <c r="F72" s="219"/>
      <c r="G72" s="239">
        <v>8000</v>
      </c>
      <c r="H72" s="239">
        <v>176</v>
      </c>
      <c r="I72" s="219"/>
      <c r="J72" s="243">
        <f t="shared" si="5"/>
        <v>0</v>
      </c>
      <c r="K72" s="243">
        <f t="shared" si="6"/>
        <v>0</v>
      </c>
    </row>
    <row r="73" spans="1:11" ht="24.75" customHeight="1" x14ac:dyDescent="0.25">
      <c r="A73" s="7" t="s">
        <v>112</v>
      </c>
      <c r="B73" s="49" t="s">
        <v>226</v>
      </c>
      <c r="C73" s="36">
        <v>10</v>
      </c>
      <c r="D73" s="36">
        <v>64</v>
      </c>
      <c r="E73" s="125">
        <v>3350</v>
      </c>
      <c r="F73" s="219"/>
      <c r="G73" s="239">
        <v>8000</v>
      </c>
      <c r="H73" s="239">
        <v>112</v>
      </c>
      <c r="I73" s="219"/>
      <c r="J73" s="243">
        <f t="shared" si="5"/>
        <v>0</v>
      </c>
      <c r="K73" s="243">
        <f t="shared" si="6"/>
        <v>0</v>
      </c>
    </row>
    <row r="74" spans="1:11" ht="24.75" customHeight="1" x14ac:dyDescent="0.25">
      <c r="A74" s="7" t="s">
        <v>113</v>
      </c>
      <c r="B74" s="49" t="s">
        <v>226</v>
      </c>
      <c r="C74" s="36">
        <v>11</v>
      </c>
      <c r="D74" s="36">
        <v>64</v>
      </c>
      <c r="E74" s="125">
        <v>3350</v>
      </c>
      <c r="F74" s="219"/>
      <c r="G74" s="239">
        <v>8000</v>
      </c>
      <c r="H74" s="239">
        <v>112</v>
      </c>
      <c r="I74" s="219"/>
      <c r="J74" s="243">
        <f t="shared" si="5"/>
        <v>0</v>
      </c>
      <c r="K74" s="243">
        <f t="shared" si="6"/>
        <v>0</v>
      </c>
    </row>
    <row r="75" spans="1:11" ht="24.75" customHeight="1" x14ac:dyDescent="0.25">
      <c r="A75" s="7" t="s">
        <v>114</v>
      </c>
      <c r="B75" s="49" t="s">
        <v>397</v>
      </c>
      <c r="C75" s="36">
        <v>12</v>
      </c>
      <c r="D75" s="36">
        <v>128</v>
      </c>
      <c r="E75" s="125">
        <v>5150</v>
      </c>
      <c r="F75" s="219"/>
      <c r="G75" s="239">
        <v>8000</v>
      </c>
      <c r="H75" s="239">
        <v>192</v>
      </c>
      <c r="I75" s="219"/>
      <c r="J75" s="243">
        <f t="shared" si="5"/>
        <v>0</v>
      </c>
      <c r="K75" s="243">
        <f t="shared" si="6"/>
        <v>0</v>
      </c>
    </row>
    <row r="76" spans="1:11" ht="24.75" customHeight="1" x14ac:dyDescent="0.25">
      <c r="A76" s="7" t="s">
        <v>115</v>
      </c>
      <c r="B76" s="49" t="s">
        <v>227</v>
      </c>
      <c r="C76" s="36">
        <v>10</v>
      </c>
      <c r="D76" s="36">
        <v>64</v>
      </c>
      <c r="E76" s="125">
        <v>3350</v>
      </c>
      <c r="F76" s="219"/>
      <c r="G76" s="239">
        <v>8000</v>
      </c>
      <c r="H76" s="239"/>
      <c r="I76" s="219"/>
      <c r="J76" s="243">
        <f t="shared" si="5"/>
        <v>0</v>
      </c>
      <c r="K76" s="243">
        <f t="shared" si="6"/>
        <v>0</v>
      </c>
    </row>
    <row r="77" spans="1:11" ht="24.75" customHeight="1" x14ac:dyDescent="0.25">
      <c r="A77" s="7" t="s">
        <v>116</v>
      </c>
      <c r="B77" s="49" t="s">
        <v>227</v>
      </c>
      <c r="C77" s="36">
        <v>11</v>
      </c>
      <c r="D77" s="36">
        <v>64</v>
      </c>
      <c r="E77" s="125">
        <v>3350</v>
      </c>
      <c r="F77" s="219"/>
      <c r="G77" s="239">
        <v>8000</v>
      </c>
      <c r="H77" s="239"/>
      <c r="I77" s="219"/>
      <c r="J77" s="243">
        <f t="shared" si="5"/>
        <v>0</v>
      </c>
      <c r="K77" s="243">
        <f t="shared" si="6"/>
        <v>0</v>
      </c>
    </row>
    <row r="78" spans="1:11" ht="20.25" customHeight="1" x14ac:dyDescent="0.25">
      <c r="A78" s="7" t="s">
        <v>117</v>
      </c>
      <c r="B78" s="49" t="s">
        <v>398</v>
      </c>
      <c r="C78" s="36">
        <v>12</v>
      </c>
      <c r="D78" s="36">
        <v>128</v>
      </c>
      <c r="E78" s="125">
        <v>5150</v>
      </c>
      <c r="F78" s="219"/>
      <c r="G78" s="239">
        <v>8000</v>
      </c>
      <c r="H78" s="239"/>
      <c r="I78" s="219"/>
      <c r="J78" s="243">
        <f t="shared" si="5"/>
        <v>0</v>
      </c>
      <c r="K78" s="243">
        <f t="shared" si="6"/>
        <v>0</v>
      </c>
    </row>
    <row r="79" spans="1:11" ht="25.5" customHeight="1" x14ac:dyDescent="0.25">
      <c r="A79" s="7" t="s">
        <v>118</v>
      </c>
      <c r="B79" s="49" t="s">
        <v>245</v>
      </c>
      <c r="C79" s="36">
        <v>10</v>
      </c>
      <c r="D79" s="36">
        <v>64</v>
      </c>
      <c r="E79" s="125">
        <v>3350</v>
      </c>
      <c r="F79" s="219"/>
      <c r="G79" s="239">
        <v>8000</v>
      </c>
      <c r="H79" s="239">
        <v>112</v>
      </c>
      <c r="I79" s="219"/>
      <c r="J79" s="243">
        <f t="shared" si="5"/>
        <v>0</v>
      </c>
      <c r="K79" s="243">
        <f t="shared" si="6"/>
        <v>0</v>
      </c>
    </row>
    <row r="80" spans="1:11" ht="25.5" customHeight="1" x14ac:dyDescent="0.25">
      <c r="A80" s="7" t="s">
        <v>119</v>
      </c>
      <c r="B80" s="49" t="s">
        <v>245</v>
      </c>
      <c r="C80" s="36">
        <v>11</v>
      </c>
      <c r="D80" s="36">
        <v>64</v>
      </c>
      <c r="E80" s="125">
        <v>3350</v>
      </c>
      <c r="F80" s="219"/>
      <c r="G80" s="239">
        <v>8000</v>
      </c>
      <c r="H80" s="239">
        <v>128</v>
      </c>
      <c r="I80" s="219"/>
      <c r="J80" s="243">
        <f t="shared" si="5"/>
        <v>0</v>
      </c>
      <c r="K80" s="243">
        <f t="shared" si="6"/>
        <v>0</v>
      </c>
    </row>
    <row r="81" spans="1:11" ht="25.5" customHeight="1" x14ac:dyDescent="0.25">
      <c r="A81" s="7" t="s">
        <v>120</v>
      </c>
      <c r="B81" s="49" t="s">
        <v>399</v>
      </c>
      <c r="C81" s="36">
        <v>12</v>
      </c>
      <c r="D81" s="36">
        <v>128</v>
      </c>
      <c r="E81" s="125">
        <v>5150</v>
      </c>
      <c r="F81" s="219"/>
      <c r="G81" s="239">
        <v>8000</v>
      </c>
      <c r="H81" s="239">
        <v>208</v>
      </c>
      <c r="I81" s="219"/>
      <c r="J81" s="243">
        <f t="shared" si="5"/>
        <v>0</v>
      </c>
      <c r="K81" s="243">
        <f t="shared" si="6"/>
        <v>0</v>
      </c>
    </row>
    <row r="82" spans="1:11" ht="25.5" customHeight="1" x14ac:dyDescent="0.25">
      <c r="A82" s="7" t="s">
        <v>121</v>
      </c>
      <c r="B82" s="49" t="s">
        <v>168</v>
      </c>
      <c r="C82" s="36">
        <v>10</v>
      </c>
      <c r="D82" s="36">
        <v>80</v>
      </c>
      <c r="E82" s="125">
        <v>3650</v>
      </c>
      <c r="F82" s="219"/>
      <c r="G82" s="239">
        <v>8000</v>
      </c>
      <c r="H82" s="239">
        <v>128</v>
      </c>
      <c r="I82" s="219"/>
      <c r="J82" s="243">
        <f t="shared" si="5"/>
        <v>0</v>
      </c>
      <c r="K82" s="243">
        <f t="shared" si="6"/>
        <v>0</v>
      </c>
    </row>
    <row r="83" spans="1:11" ht="25.5" customHeight="1" x14ac:dyDescent="0.25">
      <c r="A83" s="7" t="s">
        <v>122</v>
      </c>
      <c r="B83" s="49" t="s">
        <v>168</v>
      </c>
      <c r="C83" s="36">
        <v>11</v>
      </c>
      <c r="D83" s="36">
        <v>80</v>
      </c>
      <c r="E83" s="125">
        <v>3650</v>
      </c>
      <c r="F83" s="219"/>
      <c r="G83" s="239">
        <v>8000</v>
      </c>
      <c r="H83" s="239">
        <v>112</v>
      </c>
      <c r="I83" s="219"/>
      <c r="J83" s="243">
        <f t="shared" si="5"/>
        <v>0</v>
      </c>
      <c r="K83" s="243">
        <f t="shared" si="6"/>
        <v>0</v>
      </c>
    </row>
    <row r="84" spans="1:11" ht="25.5" customHeight="1" x14ac:dyDescent="0.25">
      <c r="A84" s="7" t="s">
        <v>123</v>
      </c>
      <c r="B84" s="49" t="s">
        <v>400</v>
      </c>
      <c r="C84" s="36">
        <v>12</v>
      </c>
      <c r="D84" s="36">
        <v>128</v>
      </c>
      <c r="E84" s="125">
        <v>5150</v>
      </c>
      <c r="F84" s="219"/>
      <c r="G84" s="239">
        <v>8000</v>
      </c>
      <c r="H84" s="239">
        <v>176</v>
      </c>
      <c r="I84" s="219"/>
      <c r="J84" s="243">
        <f t="shared" si="5"/>
        <v>0</v>
      </c>
      <c r="K84" s="243">
        <f t="shared" si="6"/>
        <v>0</v>
      </c>
    </row>
    <row r="85" spans="1:11" ht="25.5" customHeight="1" x14ac:dyDescent="0.25">
      <c r="A85" s="7" t="s">
        <v>124</v>
      </c>
      <c r="B85" s="85" t="s">
        <v>242</v>
      </c>
      <c r="C85" s="36">
        <v>10</v>
      </c>
      <c r="D85" s="36">
        <v>64</v>
      </c>
      <c r="E85" s="125">
        <v>3350</v>
      </c>
      <c r="F85" s="219"/>
      <c r="G85" s="239">
        <v>8000</v>
      </c>
      <c r="H85" s="239">
        <v>112</v>
      </c>
      <c r="I85" s="219"/>
      <c r="J85" s="243">
        <f t="shared" si="5"/>
        <v>0</v>
      </c>
      <c r="K85" s="243">
        <f t="shared" si="6"/>
        <v>0</v>
      </c>
    </row>
    <row r="86" spans="1:11" ht="25.5" customHeight="1" x14ac:dyDescent="0.25">
      <c r="A86" s="7" t="s">
        <v>125</v>
      </c>
      <c r="B86" s="85" t="s">
        <v>242</v>
      </c>
      <c r="C86" s="36">
        <v>11</v>
      </c>
      <c r="D86" s="36">
        <v>64</v>
      </c>
      <c r="E86" s="125">
        <v>3350</v>
      </c>
      <c r="F86" s="219"/>
      <c r="G86" s="239">
        <v>8000</v>
      </c>
      <c r="H86" s="239">
        <v>112</v>
      </c>
      <c r="I86" s="219"/>
      <c r="J86" s="243">
        <f t="shared" si="5"/>
        <v>0</v>
      </c>
      <c r="K86" s="243">
        <f t="shared" si="6"/>
        <v>0</v>
      </c>
    </row>
    <row r="87" spans="1:11" ht="25.5" customHeight="1" x14ac:dyDescent="0.25">
      <c r="A87" s="7" t="s">
        <v>126</v>
      </c>
      <c r="B87" s="85" t="s">
        <v>401</v>
      </c>
      <c r="C87" s="36">
        <v>12</v>
      </c>
      <c r="D87" s="36">
        <v>128</v>
      </c>
      <c r="E87" s="125">
        <v>5150</v>
      </c>
      <c r="F87" s="219"/>
      <c r="G87" s="239">
        <v>8000</v>
      </c>
      <c r="H87" s="239">
        <v>192</v>
      </c>
      <c r="I87" s="219"/>
      <c r="J87" s="243">
        <f t="shared" si="5"/>
        <v>0</v>
      </c>
      <c r="K87" s="243">
        <f t="shared" si="6"/>
        <v>0</v>
      </c>
    </row>
    <row r="88" spans="1:11" ht="25.5" customHeight="1" x14ac:dyDescent="0.25">
      <c r="A88" s="7" t="s">
        <v>127</v>
      </c>
      <c r="B88" s="49" t="s">
        <v>243</v>
      </c>
      <c r="C88" s="36">
        <v>10</v>
      </c>
      <c r="D88" s="36">
        <v>64</v>
      </c>
      <c r="E88" s="125">
        <v>3350</v>
      </c>
      <c r="F88" s="219"/>
      <c r="G88" s="239">
        <v>8000</v>
      </c>
      <c r="H88" s="239">
        <v>80</v>
      </c>
      <c r="I88" s="219"/>
      <c r="J88" s="243">
        <f t="shared" si="5"/>
        <v>0</v>
      </c>
      <c r="K88" s="243">
        <f t="shared" si="6"/>
        <v>0</v>
      </c>
    </row>
    <row r="89" spans="1:11" ht="25.5" customHeight="1" x14ac:dyDescent="0.25">
      <c r="A89" s="7" t="s">
        <v>128</v>
      </c>
      <c r="B89" s="49" t="s">
        <v>243</v>
      </c>
      <c r="C89" s="36">
        <v>11</v>
      </c>
      <c r="D89" s="36">
        <v>64</v>
      </c>
      <c r="E89" s="125">
        <v>3350</v>
      </c>
      <c r="F89" s="219"/>
      <c r="G89" s="239">
        <v>8000</v>
      </c>
      <c r="H89" s="239">
        <v>96</v>
      </c>
      <c r="I89" s="219"/>
      <c r="J89" s="243">
        <f t="shared" si="5"/>
        <v>0</v>
      </c>
      <c r="K89" s="243">
        <f t="shared" si="6"/>
        <v>0</v>
      </c>
    </row>
    <row r="90" spans="1:11" ht="25.5" customHeight="1" x14ac:dyDescent="0.25">
      <c r="A90" s="7" t="s">
        <v>129</v>
      </c>
      <c r="B90" s="49" t="s">
        <v>402</v>
      </c>
      <c r="C90" s="36">
        <v>12</v>
      </c>
      <c r="D90" s="36">
        <v>128</v>
      </c>
      <c r="E90" s="125">
        <v>5150</v>
      </c>
      <c r="F90" s="219"/>
      <c r="G90" s="239">
        <v>8000</v>
      </c>
      <c r="H90" s="239">
        <v>176</v>
      </c>
      <c r="I90" s="219"/>
      <c r="J90" s="243">
        <f t="shared" si="5"/>
        <v>0</v>
      </c>
      <c r="K90" s="243">
        <f t="shared" si="6"/>
        <v>0</v>
      </c>
    </row>
    <row r="91" spans="1:11" ht="25.5" customHeight="1" x14ac:dyDescent="0.25">
      <c r="A91" s="7" t="s">
        <v>130</v>
      </c>
      <c r="B91" s="177" t="s">
        <v>403</v>
      </c>
      <c r="C91" s="178">
        <v>10</v>
      </c>
      <c r="D91" s="178">
        <v>80</v>
      </c>
      <c r="E91" s="125">
        <v>3650</v>
      </c>
      <c r="F91" s="219"/>
      <c r="G91" s="239">
        <v>8000</v>
      </c>
      <c r="H91" s="239"/>
      <c r="I91" s="219"/>
      <c r="J91" s="243">
        <f t="shared" si="5"/>
        <v>0</v>
      </c>
      <c r="K91" s="243">
        <f t="shared" si="6"/>
        <v>0</v>
      </c>
    </row>
    <row r="92" spans="1:11" ht="25.5" customHeight="1" x14ac:dyDescent="0.25">
      <c r="A92" s="7" t="s">
        <v>131</v>
      </c>
      <c r="B92" s="177" t="s">
        <v>403</v>
      </c>
      <c r="C92" s="178">
        <v>11</v>
      </c>
      <c r="D92" s="178">
        <v>80</v>
      </c>
      <c r="E92" s="125">
        <v>3650</v>
      </c>
      <c r="F92" s="219"/>
      <c r="G92" s="239">
        <v>8000</v>
      </c>
      <c r="H92" s="239"/>
      <c r="I92" s="219"/>
      <c r="J92" s="243">
        <f t="shared" si="5"/>
        <v>0</v>
      </c>
      <c r="K92" s="243">
        <f t="shared" si="6"/>
        <v>0</v>
      </c>
    </row>
    <row r="93" spans="1:11" ht="25.5" customHeight="1" x14ac:dyDescent="0.25">
      <c r="A93" s="7" t="s">
        <v>132</v>
      </c>
      <c r="B93" s="177" t="s">
        <v>403</v>
      </c>
      <c r="C93" s="178">
        <v>12</v>
      </c>
      <c r="D93" s="178">
        <v>112</v>
      </c>
      <c r="E93" s="125">
        <v>4350</v>
      </c>
      <c r="F93" s="219"/>
      <c r="G93" s="239">
        <v>8000</v>
      </c>
      <c r="H93" s="239"/>
      <c r="I93" s="219"/>
      <c r="J93" s="243">
        <f t="shared" si="5"/>
        <v>0</v>
      </c>
      <c r="K93" s="243">
        <f t="shared" si="6"/>
        <v>0</v>
      </c>
    </row>
    <row r="94" spans="1:11" ht="25.5" customHeight="1" x14ac:dyDescent="0.25">
      <c r="A94" s="7" t="s">
        <v>133</v>
      </c>
      <c r="B94" s="177" t="s">
        <v>404</v>
      </c>
      <c r="C94" s="178">
        <v>10</v>
      </c>
      <c r="D94" s="178">
        <v>80</v>
      </c>
      <c r="E94" s="125">
        <v>3650</v>
      </c>
      <c r="F94" s="219"/>
      <c r="G94" s="239">
        <v>8000</v>
      </c>
      <c r="H94" s="239"/>
      <c r="I94" s="219"/>
      <c r="J94" s="243">
        <f t="shared" si="5"/>
        <v>0</v>
      </c>
      <c r="K94" s="243">
        <f t="shared" si="6"/>
        <v>0</v>
      </c>
    </row>
    <row r="95" spans="1:11" ht="25.5" customHeight="1" x14ac:dyDescent="0.25">
      <c r="A95" s="7" t="s">
        <v>134</v>
      </c>
      <c r="B95" s="177" t="s">
        <v>404</v>
      </c>
      <c r="C95" s="178">
        <v>11</v>
      </c>
      <c r="D95" s="178">
        <v>80</v>
      </c>
      <c r="E95" s="125">
        <v>3650</v>
      </c>
      <c r="F95" s="219"/>
      <c r="G95" s="239">
        <v>8000</v>
      </c>
      <c r="H95" s="239"/>
      <c r="I95" s="219"/>
      <c r="J95" s="243">
        <f t="shared" si="5"/>
        <v>0</v>
      </c>
      <c r="K95" s="243">
        <f t="shared" si="6"/>
        <v>0</v>
      </c>
    </row>
    <row r="96" spans="1:11" ht="25.5" customHeight="1" x14ac:dyDescent="0.25">
      <c r="A96" s="7" t="s">
        <v>135</v>
      </c>
      <c r="B96" s="177" t="s">
        <v>404</v>
      </c>
      <c r="C96" s="178">
        <v>12</v>
      </c>
      <c r="D96" s="178">
        <v>112</v>
      </c>
      <c r="E96" s="125">
        <v>4350</v>
      </c>
      <c r="F96" s="219"/>
      <c r="G96" s="239">
        <v>8000</v>
      </c>
      <c r="H96" s="239"/>
      <c r="I96" s="219"/>
      <c r="J96" s="243">
        <f t="shared" si="5"/>
        <v>0</v>
      </c>
      <c r="K96" s="243">
        <f t="shared" si="6"/>
        <v>0</v>
      </c>
    </row>
    <row r="97" spans="1:25" ht="25.5" customHeight="1" x14ac:dyDescent="0.25">
      <c r="A97" s="7">
        <v>92</v>
      </c>
      <c r="B97" s="177" t="s">
        <v>547</v>
      </c>
      <c r="C97" s="178">
        <v>10</v>
      </c>
      <c r="D97" s="178">
        <v>80</v>
      </c>
      <c r="E97" s="125">
        <v>3650</v>
      </c>
      <c r="F97" s="219"/>
      <c r="G97" s="239">
        <v>8000</v>
      </c>
      <c r="H97" s="239"/>
      <c r="I97" s="219"/>
      <c r="J97" s="243">
        <f t="shared" si="5"/>
        <v>0</v>
      </c>
      <c r="K97" s="243">
        <f t="shared" si="6"/>
        <v>0</v>
      </c>
    </row>
    <row r="98" spans="1:25" ht="25.5" customHeight="1" x14ac:dyDescent="0.25">
      <c r="A98" s="7" t="s">
        <v>581</v>
      </c>
      <c r="B98" s="177" t="s">
        <v>547</v>
      </c>
      <c r="C98" s="178">
        <v>11</v>
      </c>
      <c r="D98" s="178">
        <v>80</v>
      </c>
      <c r="E98" s="125">
        <v>3650</v>
      </c>
      <c r="F98" s="219"/>
      <c r="G98" s="239">
        <v>8000</v>
      </c>
      <c r="H98" s="239"/>
      <c r="I98" s="219"/>
      <c r="J98" s="243"/>
      <c r="K98" s="243"/>
    </row>
    <row r="99" spans="1:25" ht="25.5" customHeight="1" x14ac:dyDescent="0.25">
      <c r="A99" s="7">
        <v>93</v>
      </c>
      <c r="B99" s="177" t="s">
        <v>641</v>
      </c>
      <c r="C99" s="178">
        <v>12</v>
      </c>
      <c r="D99" s="178">
        <v>118</v>
      </c>
      <c r="E99" s="125">
        <v>5150</v>
      </c>
      <c r="F99" s="219"/>
      <c r="G99" s="239">
        <v>8000</v>
      </c>
      <c r="H99" s="239"/>
      <c r="I99" s="219"/>
      <c r="J99" s="243">
        <f t="shared" si="5"/>
        <v>0</v>
      </c>
      <c r="K99" s="243">
        <f t="shared" si="6"/>
        <v>0</v>
      </c>
    </row>
    <row r="100" spans="1:25" ht="25.5" customHeight="1" x14ac:dyDescent="0.25">
      <c r="C100" s="32"/>
      <c r="D100" s="32"/>
      <c r="E100" s="32"/>
      <c r="F100" s="203">
        <f>SUM(F6:F99)</f>
        <v>0</v>
      </c>
      <c r="G100" s="92"/>
      <c r="H100" s="92"/>
      <c r="I100" s="203">
        <f>SUM(I6:I99)</f>
        <v>0</v>
      </c>
      <c r="J100" s="242">
        <f>SUM(J6:J99)</f>
        <v>0</v>
      </c>
      <c r="K100" s="242">
        <f>SUM(K6:K99)</f>
        <v>0</v>
      </c>
      <c r="X100" s="27">
        <f>F100+R23</f>
        <v>0</v>
      </c>
      <c r="Y100" s="27">
        <f>I100+U23</f>
        <v>0</v>
      </c>
    </row>
  </sheetData>
  <mergeCells count="18">
    <mergeCell ref="F4:F5"/>
    <mergeCell ref="G4:G5"/>
    <mergeCell ref="I4:I5"/>
    <mergeCell ref="A4:A5"/>
    <mergeCell ref="B4:B5"/>
    <mergeCell ref="C4:C5"/>
    <mergeCell ref="D4:D5"/>
    <mergeCell ref="E4:E5"/>
    <mergeCell ref="H4:H5"/>
    <mergeCell ref="R4:R5"/>
    <mergeCell ref="S4:S5"/>
    <mergeCell ref="U4:U5"/>
    <mergeCell ref="M4:M5"/>
    <mergeCell ref="N4:N5"/>
    <mergeCell ref="O4:O5"/>
    <mergeCell ref="P4:P5"/>
    <mergeCell ref="Q4:Q5"/>
    <mergeCell ref="T4:T5"/>
  </mergeCells>
  <phoneticPr fontId="19" type="noConversion"/>
  <pageMargins left="0.16" right="0.25" top="0.39" bottom="0.36" header="0.3" footer="0.32"/>
  <pageSetup paperSize="9" scale="44" orientation="portrait" verticalDpi="1200" r:id="rId1"/>
  <colBreaks count="1" manualBreakCount="1">
    <brk id="11" max="96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K54"/>
  <sheetViews>
    <sheetView view="pageBreakPreview" topLeftCell="A4" zoomScale="90" zoomScaleSheetLayoutView="90" workbookViewId="0">
      <selection activeCell="O21" sqref="O21"/>
    </sheetView>
  </sheetViews>
  <sheetFormatPr defaultRowHeight="15" x14ac:dyDescent="0.25"/>
  <cols>
    <col min="1" max="1" width="7.28515625" customWidth="1"/>
    <col min="2" max="2" width="42.42578125" customWidth="1"/>
    <col min="3" max="5" width="8.85546875" customWidth="1"/>
    <col min="6" max="6" width="12.7109375" customWidth="1"/>
    <col min="7" max="9" width="10.5703125" customWidth="1"/>
    <col min="10" max="10" width="12.85546875" hidden="1" customWidth="1"/>
    <col min="11" max="11" width="9.140625" hidden="1" customWidth="1"/>
  </cols>
  <sheetData>
    <row r="1" spans="1:11" ht="30" x14ac:dyDescent="0.4">
      <c r="A1" s="1" t="s">
        <v>80</v>
      </c>
    </row>
    <row r="2" spans="1:11" ht="31.5" x14ac:dyDescent="0.55000000000000004">
      <c r="A2" s="43" t="str">
        <f>REKAP!A2</f>
        <v>Smt. 2 Tahun Ajaran 2026 - 2027</v>
      </c>
      <c r="B2" s="90"/>
      <c r="C2" s="90"/>
    </row>
    <row r="3" spans="1:11" ht="15" customHeight="1" x14ac:dyDescent="0.25">
      <c r="A3" s="265" t="s">
        <v>583</v>
      </c>
      <c r="B3" s="266">
        <f>REKAP!$J$4</f>
        <v>0</v>
      </c>
    </row>
    <row r="4" spans="1:11" ht="15" customHeight="1" x14ac:dyDescent="0.25">
      <c r="A4" s="324" t="s">
        <v>0</v>
      </c>
      <c r="B4" s="318" t="s">
        <v>238</v>
      </c>
      <c r="C4" s="318" t="s">
        <v>169</v>
      </c>
      <c r="D4" s="318" t="s">
        <v>88</v>
      </c>
      <c r="E4" s="325" t="s">
        <v>2</v>
      </c>
      <c r="F4" s="325" t="s">
        <v>3</v>
      </c>
      <c r="G4" s="322" t="s">
        <v>207</v>
      </c>
      <c r="H4" s="323" t="s">
        <v>212</v>
      </c>
      <c r="I4" s="323" t="s">
        <v>208</v>
      </c>
    </row>
    <row r="5" spans="1:11" ht="15" customHeight="1" x14ac:dyDescent="0.25">
      <c r="A5" s="324"/>
      <c r="B5" s="318"/>
      <c r="C5" s="318"/>
      <c r="D5" s="318"/>
      <c r="E5" s="325"/>
      <c r="F5" s="325"/>
      <c r="G5" s="322"/>
      <c r="H5" s="323"/>
      <c r="I5" s="323"/>
    </row>
    <row r="6" spans="1:11" ht="21.75" customHeight="1" x14ac:dyDescent="0.25">
      <c r="A6" s="36">
        <v>1</v>
      </c>
      <c r="B6" s="138" t="s">
        <v>236</v>
      </c>
      <c r="C6" s="4"/>
      <c r="D6" s="7">
        <v>10</v>
      </c>
      <c r="E6" s="7">
        <v>80</v>
      </c>
      <c r="F6" s="170">
        <v>3650</v>
      </c>
      <c r="G6" s="219"/>
      <c r="H6" s="171">
        <v>8000</v>
      </c>
      <c r="I6" s="219"/>
      <c r="J6" s="27">
        <f>F6*G6</f>
        <v>0</v>
      </c>
      <c r="K6" s="70">
        <f>I6*H6</f>
        <v>0</v>
      </c>
    </row>
    <row r="7" spans="1:11" ht="21.75" customHeight="1" x14ac:dyDescent="0.25">
      <c r="A7" s="36">
        <v>2</v>
      </c>
      <c r="B7" s="138" t="s">
        <v>359</v>
      </c>
      <c r="C7" s="4"/>
      <c r="D7" s="7">
        <v>10</v>
      </c>
      <c r="E7" s="7">
        <v>144</v>
      </c>
      <c r="F7" s="170">
        <v>5750</v>
      </c>
      <c r="G7" s="219"/>
      <c r="H7" s="171">
        <v>8000</v>
      </c>
      <c r="I7" s="219"/>
      <c r="J7" s="27">
        <f t="shared" ref="J7:J28" si="0">F7*G7</f>
        <v>0</v>
      </c>
      <c r="K7" s="70">
        <f t="shared" ref="K7:K28" si="1">I7*H7</f>
        <v>0</v>
      </c>
    </row>
    <row r="8" spans="1:11" ht="21.75" customHeight="1" x14ac:dyDescent="0.25">
      <c r="A8" s="36">
        <v>3</v>
      </c>
      <c r="B8" s="138" t="s">
        <v>360</v>
      </c>
      <c r="C8" s="4"/>
      <c r="D8" s="7">
        <v>10</v>
      </c>
      <c r="E8" s="7">
        <v>64</v>
      </c>
      <c r="F8" s="170">
        <v>3650</v>
      </c>
      <c r="G8" s="219"/>
      <c r="H8" s="171">
        <v>8000</v>
      </c>
      <c r="I8" s="219"/>
      <c r="J8" s="27">
        <f t="shared" si="0"/>
        <v>0</v>
      </c>
      <c r="K8" s="70">
        <f t="shared" si="1"/>
        <v>0</v>
      </c>
    </row>
    <row r="9" spans="1:11" ht="21.75" customHeight="1" x14ac:dyDescent="0.25">
      <c r="A9" s="36">
        <v>4</v>
      </c>
      <c r="B9" s="138" t="s">
        <v>360</v>
      </c>
      <c r="C9" s="4"/>
      <c r="D9" s="7">
        <v>11</v>
      </c>
      <c r="E9" s="7">
        <v>64</v>
      </c>
      <c r="F9" s="170">
        <v>3650</v>
      </c>
      <c r="G9" s="219"/>
      <c r="H9" s="171">
        <v>8000</v>
      </c>
      <c r="I9" s="219"/>
      <c r="J9" s="27">
        <f t="shared" si="0"/>
        <v>0</v>
      </c>
      <c r="K9" s="70">
        <f t="shared" si="1"/>
        <v>0</v>
      </c>
    </row>
    <row r="10" spans="1:11" ht="21.75" customHeight="1" x14ac:dyDescent="0.25">
      <c r="A10" s="36">
        <v>5</v>
      </c>
      <c r="B10" s="259" t="s">
        <v>361</v>
      </c>
      <c r="C10" s="168"/>
      <c r="D10" s="169">
        <v>12</v>
      </c>
      <c r="E10" s="169">
        <v>128</v>
      </c>
      <c r="F10" s="170">
        <v>5150</v>
      </c>
      <c r="G10" s="219"/>
      <c r="H10" s="171">
        <v>8000</v>
      </c>
      <c r="I10" s="219"/>
      <c r="J10" s="27">
        <f t="shared" si="0"/>
        <v>0</v>
      </c>
      <c r="K10" s="70">
        <f t="shared" si="1"/>
        <v>0</v>
      </c>
    </row>
    <row r="11" spans="1:11" ht="21.75" customHeight="1" x14ac:dyDescent="0.25">
      <c r="A11" s="36">
        <v>6</v>
      </c>
      <c r="B11" s="168" t="s">
        <v>580</v>
      </c>
      <c r="C11" s="168"/>
      <c r="D11" s="169">
        <v>10</v>
      </c>
      <c r="E11" s="169">
        <v>64</v>
      </c>
      <c r="F11" s="170">
        <v>3350</v>
      </c>
      <c r="G11" s="219"/>
      <c r="H11" s="171">
        <v>8000</v>
      </c>
      <c r="I11" s="219"/>
      <c r="J11" s="27">
        <f t="shared" si="0"/>
        <v>0</v>
      </c>
      <c r="K11" s="70">
        <f t="shared" si="1"/>
        <v>0</v>
      </c>
    </row>
    <row r="12" spans="1:11" ht="21.75" customHeight="1" x14ac:dyDescent="0.25">
      <c r="A12" s="36">
        <v>7</v>
      </c>
      <c r="B12" s="168" t="s">
        <v>580</v>
      </c>
      <c r="C12" s="168"/>
      <c r="D12" s="169">
        <v>11</v>
      </c>
      <c r="E12" s="169">
        <v>64</v>
      </c>
      <c r="F12" s="170">
        <v>3350</v>
      </c>
      <c r="G12" s="219"/>
      <c r="H12" s="171">
        <v>8000</v>
      </c>
      <c r="I12" s="219"/>
      <c r="J12" s="27">
        <f t="shared" si="0"/>
        <v>0</v>
      </c>
      <c r="K12" s="70"/>
    </row>
    <row r="13" spans="1:11" ht="21.75" customHeight="1" x14ac:dyDescent="0.25">
      <c r="A13" s="36">
        <v>8</v>
      </c>
      <c r="B13" s="168" t="s">
        <v>634</v>
      </c>
      <c r="C13" s="168"/>
      <c r="D13" s="169">
        <v>12</v>
      </c>
      <c r="E13" s="169">
        <v>128</v>
      </c>
      <c r="F13" s="170">
        <v>5150</v>
      </c>
      <c r="G13" s="219"/>
      <c r="H13" s="171">
        <v>8000</v>
      </c>
      <c r="I13" s="219"/>
      <c r="J13" s="27">
        <f t="shared" si="0"/>
        <v>0</v>
      </c>
      <c r="K13" s="70"/>
    </row>
    <row r="14" spans="1:11" ht="21.75" customHeight="1" x14ac:dyDescent="0.25">
      <c r="A14" s="319" t="s">
        <v>369</v>
      </c>
      <c r="B14" s="320"/>
      <c r="C14" s="320"/>
      <c r="D14" s="321"/>
      <c r="E14" s="169"/>
      <c r="F14" s="170"/>
      <c r="G14" s="219"/>
      <c r="H14" s="171"/>
      <c r="I14" s="219"/>
      <c r="J14" s="27"/>
      <c r="K14" s="70"/>
    </row>
    <row r="15" spans="1:11" ht="21.75" customHeight="1" x14ac:dyDescent="0.25">
      <c r="A15" s="36">
        <v>7</v>
      </c>
      <c r="B15" s="168" t="s">
        <v>362</v>
      </c>
      <c r="C15" s="169">
        <v>1</v>
      </c>
      <c r="D15" s="169">
        <v>10</v>
      </c>
      <c r="E15" s="169">
        <v>144</v>
      </c>
      <c r="F15" s="170">
        <v>5750</v>
      </c>
      <c r="G15" s="219"/>
      <c r="H15" s="171">
        <v>10000</v>
      </c>
      <c r="I15" s="219"/>
      <c r="J15" s="27">
        <f t="shared" si="0"/>
        <v>0</v>
      </c>
      <c r="K15" s="70">
        <f t="shared" si="1"/>
        <v>0</v>
      </c>
    </row>
    <row r="16" spans="1:11" ht="21.75" customHeight="1" x14ac:dyDescent="0.25">
      <c r="A16" s="36">
        <v>8</v>
      </c>
      <c r="B16" s="168" t="s">
        <v>363</v>
      </c>
      <c r="C16" s="169">
        <v>2</v>
      </c>
      <c r="D16" s="169">
        <v>10</v>
      </c>
      <c r="E16" s="169">
        <v>144</v>
      </c>
      <c r="F16" s="170">
        <v>5750</v>
      </c>
      <c r="G16" s="219"/>
      <c r="H16" s="171">
        <v>10000</v>
      </c>
      <c r="I16" s="219"/>
      <c r="J16" s="27">
        <f t="shared" si="0"/>
        <v>0</v>
      </c>
      <c r="K16" s="70">
        <f t="shared" si="1"/>
        <v>0</v>
      </c>
    </row>
    <row r="17" spans="1:11" ht="21.75" customHeight="1" x14ac:dyDescent="0.25">
      <c r="A17" s="36">
        <v>9</v>
      </c>
      <c r="B17" s="168" t="s">
        <v>364</v>
      </c>
      <c r="C17" s="169">
        <v>3</v>
      </c>
      <c r="D17" s="169">
        <v>10</v>
      </c>
      <c r="E17" s="169">
        <v>144</v>
      </c>
      <c r="F17" s="170">
        <v>5750</v>
      </c>
      <c r="G17" s="219"/>
      <c r="H17" s="171">
        <v>10000</v>
      </c>
      <c r="I17" s="219"/>
      <c r="J17" s="27">
        <f t="shared" si="0"/>
        <v>0</v>
      </c>
      <c r="K17" s="70">
        <f t="shared" si="1"/>
        <v>0</v>
      </c>
    </row>
    <row r="18" spans="1:11" ht="21.75" customHeight="1" x14ac:dyDescent="0.25">
      <c r="A18" s="36">
        <v>10</v>
      </c>
      <c r="B18" s="168" t="s">
        <v>365</v>
      </c>
      <c r="C18" s="169">
        <v>4</v>
      </c>
      <c r="D18" s="169">
        <v>10</v>
      </c>
      <c r="E18" s="169">
        <v>144</v>
      </c>
      <c r="F18" s="170">
        <v>5750</v>
      </c>
      <c r="G18" s="219"/>
      <c r="H18" s="171">
        <v>10000</v>
      </c>
      <c r="I18" s="219"/>
      <c r="J18" s="27">
        <f t="shared" si="0"/>
        <v>0</v>
      </c>
      <c r="K18" s="70">
        <f t="shared" si="1"/>
        <v>0</v>
      </c>
    </row>
    <row r="19" spans="1:11" ht="21.75" customHeight="1" x14ac:dyDescent="0.25">
      <c r="A19" s="36">
        <v>11</v>
      </c>
      <c r="B19" s="172" t="s">
        <v>366</v>
      </c>
      <c r="C19" s="176">
        <v>5</v>
      </c>
      <c r="D19" s="169">
        <v>10</v>
      </c>
      <c r="E19" s="173">
        <v>144</v>
      </c>
      <c r="F19" s="170">
        <v>5750</v>
      </c>
      <c r="G19" s="219"/>
      <c r="H19" s="171">
        <v>10000</v>
      </c>
      <c r="I19" s="219"/>
      <c r="J19" s="27">
        <f t="shared" si="0"/>
        <v>0</v>
      </c>
      <c r="K19" s="70">
        <f t="shared" si="1"/>
        <v>0</v>
      </c>
    </row>
    <row r="20" spans="1:11" ht="21.75" customHeight="1" x14ac:dyDescent="0.25">
      <c r="A20" s="36">
        <v>12</v>
      </c>
      <c r="B20" s="174" t="s">
        <v>310</v>
      </c>
      <c r="C20" s="173">
        <v>6</v>
      </c>
      <c r="D20" s="169">
        <v>10</v>
      </c>
      <c r="E20" s="173">
        <v>144</v>
      </c>
      <c r="F20" s="170">
        <v>5750</v>
      </c>
      <c r="G20" s="219"/>
      <c r="H20" s="171">
        <v>10000</v>
      </c>
      <c r="I20" s="219"/>
      <c r="J20" s="27">
        <f t="shared" si="0"/>
        <v>0</v>
      </c>
      <c r="K20" s="70">
        <f t="shared" si="1"/>
        <v>0</v>
      </c>
    </row>
    <row r="21" spans="1:11" ht="21.75" customHeight="1" x14ac:dyDescent="0.25">
      <c r="A21" s="36">
        <v>13</v>
      </c>
      <c r="B21" s="174" t="s">
        <v>357</v>
      </c>
      <c r="C21" s="173">
        <v>7</v>
      </c>
      <c r="D21" s="169">
        <v>10</v>
      </c>
      <c r="E21" s="173">
        <v>144</v>
      </c>
      <c r="F21" s="175">
        <v>5750</v>
      </c>
      <c r="G21" s="219"/>
      <c r="H21" s="171">
        <v>10000</v>
      </c>
      <c r="I21" s="219"/>
      <c r="J21" s="27">
        <f t="shared" si="0"/>
        <v>0</v>
      </c>
      <c r="K21" s="70">
        <f t="shared" si="1"/>
        <v>0</v>
      </c>
    </row>
    <row r="22" spans="1:11" ht="21.75" customHeight="1" x14ac:dyDescent="0.25">
      <c r="A22" s="36">
        <v>14</v>
      </c>
      <c r="B22" s="174" t="s">
        <v>311</v>
      </c>
      <c r="C22" s="173">
        <v>8</v>
      </c>
      <c r="D22" s="169">
        <v>10</v>
      </c>
      <c r="E22" s="173">
        <v>144</v>
      </c>
      <c r="F22" s="175">
        <v>5750</v>
      </c>
      <c r="G22" s="219"/>
      <c r="H22" s="171">
        <v>10000</v>
      </c>
      <c r="I22" s="219"/>
      <c r="J22" s="27">
        <f t="shared" si="0"/>
        <v>0</v>
      </c>
      <c r="K22" s="70">
        <f t="shared" si="1"/>
        <v>0</v>
      </c>
    </row>
    <row r="23" spans="1:11" ht="21.75" customHeight="1" x14ac:dyDescent="0.25">
      <c r="A23" s="36">
        <v>15</v>
      </c>
      <c r="B23" s="174" t="s">
        <v>358</v>
      </c>
      <c r="C23" s="173">
        <v>9</v>
      </c>
      <c r="D23" s="169">
        <v>10</v>
      </c>
      <c r="E23" s="173">
        <v>144</v>
      </c>
      <c r="F23" s="175">
        <v>5750</v>
      </c>
      <c r="G23" s="219"/>
      <c r="H23" s="171">
        <v>10000</v>
      </c>
      <c r="I23" s="219"/>
      <c r="J23" s="27">
        <f t="shared" si="0"/>
        <v>0</v>
      </c>
      <c r="K23" s="70">
        <f t="shared" si="1"/>
        <v>0</v>
      </c>
    </row>
    <row r="24" spans="1:11" ht="21.75" customHeight="1" x14ac:dyDescent="0.25">
      <c r="A24" s="36">
        <v>16</v>
      </c>
      <c r="B24" s="174" t="s">
        <v>367</v>
      </c>
      <c r="C24" s="173">
        <v>10</v>
      </c>
      <c r="D24" s="169">
        <v>10</v>
      </c>
      <c r="E24" s="173">
        <v>128</v>
      </c>
      <c r="F24" s="175">
        <v>5150</v>
      </c>
      <c r="G24" s="219"/>
      <c r="H24" s="171">
        <v>10000</v>
      </c>
      <c r="I24" s="219"/>
      <c r="J24" s="27">
        <f t="shared" si="0"/>
        <v>0</v>
      </c>
      <c r="K24" s="70">
        <f t="shared" si="1"/>
        <v>0</v>
      </c>
    </row>
    <row r="25" spans="1:11" ht="21.75" customHeight="1" x14ac:dyDescent="0.25">
      <c r="A25" s="36">
        <v>17</v>
      </c>
      <c r="B25" s="174" t="s">
        <v>237</v>
      </c>
      <c r="C25" s="173">
        <v>11</v>
      </c>
      <c r="D25" s="169">
        <v>10</v>
      </c>
      <c r="E25" s="173">
        <v>144</v>
      </c>
      <c r="F25" s="175">
        <v>5750</v>
      </c>
      <c r="G25" s="219"/>
      <c r="H25" s="171">
        <v>10000</v>
      </c>
      <c r="I25" s="219"/>
      <c r="J25" s="27">
        <f t="shared" si="0"/>
        <v>0</v>
      </c>
      <c r="K25" s="70">
        <f t="shared" si="1"/>
        <v>0</v>
      </c>
    </row>
    <row r="26" spans="1:11" ht="21.75" customHeight="1" x14ac:dyDescent="0.25">
      <c r="A26" s="36">
        <v>18</v>
      </c>
      <c r="B26" s="174" t="s">
        <v>312</v>
      </c>
      <c r="C26" s="173">
        <v>12</v>
      </c>
      <c r="D26" s="169">
        <v>10</v>
      </c>
      <c r="E26" s="173">
        <v>144</v>
      </c>
      <c r="F26" s="175">
        <v>5750</v>
      </c>
      <c r="G26" s="219"/>
      <c r="H26" s="171">
        <v>10000</v>
      </c>
      <c r="I26" s="219"/>
      <c r="J26" s="27">
        <f t="shared" si="0"/>
        <v>0</v>
      </c>
      <c r="K26" s="70">
        <f t="shared" si="1"/>
        <v>0</v>
      </c>
    </row>
    <row r="27" spans="1:11" ht="21.75" customHeight="1" x14ac:dyDescent="0.25">
      <c r="A27" s="36">
        <v>19</v>
      </c>
      <c r="B27" s="174" t="s">
        <v>368</v>
      </c>
      <c r="C27" s="173">
        <v>13</v>
      </c>
      <c r="D27" s="169">
        <v>10</v>
      </c>
      <c r="E27" s="173">
        <v>144</v>
      </c>
      <c r="F27" s="175">
        <v>5750</v>
      </c>
      <c r="G27" s="219"/>
      <c r="H27" s="171">
        <v>10000</v>
      </c>
      <c r="I27" s="219"/>
      <c r="J27" s="27">
        <f t="shared" si="0"/>
        <v>0</v>
      </c>
      <c r="K27" s="70">
        <f t="shared" si="1"/>
        <v>0</v>
      </c>
    </row>
    <row r="28" spans="1:11" ht="21.75" customHeight="1" x14ac:dyDescent="0.25">
      <c r="A28" s="36"/>
      <c r="B28" s="174"/>
      <c r="C28" s="174"/>
      <c r="D28" s="173"/>
      <c r="E28" s="173"/>
      <c r="F28" s="175"/>
      <c r="G28" s="4"/>
      <c r="H28" s="171"/>
      <c r="I28" s="4"/>
      <c r="J28" s="27">
        <f t="shared" si="0"/>
        <v>0</v>
      </c>
      <c r="K28" s="70">
        <f t="shared" si="1"/>
        <v>0</v>
      </c>
    </row>
    <row r="29" spans="1:11" ht="21.75" customHeight="1" x14ac:dyDescent="0.25">
      <c r="A29" s="32"/>
      <c r="B29" s="96"/>
      <c r="C29" s="96"/>
      <c r="D29" s="97"/>
      <c r="E29" s="97"/>
      <c r="F29" s="97"/>
      <c r="G29" s="98">
        <f>SUM(G6:G28)</f>
        <v>0</v>
      </c>
      <c r="H29" s="88"/>
      <c r="I29" s="98">
        <f>SUM(I6:I28)</f>
        <v>0</v>
      </c>
      <c r="J29" s="98">
        <f t="shared" ref="J29:K29" si="2">SUM(J6:J28)</f>
        <v>0</v>
      </c>
      <c r="K29" s="98">
        <f t="shared" si="2"/>
        <v>0</v>
      </c>
    </row>
    <row r="30" spans="1:11" ht="21.75" customHeight="1" x14ac:dyDescent="0.25">
      <c r="A30" s="32"/>
      <c r="B30" s="96"/>
      <c r="C30" s="96"/>
      <c r="D30" s="97"/>
      <c r="E30" s="97"/>
      <c r="F30" s="97"/>
      <c r="G30" s="97"/>
      <c r="H30" s="88"/>
      <c r="J30" s="27"/>
      <c r="K30" s="70"/>
    </row>
    <row r="31" spans="1:11" ht="21.75" customHeight="1" x14ac:dyDescent="0.25">
      <c r="A31" s="32"/>
      <c r="B31" s="96"/>
      <c r="C31" s="96"/>
      <c r="D31" s="97"/>
      <c r="E31" s="97"/>
      <c r="F31" s="97"/>
      <c r="G31" s="97"/>
      <c r="H31" s="88"/>
      <c r="J31" s="27"/>
      <c r="K31" s="70"/>
    </row>
    <row r="32" spans="1:11" ht="21.75" customHeight="1" x14ac:dyDescent="0.25">
      <c r="A32" s="32"/>
      <c r="B32" s="96"/>
      <c r="C32" s="96"/>
      <c r="D32" s="97"/>
      <c r="E32" s="97"/>
      <c r="F32" s="97"/>
      <c r="G32" s="97"/>
      <c r="H32" s="88"/>
      <c r="J32" s="27"/>
      <c r="K32" s="70"/>
    </row>
    <row r="33" spans="1:11" ht="21.75" customHeight="1" x14ac:dyDescent="0.25">
      <c r="A33" s="32"/>
      <c r="B33" s="96"/>
      <c r="C33" s="96"/>
      <c r="D33" s="97"/>
      <c r="E33" s="97"/>
      <c r="F33" s="97"/>
      <c r="G33" s="97"/>
      <c r="H33" s="88"/>
      <c r="J33" s="27"/>
      <c r="K33" s="70"/>
    </row>
    <row r="34" spans="1:11" ht="21.75" customHeight="1" x14ac:dyDescent="0.25">
      <c r="A34" s="32"/>
      <c r="B34" s="96"/>
      <c r="C34" s="96"/>
      <c r="D34" s="97"/>
      <c r="E34" s="97"/>
      <c r="F34" s="97"/>
      <c r="G34" s="97"/>
      <c r="H34" s="88"/>
      <c r="J34" s="27"/>
      <c r="K34" s="70"/>
    </row>
    <row r="35" spans="1:11" ht="21.75" customHeight="1" x14ac:dyDescent="0.25">
      <c r="A35" s="32"/>
      <c r="F35" s="88"/>
      <c r="H35" s="88"/>
      <c r="J35" s="27"/>
      <c r="K35" s="70"/>
    </row>
    <row r="36" spans="1:11" ht="21.75" customHeight="1" x14ac:dyDescent="0.25">
      <c r="A36" s="32"/>
      <c r="F36" s="88"/>
      <c r="H36" s="88"/>
      <c r="J36" s="27"/>
      <c r="K36" s="70"/>
    </row>
    <row r="37" spans="1:11" ht="21.75" customHeight="1" x14ac:dyDescent="0.25">
      <c r="A37" s="32"/>
      <c r="F37" s="88"/>
      <c r="H37" s="88"/>
      <c r="J37" s="27"/>
      <c r="K37" s="70"/>
    </row>
    <row r="38" spans="1:11" ht="21.75" customHeight="1" x14ac:dyDescent="0.25">
      <c r="A38" s="32"/>
      <c r="F38" s="88"/>
      <c r="H38" s="88"/>
      <c r="J38" s="27"/>
      <c r="K38" s="70"/>
    </row>
    <row r="39" spans="1:11" ht="21.75" customHeight="1" x14ac:dyDescent="0.25">
      <c r="A39" s="32"/>
      <c r="F39" s="88"/>
      <c r="H39" s="88"/>
      <c r="J39" s="27"/>
      <c r="K39" s="70"/>
    </row>
    <row r="40" spans="1:11" ht="21.75" customHeight="1" x14ac:dyDescent="0.25">
      <c r="A40" s="32"/>
      <c r="F40" s="88"/>
      <c r="H40" s="88"/>
      <c r="J40" s="27"/>
      <c r="K40" s="70"/>
    </row>
    <row r="41" spans="1:11" ht="21.75" customHeight="1" x14ac:dyDescent="0.25">
      <c r="A41" s="32"/>
      <c r="F41" s="88"/>
      <c r="H41" s="88"/>
      <c r="J41" s="27"/>
      <c r="K41" s="70"/>
    </row>
    <row r="42" spans="1:11" ht="21.75" customHeight="1" x14ac:dyDescent="0.25">
      <c r="A42" s="32"/>
      <c r="F42" s="88"/>
      <c r="H42" s="88"/>
      <c r="J42" s="27"/>
      <c r="K42" s="70"/>
    </row>
    <row r="43" spans="1:11" ht="21.75" customHeight="1" x14ac:dyDescent="0.25">
      <c r="A43" s="32"/>
      <c r="F43" s="88"/>
      <c r="H43" s="88"/>
      <c r="J43" s="27"/>
      <c r="K43" s="70"/>
    </row>
    <row r="44" spans="1:11" ht="21.75" customHeight="1" x14ac:dyDescent="0.25">
      <c r="A44" s="32"/>
      <c r="F44" s="88"/>
      <c r="H44" s="88"/>
      <c r="J44" s="27"/>
      <c r="K44" s="70"/>
    </row>
    <row r="45" spans="1:11" ht="21.75" customHeight="1" x14ac:dyDescent="0.25">
      <c r="G45" s="88">
        <f>SUM(G6:G44)</f>
        <v>0</v>
      </c>
      <c r="I45" s="88">
        <f>SUM(I6:I44)</f>
        <v>0</v>
      </c>
      <c r="J45" s="87"/>
      <c r="K45" s="48"/>
    </row>
    <row r="46" spans="1:11" ht="21.75" customHeight="1" x14ac:dyDescent="0.25"/>
    <row r="47" spans="1:11" ht="21.75" customHeight="1" x14ac:dyDescent="0.25"/>
    <row r="48" spans="1:11" ht="21.75" customHeight="1" x14ac:dyDescent="0.25"/>
    <row r="49" ht="21.75" customHeight="1" x14ac:dyDescent="0.25"/>
    <row r="50" ht="21.75" customHeight="1" x14ac:dyDescent="0.25"/>
    <row r="51" ht="21.75" customHeight="1" x14ac:dyDescent="0.25"/>
    <row r="52" ht="21.75" customHeight="1" x14ac:dyDescent="0.25"/>
    <row r="53" ht="21.75" customHeight="1" x14ac:dyDescent="0.25"/>
    <row r="54" ht="26.25" customHeight="1" x14ac:dyDescent="0.25"/>
  </sheetData>
  <mergeCells count="10">
    <mergeCell ref="C4:C5"/>
    <mergeCell ref="A14:D14"/>
    <mergeCell ref="G4:G5"/>
    <mergeCell ref="H4:H5"/>
    <mergeCell ref="I4:I5"/>
    <mergeCell ref="A4:A5"/>
    <mergeCell ref="B4:B5"/>
    <mergeCell ref="D4:D5"/>
    <mergeCell ref="E4:E5"/>
    <mergeCell ref="F4:F5"/>
  </mergeCells>
  <phoneticPr fontId="19" type="noConversion"/>
  <pageMargins left="0.43" right="0.22" top="0.39" bottom="0.62" header="0.3" footer="0.3"/>
  <pageSetup paperSize="9" scale="80" orientation="portrait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K99"/>
  <sheetViews>
    <sheetView view="pageBreakPreview" zoomScale="90" zoomScaleSheetLayoutView="90" workbookViewId="0">
      <pane xSplit="10" ySplit="4" topLeftCell="K61" activePane="bottomRight" state="frozen"/>
      <selection pane="topRight" activeCell="K1" sqref="K1"/>
      <selection pane="bottomLeft" activeCell="A6" sqref="A6"/>
      <selection pane="bottomRight" activeCell="I4" sqref="I4:I71"/>
    </sheetView>
  </sheetViews>
  <sheetFormatPr defaultRowHeight="15.75" x14ac:dyDescent="0.25"/>
  <cols>
    <col min="1" max="2" width="9.140625" style="14"/>
    <col min="3" max="3" width="49.140625" style="14" customWidth="1"/>
    <col min="4" max="4" width="9" style="14" customWidth="1"/>
    <col min="5" max="5" width="12.28515625" style="15" customWidth="1"/>
    <col min="6" max="6" width="10" bestFit="1" customWidth="1"/>
    <col min="7" max="8" width="10.85546875" customWidth="1"/>
    <col min="9" max="9" width="11.5703125" customWidth="1"/>
    <col min="10" max="11" width="15.5703125" hidden="1" customWidth="1"/>
  </cols>
  <sheetData>
    <row r="1" spans="1:11" ht="30" x14ac:dyDescent="0.25">
      <c r="A1" s="16" t="s">
        <v>313</v>
      </c>
      <c r="B1" s="16"/>
      <c r="C1" s="16"/>
      <c r="D1" s="16"/>
      <c r="E1" s="16"/>
    </row>
    <row r="2" spans="1:11" ht="31.5" x14ac:dyDescent="0.55000000000000004">
      <c r="A2" s="265" t="s">
        <v>583</v>
      </c>
      <c r="B2" s="266">
        <f>REKAP!$J$4</f>
        <v>0</v>
      </c>
      <c r="C2" s="50"/>
      <c r="D2" s="51"/>
      <c r="E2" s="51"/>
      <c r="H2" s="90" t="s">
        <v>244</v>
      </c>
    </row>
    <row r="3" spans="1:11" ht="32.25" customHeight="1" x14ac:dyDescent="0.25">
      <c r="A3" s="165" t="s">
        <v>0</v>
      </c>
      <c r="B3" s="248"/>
      <c r="C3" s="248"/>
      <c r="D3" s="165" t="s">
        <v>353</v>
      </c>
      <c r="E3" s="165" t="s">
        <v>354</v>
      </c>
      <c r="F3" s="162" t="s">
        <v>3</v>
      </c>
      <c r="G3" s="52" t="s">
        <v>207</v>
      </c>
      <c r="H3" s="67" t="s">
        <v>212</v>
      </c>
      <c r="I3" s="67" t="s">
        <v>209</v>
      </c>
    </row>
    <row r="4" spans="1:11" ht="21.75" customHeight="1" x14ac:dyDescent="0.25">
      <c r="A4" s="167" t="s">
        <v>4</v>
      </c>
      <c r="B4" s="329" t="s">
        <v>550</v>
      </c>
      <c r="C4" s="330"/>
      <c r="D4" s="249">
        <v>144</v>
      </c>
      <c r="E4" s="250" t="s">
        <v>355</v>
      </c>
      <c r="F4" s="251">
        <v>5750</v>
      </c>
      <c r="G4" s="252"/>
      <c r="H4" s="252">
        <v>10000</v>
      </c>
      <c r="I4" s="252"/>
      <c r="J4" s="3">
        <f t="shared" ref="J4" si="0">F4*G4</f>
        <v>0</v>
      </c>
      <c r="K4" s="27">
        <f t="shared" ref="K4" si="1">H4*I4</f>
        <v>0</v>
      </c>
    </row>
    <row r="5" spans="1:11" ht="24" customHeight="1" x14ac:dyDescent="0.25">
      <c r="A5" s="167" t="s">
        <v>6</v>
      </c>
      <c r="B5" s="331" t="s">
        <v>551</v>
      </c>
      <c r="C5" s="253" t="s">
        <v>110</v>
      </c>
      <c r="D5" s="249">
        <v>144</v>
      </c>
      <c r="E5" s="250" t="s">
        <v>355</v>
      </c>
      <c r="F5" s="254">
        <v>5750</v>
      </c>
      <c r="G5" s="252"/>
      <c r="H5" s="252">
        <v>10000</v>
      </c>
      <c r="I5" s="252"/>
      <c r="J5" s="3">
        <f>F5*G5</f>
        <v>0</v>
      </c>
      <c r="K5" s="27">
        <f>H5*I5</f>
        <v>0</v>
      </c>
    </row>
    <row r="6" spans="1:11" ht="24" customHeight="1" x14ac:dyDescent="0.25">
      <c r="A6" s="167" t="s">
        <v>7</v>
      </c>
      <c r="B6" s="332"/>
      <c r="C6" s="253" t="s">
        <v>151</v>
      </c>
      <c r="D6" s="249">
        <v>144</v>
      </c>
      <c r="E6" s="250" t="s">
        <v>355</v>
      </c>
      <c r="F6" s="254">
        <v>5750</v>
      </c>
      <c r="G6" s="252"/>
      <c r="H6" s="252">
        <v>10000</v>
      </c>
      <c r="I6" s="252"/>
      <c r="J6" s="3">
        <f t="shared" ref="J6:J69" si="2">F6*G6</f>
        <v>0</v>
      </c>
      <c r="K6" s="27">
        <f t="shared" ref="K6:K69" si="3">H6*I6</f>
        <v>0</v>
      </c>
    </row>
    <row r="7" spans="1:11" ht="24" customHeight="1" x14ac:dyDescent="0.25">
      <c r="A7" s="167" t="s">
        <v>8</v>
      </c>
      <c r="B7" s="332"/>
      <c r="C7" s="253" t="s">
        <v>247</v>
      </c>
      <c r="D7" s="249">
        <v>144</v>
      </c>
      <c r="E7" s="250" t="s">
        <v>355</v>
      </c>
      <c r="F7" s="254">
        <v>5750</v>
      </c>
      <c r="G7" s="252"/>
      <c r="H7" s="252">
        <v>10000</v>
      </c>
      <c r="I7" s="252"/>
      <c r="J7" s="3">
        <f t="shared" si="2"/>
        <v>0</v>
      </c>
      <c r="K7" s="27">
        <f t="shared" si="3"/>
        <v>0</v>
      </c>
    </row>
    <row r="8" spans="1:11" ht="24" customHeight="1" x14ac:dyDescent="0.25">
      <c r="A8" s="167" t="s">
        <v>9</v>
      </c>
      <c r="B8" s="332"/>
      <c r="C8" s="253" t="s">
        <v>152</v>
      </c>
      <c r="D8" s="249">
        <v>144</v>
      </c>
      <c r="E8" s="250" t="s">
        <v>355</v>
      </c>
      <c r="F8" s="254">
        <v>5750</v>
      </c>
      <c r="G8" s="252"/>
      <c r="H8" s="252">
        <v>10000</v>
      </c>
      <c r="I8" s="252"/>
      <c r="J8" s="3">
        <f t="shared" si="2"/>
        <v>0</v>
      </c>
      <c r="K8" s="27">
        <f t="shared" si="3"/>
        <v>0</v>
      </c>
    </row>
    <row r="9" spans="1:11" ht="24" customHeight="1" x14ac:dyDescent="0.25">
      <c r="A9" s="167" t="s">
        <v>10</v>
      </c>
      <c r="B9" s="333"/>
      <c r="C9" s="253" t="s">
        <v>248</v>
      </c>
      <c r="D9" s="249">
        <v>144</v>
      </c>
      <c r="E9" s="250" t="s">
        <v>355</v>
      </c>
      <c r="F9" s="254">
        <v>5750</v>
      </c>
      <c r="G9" s="252"/>
      <c r="H9" s="252">
        <v>10000</v>
      </c>
      <c r="I9" s="252"/>
      <c r="J9" s="3">
        <f t="shared" si="2"/>
        <v>0</v>
      </c>
      <c r="K9" s="27">
        <f t="shared" si="3"/>
        <v>0</v>
      </c>
    </row>
    <row r="10" spans="1:11" ht="24" customHeight="1" x14ac:dyDescent="0.25">
      <c r="A10" s="167" t="s">
        <v>11</v>
      </c>
      <c r="B10" s="335" t="s">
        <v>552</v>
      </c>
      <c r="C10" s="253" t="s">
        <v>553</v>
      </c>
      <c r="D10" s="249"/>
      <c r="E10" s="250" t="s">
        <v>355</v>
      </c>
      <c r="F10" s="254">
        <v>5750</v>
      </c>
      <c r="G10" s="252"/>
      <c r="H10" s="252">
        <v>10000</v>
      </c>
      <c r="I10" s="252"/>
      <c r="J10" s="3">
        <f t="shared" si="2"/>
        <v>0</v>
      </c>
      <c r="K10" s="27">
        <f t="shared" si="3"/>
        <v>0</v>
      </c>
    </row>
    <row r="11" spans="1:11" ht="24" customHeight="1" x14ac:dyDescent="0.25">
      <c r="A11" s="167" t="s">
        <v>12</v>
      </c>
      <c r="B11" s="336"/>
      <c r="C11" s="253" t="s">
        <v>554</v>
      </c>
      <c r="D11" s="249"/>
      <c r="E11" s="250" t="s">
        <v>355</v>
      </c>
      <c r="F11" s="254">
        <v>5750</v>
      </c>
      <c r="G11" s="252"/>
      <c r="H11" s="252">
        <v>10000</v>
      </c>
      <c r="I11" s="252"/>
      <c r="J11" s="3">
        <f t="shared" si="2"/>
        <v>0</v>
      </c>
      <c r="K11" s="27">
        <f t="shared" si="3"/>
        <v>0</v>
      </c>
    </row>
    <row r="12" spans="1:11" ht="24" customHeight="1" x14ac:dyDescent="0.25">
      <c r="A12" s="167" t="s">
        <v>13</v>
      </c>
      <c r="B12" s="336"/>
      <c r="C12" s="253" t="s">
        <v>555</v>
      </c>
      <c r="D12" s="249"/>
      <c r="E12" s="250" t="s">
        <v>355</v>
      </c>
      <c r="F12" s="254">
        <v>5750</v>
      </c>
      <c r="G12" s="252"/>
      <c r="H12" s="252">
        <v>10000</v>
      </c>
      <c r="I12" s="252"/>
      <c r="J12" s="3">
        <f t="shared" si="2"/>
        <v>0</v>
      </c>
      <c r="K12" s="27">
        <f t="shared" si="3"/>
        <v>0</v>
      </c>
    </row>
    <row r="13" spans="1:11" ht="24" customHeight="1" x14ac:dyDescent="0.25">
      <c r="A13" s="167" t="s">
        <v>14</v>
      </c>
      <c r="B13" s="336"/>
      <c r="C13" s="253" t="s">
        <v>556</v>
      </c>
      <c r="D13" s="249"/>
      <c r="E13" s="250" t="s">
        <v>355</v>
      </c>
      <c r="F13" s="254">
        <v>5750</v>
      </c>
      <c r="G13" s="252"/>
      <c r="H13" s="252">
        <v>10000</v>
      </c>
      <c r="I13" s="252"/>
      <c r="J13" s="3">
        <f t="shared" si="2"/>
        <v>0</v>
      </c>
      <c r="K13" s="27">
        <f t="shared" si="3"/>
        <v>0</v>
      </c>
    </row>
    <row r="14" spans="1:11" ht="24" customHeight="1" x14ac:dyDescent="0.25">
      <c r="A14" s="167" t="s">
        <v>15</v>
      </c>
      <c r="B14" s="336"/>
      <c r="C14" s="253" t="s">
        <v>557</v>
      </c>
      <c r="D14" s="249"/>
      <c r="E14" s="250" t="s">
        <v>355</v>
      </c>
      <c r="F14" s="254">
        <v>5750</v>
      </c>
      <c r="G14" s="252"/>
      <c r="H14" s="252">
        <v>10000</v>
      </c>
      <c r="I14" s="252"/>
      <c r="J14" s="3">
        <f t="shared" si="2"/>
        <v>0</v>
      </c>
      <c r="K14" s="27">
        <f t="shared" si="3"/>
        <v>0</v>
      </c>
    </row>
    <row r="15" spans="1:11" ht="24" customHeight="1" x14ac:dyDescent="0.25">
      <c r="A15" s="167" t="s">
        <v>16</v>
      </c>
      <c r="B15" s="337"/>
      <c r="C15" s="253" t="s">
        <v>558</v>
      </c>
      <c r="D15" s="249"/>
      <c r="E15" s="250" t="s">
        <v>355</v>
      </c>
      <c r="F15" s="254">
        <v>5750</v>
      </c>
      <c r="G15" s="252"/>
      <c r="H15" s="252">
        <v>10000</v>
      </c>
      <c r="I15" s="252"/>
      <c r="J15" s="3">
        <f t="shared" si="2"/>
        <v>0</v>
      </c>
      <c r="K15" s="27">
        <f t="shared" si="3"/>
        <v>0</v>
      </c>
    </row>
    <row r="16" spans="1:11" ht="24" customHeight="1" x14ac:dyDescent="0.25">
      <c r="A16" s="167" t="s">
        <v>17</v>
      </c>
      <c r="B16" s="338" t="s">
        <v>550</v>
      </c>
      <c r="C16" s="339"/>
      <c r="D16" s="249"/>
      <c r="E16" s="250" t="s">
        <v>355</v>
      </c>
      <c r="F16" s="254">
        <v>5750</v>
      </c>
      <c r="G16" s="252"/>
      <c r="H16" s="252">
        <v>10000</v>
      </c>
      <c r="I16" s="252"/>
      <c r="J16" s="3">
        <f t="shared" si="2"/>
        <v>0</v>
      </c>
      <c r="K16" s="27">
        <f t="shared" si="3"/>
        <v>0</v>
      </c>
    </row>
    <row r="17" spans="1:11" ht="24" customHeight="1" x14ac:dyDescent="0.25">
      <c r="A17" s="167" t="s">
        <v>19</v>
      </c>
      <c r="B17" s="331" t="s">
        <v>559</v>
      </c>
      <c r="C17" s="253" t="s">
        <v>249</v>
      </c>
      <c r="D17" s="249">
        <v>144</v>
      </c>
      <c r="E17" s="250" t="s">
        <v>355</v>
      </c>
      <c r="F17" s="254">
        <v>5750</v>
      </c>
      <c r="G17" s="252"/>
      <c r="H17" s="252">
        <v>10000</v>
      </c>
      <c r="I17" s="252"/>
      <c r="J17" s="3">
        <f t="shared" si="2"/>
        <v>0</v>
      </c>
      <c r="K17" s="27">
        <f t="shared" si="3"/>
        <v>0</v>
      </c>
    </row>
    <row r="18" spans="1:11" ht="24" customHeight="1" x14ac:dyDescent="0.25">
      <c r="A18" s="167" t="s">
        <v>20</v>
      </c>
      <c r="B18" s="332"/>
      <c r="C18" s="253" t="s">
        <v>250</v>
      </c>
      <c r="D18" s="249">
        <v>144</v>
      </c>
      <c r="E18" s="250" t="s">
        <v>355</v>
      </c>
      <c r="F18" s="254">
        <v>5750</v>
      </c>
      <c r="G18" s="252"/>
      <c r="H18" s="252">
        <v>10000</v>
      </c>
      <c r="I18" s="252"/>
      <c r="J18" s="3">
        <f t="shared" si="2"/>
        <v>0</v>
      </c>
      <c r="K18" s="27">
        <f t="shared" si="3"/>
        <v>0</v>
      </c>
    </row>
    <row r="19" spans="1:11" ht="24" customHeight="1" x14ac:dyDescent="0.25">
      <c r="A19" s="167" t="s">
        <v>21</v>
      </c>
      <c r="B19" s="332"/>
      <c r="C19" s="253" t="s">
        <v>251</v>
      </c>
      <c r="D19" s="249">
        <v>144</v>
      </c>
      <c r="E19" s="250" t="s">
        <v>355</v>
      </c>
      <c r="F19" s="254">
        <v>5750</v>
      </c>
      <c r="G19" s="252"/>
      <c r="H19" s="252">
        <v>10000</v>
      </c>
      <c r="I19" s="252"/>
      <c r="J19" s="3">
        <f t="shared" si="2"/>
        <v>0</v>
      </c>
      <c r="K19" s="27">
        <f t="shared" si="3"/>
        <v>0</v>
      </c>
    </row>
    <row r="20" spans="1:11" ht="24" customHeight="1" x14ac:dyDescent="0.25">
      <c r="A20" s="167" t="s">
        <v>22</v>
      </c>
      <c r="B20" s="332"/>
      <c r="C20" s="253" t="s">
        <v>252</v>
      </c>
      <c r="D20" s="249">
        <v>144</v>
      </c>
      <c r="E20" s="250" t="s">
        <v>355</v>
      </c>
      <c r="F20" s="254">
        <v>5750</v>
      </c>
      <c r="G20" s="252"/>
      <c r="H20" s="252">
        <v>10000</v>
      </c>
      <c r="I20" s="252"/>
      <c r="J20" s="3">
        <f t="shared" si="2"/>
        <v>0</v>
      </c>
      <c r="K20" s="27">
        <f t="shared" si="3"/>
        <v>0</v>
      </c>
    </row>
    <row r="21" spans="1:11" ht="24" customHeight="1" x14ac:dyDescent="0.25">
      <c r="A21" s="167" t="s">
        <v>23</v>
      </c>
      <c r="B21" s="332"/>
      <c r="C21" s="253" t="s">
        <v>253</v>
      </c>
      <c r="D21" s="249">
        <v>144</v>
      </c>
      <c r="E21" s="250" t="s">
        <v>355</v>
      </c>
      <c r="F21" s="254">
        <v>5750</v>
      </c>
      <c r="G21" s="252"/>
      <c r="H21" s="252">
        <v>10000</v>
      </c>
      <c r="I21" s="252"/>
      <c r="J21" s="3">
        <f t="shared" si="2"/>
        <v>0</v>
      </c>
      <c r="K21" s="27">
        <f t="shared" si="3"/>
        <v>0</v>
      </c>
    </row>
    <row r="22" spans="1:11" ht="24" customHeight="1" x14ac:dyDescent="0.25">
      <c r="A22" s="167" t="s">
        <v>24</v>
      </c>
      <c r="B22" s="332"/>
      <c r="C22" s="253" t="s">
        <v>254</v>
      </c>
      <c r="D22" s="249">
        <v>144</v>
      </c>
      <c r="E22" s="250" t="s">
        <v>355</v>
      </c>
      <c r="F22" s="254">
        <v>5750</v>
      </c>
      <c r="G22" s="252"/>
      <c r="H22" s="252">
        <v>10000</v>
      </c>
      <c r="I22" s="252"/>
      <c r="J22" s="3">
        <f t="shared" si="2"/>
        <v>0</v>
      </c>
      <c r="K22" s="27">
        <f t="shared" si="3"/>
        <v>0</v>
      </c>
    </row>
    <row r="23" spans="1:11" ht="24" customHeight="1" x14ac:dyDescent="0.25">
      <c r="A23" s="167" t="s">
        <v>25</v>
      </c>
      <c r="B23" s="332"/>
      <c r="C23" s="253" t="s">
        <v>255</v>
      </c>
      <c r="D23" s="249">
        <v>144</v>
      </c>
      <c r="E23" s="250" t="s">
        <v>355</v>
      </c>
      <c r="F23" s="254">
        <v>5750</v>
      </c>
      <c r="G23" s="252"/>
      <c r="H23" s="252">
        <v>10000</v>
      </c>
      <c r="I23" s="252"/>
      <c r="J23" s="3">
        <f t="shared" si="2"/>
        <v>0</v>
      </c>
      <c r="K23" s="27">
        <f t="shared" si="3"/>
        <v>0</v>
      </c>
    </row>
    <row r="24" spans="1:11" ht="24" customHeight="1" x14ac:dyDescent="0.25">
      <c r="A24" s="167" t="s">
        <v>26</v>
      </c>
      <c r="B24" s="332"/>
      <c r="C24" s="253" t="s">
        <v>256</v>
      </c>
      <c r="D24" s="249">
        <v>144</v>
      </c>
      <c r="E24" s="250" t="s">
        <v>355</v>
      </c>
      <c r="F24" s="254">
        <v>5750</v>
      </c>
      <c r="G24" s="252"/>
      <c r="H24" s="252">
        <v>10000</v>
      </c>
      <c r="I24" s="252"/>
      <c r="J24" s="3">
        <f t="shared" si="2"/>
        <v>0</v>
      </c>
      <c r="K24" s="27">
        <f t="shared" si="3"/>
        <v>0</v>
      </c>
    </row>
    <row r="25" spans="1:11" ht="24" customHeight="1" x14ac:dyDescent="0.25">
      <c r="A25" s="167" t="s">
        <v>27</v>
      </c>
      <c r="B25" s="333"/>
      <c r="C25" s="253" t="s">
        <v>560</v>
      </c>
      <c r="D25" s="249">
        <v>144</v>
      </c>
      <c r="E25" s="250" t="s">
        <v>355</v>
      </c>
      <c r="F25" s="254">
        <v>5750</v>
      </c>
      <c r="G25" s="252"/>
      <c r="H25" s="252">
        <v>10000</v>
      </c>
      <c r="I25" s="252"/>
      <c r="J25" s="3">
        <f t="shared" si="2"/>
        <v>0</v>
      </c>
      <c r="K25" s="27">
        <f t="shared" si="3"/>
        <v>0</v>
      </c>
    </row>
    <row r="26" spans="1:11" ht="24" customHeight="1" x14ac:dyDescent="0.25">
      <c r="A26" s="167" t="s">
        <v>28</v>
      </c>
      <c r="B26" s="326" t="s">
        <v>561</v>
      </c>
      <c r="C26" s="253" t="s">
        <v>258</v>
      </c>
      <c r="D26" s="249">
        <v>144</v>
      </c>
      <c r="E26" s="250" t="s">
        <v>355</v>
      </c>
      <c r="F26" s="254">
        <v>5750</v>
      </c>
      <c r="G26" s="252"/>
      <c r="H26" s="252">
        <v>10000</v>
      </c>
      <c r="I26" s="252"/>
      <c r="J26" s="3">
        <f t="shared" si="2"/>
        <v>0</v>
      </c>
      <c r="K26" s="27">
        <f t="shared" si="3"/>
        <v>0</v>
      </c>
    </row>
    <row r="27" spans="1:11" ht="24" customHeight="1" x14ac:dyDescent="0.25">
      <c r="A27" s="167" t="s">
        <v>29</v>
      </c>
      <c r="B27" s="327"/>
      <c r="C27" s="253" t="s">
        <v>259</v>
      </c>
      <c r="D27" s="249">
        <v>144</v>
      </c>
      <c r="E27" s="250" t="s">
        <v>355</v>
      </c>
      <c r="F27" s="254">
        <v>5750</v>
      </c>
      <c r="G27" s="252"/>
      <c r="H27" s="252">
        <v>10000</v>
      </c>
      <c r="I27" s="252"/>
      <c r="J27" s="3">
        <f t="shared" si="2"/>
        <v>0</v>
      </c>
      <c r="K27" s="27">
        <f t="shared" si="3"/>
        <v>0</v>
      </c>
    </row>
    <row r="28" spans="1:11" ht="24" customHeight="1" x14ac:dyDescent="0.25">
      <c r="A28" s="167" t="s">
        <v>30</v>
      </c>
      <c r="B28" s="327"/>
      <c r="C28" s="253" t="s">
        <v>260</v>
      </c>
      <c r="D28" s="249">
        <v>144</v>
      </c>
      <c r="E28" s="250" t="s">
        <v>355</v>
      </c>
      <c r="F28" s="254">
        <v>5750</v>
      </c>
      <c r="G28" s="252"/>
      <c r="H28" s="252">
        <v>10000</v>
      </c>
      <c r="I28" s="252"/>
      <c r="J28" s="3">
        <f t="shared" si="2"/>
        <v>0</v>
      </c>
      <c r="K28" s="27">
        <f t="shared" si="3"/>
        <v>0</v>
      </c>
    </row>
    <row r="29" spans="1:11" ht="24" customHeight="1" x14ac:dyDescent="0.25">
      <c r="A29" s="167" t="s">
        <v>31</v>
      </c>
      <c r="B29" s="327"/>
      <c r="C29" s="253" t="s">
        <v>261</v>
      </c>
      <c r="D29" s="249">
        <v>144</v>
      </c>
      <c r="E29" s="250" t="s">
        <v>355</v>
      </c>
      <c r="F29" s="254">
        <v>5150</v>
      </c>
      <c r="G29" s="252"/>
      <c r="H29" s="252">
        <v>10000</v>
      </c>
      <c r="I29" s="252"/>
      <c r="J29" s="3">
        <f t="shared" si="2"/>
        <v>0</v>
      </c>
      <c r="K29" s="27">
        <f t="shared" si="3"/>
        <v>0</v>
      </c>
    </row>
    <row r="30" spans="1:11" ht="24" customHeight="1" x14ac:dyDescent="0.25">
      <c r="A30" s="167" t="s">
        <v>32</v>
      </c>
      <c r="B30" s="327"/>
      <c r="C30" s="253" t="s">
        <v>262</v>
      </c>
      <c r="D30" s="249">
        <v>144</v>
      </c>
      <c r="E30" s="250" t="s">
        <v>355</v>
      </c>
      <c r="F30" s="254">
        <v>5150</v>
      </c>
      <c r="G30" s="252"/>
      <c r="H30" s="252">
        <v>10000</v>
      </c>
      <c r="I30" s="252"/>
      <c r="J30" s="3">
        <f t="shared" si="2"/>
        <v>0</v>
      </c>
      <c r="K30" s="27">
        <f t="shared" si="3"/>
        <v>0</v>
      </c>
    </row>
    <row r="31" spans="1:11" ht="24" customHeight="1" x14ac:dyDescent="0.25">
      <c r="A31" s="167" t="s">
        <v>33</v>
      </c>
      <c r="B31" s="327"/>
      <c r="C31" s="253" t="s">
        <v>263</v>
      </c>
      <c r="D31" s="249">
        <v>144</v>
      </c>
      <c r="E31" s="250" t="s">
        <v>355</v>
      </c>
      <c r="F31" s="254">
        <v>5150</v>
      </c>
      <c r="G31" s="252"/>
      <c r="H31" s="252">
        <v>10000</v>
      </c>
      <c r="I31" s="252"/>
      <c r="J31" s="3">
        <f t="shared" si="2"/>
        <v>0</v>
      </c>
      <c r="K31" s="27">
        <f t="shared" si="3"/>
        <v>0</v>
      </c>
    </row>
    <row r="32" spans="1:11" ht="24" customHeight="1" x14ac:dyDescent="0.25">
      <c r="A32" s="167" t="s">
        <v>34</v>
      </c>
      <c r="B32" s="334"/>
      <c r="C32" s="253" t="s">
        <v>150</v>
      </c>
      <c r="D32" s="249">
        <v>144</v>
      </c>
      <c r="E32" s="250" t="s">
        <v>355</v>
      </c>
      <c r="F32" s="254">
        <v>5150</v>
      </c>
      <c r="G32" s="252"/>
      <c r="H32" s="252">
        <v>10000</v>
      </c>
      <c r="I32" s="252"/>
      <c r="J32" s="3">
        <f t="shared" si="2"/>
        <v>0</v>
      </c>
      <c r="K32" s="27">
        <f t="shared" si="3"/>
        <v>0</v>
      </c>
    </row>
    <row r="33" spans="1:11" ht="24" customHeight="1" x14ac:dyDescent="0.25">
      <c r="A33" s="167" t="s">
        <v>35</v>
      </c>
      <c r="B33" s="329" t="s">
        <v>550</v>
      </c>
      <c r="C33" s="330"/>
      <c r="D33" s="249">
        <v>128</v>
      </c>
      <c r="E33" s="250" t="s">
        <v>355</v>
      </c>
      <c r="F33" s="254">
        <v>5150</v>
      </c>
      <c r="G33" s="252"/>
      <c r="H33" s="252">
        <v>10000</v>
      </c>
      <c r="I33" s="252"/>
      <c r="J33" s="3">
        <f t="shared" si="2"/>
        <v>0</v>
      </c>
      <c r="K33" s="27">
        <f t="shared" si="3"/>
        <v>0</v>
      </c>
    </row>
    <row r="34" spans="1:11" ht="24" customHeight="1" x14ac:dyDescent="0.25">
      <c r="A34" s="167" t="s">
        <v>36</v>
      </c>
      <c r="B34" s="326" t="s">
        <v>562</v>
      </c>
      <c r="C34" s="253" t="s">
        <v>68</v>
      </c>
      <c r="D34" s="249">
        <v>144</v>
      </c>
      <c r="E34" s="250" t="s">
        <v>355</v>
      </c>
      <c r="F34" s="254">
        <v>4850</v>
      </c>
      <c r="G34" s="252"/>
      <c r="H34" s="252">
        <v>10000</v>
      </c>
      <c r="I34" s="252"/>
      <c r="J34" s="3">
        <f t="shared" si="2"/>
        <v>0</v>
      </c>
      <c r="K34" s="27">
        <f t="shared" si="3"/>
        <v>0</v>
      </c>
    </row>
    <row r="35" spans="1:11" ht="24" customHeight="1" x14ac:dyDescent="0.25">
      <c r="A35" s="167" t="s">
        <v>37</v>
      </c>
      <c r="B35" s="327"/>
      <c r="C35" s="253" t="s">
        <v>264</v>
      </c>
      <c r="D35" s="249">
        <v>144</v>
      </c>
      <c r="E35" s="250" t="s">
        <v>355</v>
      </c>
      <c r="F35" s="254">
        <v>4850</v>
      </c>
      <c r="G35" s="252"/>
      <c r="H35" s="252">
        <v>10000</v>
      </c>
      <c r="I35" s="252"/>
      <c r="J35" s="3">
        <f t="shared" si="2"/>
        <v>0</v>
      </c>
      <c r="K35" s="27">
        <f t="shared" si="3"/>
        <v>0</v>
      </c>
    </row>
    <row r="36" spans="1:11" ht="24" customHeight="1" x14ac:dyDescent="0.25">
      <c r="A36" s="167" t="s">
        <v>38</v>
      </c>
      <c r="B36" s="327"/>
      <c r="C36" s="253" t="s">
        <v>265</v>
      </c>
      <c r="D36" s="249">
        <v>144</v>
      </c>
      <c r="E36" s="250" t="s">
        <v>355</v>
      </c>
      <c r="F36" s="254">
        <v>4850</v>
      </c>
      <c r="G36" s="252"/>
      <c r="H36" s="252">
        <v>10000</v>
      </c>
      <c r="I36" s="252"/>
      <c r="J36" s="3">
        <f t="shared" si="2"/>
        <v>0</v>
      </c>
      <c r="K36" s="27">
        <f t="shared" si="3"/>
        <v>0</v>
      </c>
    </row>
    <row r="37" spans="1:11" ht="24" customHeight="1" x14ac:dyDescent="0.25">
      <c r="A37" s="167" t="s">
        <v>39</v>
      </c>
      <c r="B37" s="334"/>
      <c r="C37" s="253" t="s">
        <v>266</v>
      </c>
      <c r="D37" s="249">
        <v>144</v>
      </c>
      <c r="E37" s="250" t="s">
        <v>355</v>
      </c>
      <c r="F37" s="254">
        <v>4850</v>
      </c>
      <c r="G37" s="252"/>
      <c r="H37" s="252">
        <v>10000</v>
      </c>
      <c r="I37" s="252"/>
      <c r="J37" s="3">
        <f t="shared" si="2"/>
        <v>0</v>
      </c>
      <c r="K37" s="27">
        <f t="shared" si="3"/>
        <v>0</v>
      </c>
    </row>
    <row r="38" spans="1:11" ht="24" customHeight="1" x14ac:dyDescent="0.25">
      <c r="A38" s="167" t="s">
        <v>40</v>
      </c>
      <c r="B38" s="329" t="s">
        <v>550</v>
      </c>
      <c r="C38" s="330"/>
      <c r="D38" s="249">
        <v>128</v>
      </c>
      <c r="E38" s="250" t="s">
        <v>355</v>
      </c>
      <c r="F38" s="254">
        <v>4850</v>
      </c>
      <c r="G38" s="252"/>
      <c r="H38" s="252">
        <v>10000</v>
      </c>
      <c r="I38" s="252"/>
      <c r="J38" s="3">
        <f t="shared" si="2"/>
        <v>0</v>
      </c>
      <c r="K38" s="27">
        <f t="shared" si="3"/>
        <v>0</v>
      </c>
    </row>
    <row r="39" spans="1:11" ht="24" customHeight="1" x14ac:dyDescent="0.25">
      <c r="A39" s="167" t="s">
        <v>41</v>
      </c>
      <c r="B39" s="326" t="s">
        <v>563</v>
      </c>
      <c r="C39" s="253" t="s">
        <v>267</v>
      </c>
      <c r="D39" s="249">
        <v>128</v>
      </c>
      <c r="E39" s="250" t="s">
        <v>355</v>
      </c>
      <c r="F39" s="254">
        <v>4850</v>
      </c>
      <c r="G39" s="252"/>
      <c r="H39" s="252">
        <v>10000</v>
      </c>
      <c r="I39" s="252"/>
      <c r="J39" s="3">
        <f t="shared" si="2"/>
        <v>0</v>
      </c>
      <c r="K39" s="27">
        <f t="shared" si="3"/>
        <v>0</v>
      </c>
    </row>
    <row r="40" spans="1:11" ht="24" customHeight="1" x14ac:dyDescent="0.25">
      <c r="A40" s="167" t="s">
        <v>42</v>
      </c>
      <c r="B40" s="327"/>
      <c r="C40" s="253" t="s">
        <v>268</v>
      </c>
      <c r="D40" s="249">
        <v>128</v>
      </c>
      <c r="E40" s="250" t="s">
        <v>355</v>
      </c>
      <c r="F40" s="254">
        <v>4850</v>
      </c>
      <c r="G40" s="252"/>
      <c r="H40" s="252">
        <v>10000</v>
      </c>
      <c r="I40" s="252"/>
      <c r="J40" s="3">
        <f t="shared" si="2"/>
        <v>0</v>
      </c>
      <c r="K40" s="27">
        <f t="shared" si="3"/>
        <v>0</v>
      </c>
    </row>
    <row r="41" spans="1:11" ht="24" customHeight="1" x14ac:dyDescent="0.25">
      <c r="A41" s="167" t="s">
        <v>44</v>
      </c>
      <c r="B41" s="327"/>
      <c r="C41" s="253" t="s">
        <v>269</v>
      </c>
      <c r="D41" s="249">
        <v>128</v>
      </c>
      <c r="E41" s="250" t="s">
        <v>355</v>
      </c>
      <c r="F41" s="254">
        <v>4850</v>
      </c>
      <c r="G41" s="252"/>
      <c r="H41" s="252">
        <v>10000</v>
      </c>
      <c r="I41" s="252"/>
      <c r="J41" s="3">
        <f t="shared" si="2"/>
        <v>0</v>
      </c>
      <c r="K41" s="27">
        <f t="shared" si="3"/>
        <v>0</v>
      </c>
    </row>
    <row r="42" spans="1:11" ht="24" customHeight="1" x14ac:dyDescent="0.25">
      <c r="A42" s="167" t="s">
        <v>45</v>
      </c>
      <c r="B42" s="327"/>
      <c r="C42" s="253" t="s">
        <v>270</v>
      </c>
      <c r="D42" s="249">
        <v>128</v>
      </c>
      <c r="E42" s="250" t="s">
        <v>355</v>
      </c>
      <c r="F42" s="254">
        <v>4850</v>
      </c>
      <c r="G42" s="252"/>
      <c r="H42" s="252">
        <v>10000</v>
      </c>
      <c r="I42" s="252"/>
      <c r="J42" s="3">
        <f t="shared" si="2"/>
        <v>0</v>
      </c>
      <c r="K42" s="27">
        <f t="shared" si="3"/>
        <v>0</v>
      </c>
    </row>
    <row r="43" spans="1:11" ht="24" customHeight="1" x14ac:dyDescent="0.25">
      <c r="A43" s="167" t="s">
        <v>46</v>
      </c>
      <c r="B43" s="334"/>
      <c r="C43" s="253" t="s">
        <v>67</v>
      </c>
      <c r="D43" s="249">
        <v>128</v>
      </c>
      <c r="E43" s="250" t="s">
        <v>355</v>
      </c>
      <c r="F43" s="254">
        <v>4850</v>
      </c>
      <c r="G43" s="252"/>
      <c r="H43" s="252">
        <v>10000</v>
      </c>
      <c r="I43" s="252"/>
      <c r="J43" s="3">
        <f t="shared" si="2"/>
        <v>0</v>
      </c>
      <c r="K43" s="27">
        <f t="shared" si="3"/>
        <v>0</v>
      </c>
    </row>
    <row r="44" spans="1:11" ht="24" customHeight="1" x14ac:dyDescent="0.25">
      <c r="A44" s="167" t="s">
        <v>47</v>
      </c>
      <c r="B44" s="329" t="s">
        <v>550</v>
      </c>
      <c r="C44" s="330"/>
      <c r="D44" s="249">
        <v>112</v>
      </c>
      <c r="E44" s="250" t="s">
        <v>355</v>
      </c>
      <c r="F44" s="254">
        <v>4850</v>
      </c>
      <c r="G44" s="252"/>
      <c r="H44" s="252">
        <v>10000</v>
      </c>
      <c r="I44" s="252"/>
      <c r="J44" s="3">
        <f t="shared" si="2"/>
        <v>0</v>
      </c>
      <c r="K44" s="27">
        <f t="shared" si="3"/>
        <v>0</v>
      </c>
    </row>
    <row r="45" spans="1:11" ht="24" customHeight="1" x14ac:dyDescent="0.25">
      <c r="A45" s="167" t="s">
        <v>48</v>
      </c>
      <c r="B45" s="331" t="s">
        <v>564</v>
      </c>
      <c r="C45" s="253" t="s">
        <v>288</v>
      </c>
      <c r="D45" s="249">
        <v>112</v>
      </c>
      <c r="E45" s="250" t="s">
        <v>355</v>
      </c>
      <c r="F45" s="254">
        <v>4850</v>
      </c>
      <c r="G45" s="252"/>
      <c r="H45" s="252">
        <v>10000</v>
      </c>
      <c r="I45" s="252"/>
      <c r="J45" s="3">
        <f t="shared" si="2"/>
        <v>0</v>
      </c>
      <c r="K45" s="27">
        <f t="shared" si="3"/>
        <v>0</v>
      </c>
    </row>
    <row r="46" spans="1:11" ht="24" customHeight="1" x14ac:dyDescent="0.25">
      <c r="A46" s="167" t="s">
        <v>49</v>
      </c>
      <c r="B46" s="332"/>
      <c r="C46" s="253" t="s">
        <v>289</v>
      </c>
      <c r="D46" s="249">
        <v>112</v>
      </c>
      <c r="E46" s="250" t="s">
        <v>355</v>
      </c>
      <c r="F46" s="254">
        <v>4850</v>
      </c>
      <c r="G46" s="252"/>
      <c r="H46" s="252">
        <v>10000</v>
      </c>
      <c r="I46" s="252"/>
      <c r="J46" s="3">
        <f t="shared" si="2"/>
        <v>0</v>
      </c>
      <c r="K46" s="27">
        <f t="shared" si="3"/>
        <v>0</v>
      </c>
    </row>
    <row r="47" spans="1:11" ht="24" customHeight="1" x14ac:dyDescent="0.25">
      <c r="A47" s="167" t="s">
        <v>50</v>
      </c>
      <c r="B47" s="332"/>
      <c r="C47" s="253" t="s">
        <v>290</v>
      </c>
      <c r="D47" s="249">
        <v>112</v>
      </c>
      <c r="E47" s="250" t="s">
        <v>355</v>
      </c>
      <c r="F47" s="254">
        <v>4850</v>
      </c>
      <c r="G47" s="252"/>
      <c r="H47" s="252">
        <v>10000</v>
      </c>
      <c r="I47" s="252"/>
      <c r="J47" s="3">
        <f t="shared" si="2"/>
        <v>0</v>
      </c>
      <c r="K47" s="27">
        <f t="shared" si="3"/>
        <v>0</v>
      </c>
    </row>
    <row r="48" spans="1:11" ht="24" customHeight="1" x14ac:dyDescent="0.25">
      <c r="A48" s="167" t="s">
        <v>51</v>
      </c>
      <c r="B48" s="332"/>
      <c r="C48" s="253" t="s">
        <v>291</v>
      </c>
      <c r="D48" s="249">
        <v>112</v>
      </c>
      <c r="E48" s="250" t="s">
        <v>355</v>
      </c>
      <c r="F48" s="254">
        <v>4850</v>
      </c>
      <c r="G48" s="252"/>
      <c r="H48" s="252">
        <v>10000</v>
      </c>
      <c r="I48" s="252"/>
      <c r="J48" s="3">
        <f t="shared" si="2"/>
        <v>0</v>
      </c>
      <c r="K48" s="27">
        <f t="shared" si="3"/>
        <v>0</v>
      </c>
    </row>
    <row r="49" spans="1:11" ht="24" customHeight="1" x14ac:dyDescent="0.25">
      <c r="A49" s="167" t="s">
        <v>52</v>
      </c>
      <c r="B49" s="332"/>
      <c r="C49" s="253" t="s">
        <v>292</v>
      </c>
      <c r="D49" s="249">
        <v>112</v>
      </c>
      <c r="E49" s="250" t="s">
        <v>355</v>
      </c>
      <c r="F49" s="254">
        <v>4850</v>
      </c>
      <c r="G49" s="252"/>
      <c r="H49" s="252">
        <v>10000</v>
      </c>
      <c r="I49" s="252"/>
      <c r="J49" s="3">
        <f t="shared" si="2"/>
        <v>0</v>
      </c>
      <c r="K49" s="27">
        <f t="shared" si="3"/>
        <v>0</v>
      </c>
    </row>
    <row r="50" spans="1:11" ht="24" customHeight="1" x14ac:dyDescent="0.25">
      <c r="A50" s="167" t="s">
        <v>53</v>
      </c>
      <c r="B50" s="332"/>
      <c r="C50" s="253" t="s">
        <v>565</v>
      </c>
      <c r="D50" s="249">
        <v>112</v>
      </c>
      <c r="E50" s="250" t="s">
        <v>355</v>
      </c>
      <c r="F50" s="254">
        <v>4850</v>
      </c>
      <c r="G50" s="252"/>
      <c r="H50" s="252">
        <v>10000</v>
      </c>
      <c r="I50" s="252"/>
      <c r="J50" s="3">
        <f t="shared" si="2"/>
        <v>0</v>
      </c>
      <c r="K50" s="27">
        <f t="shared" si="3"/>
        <v>0</v>
      </c>
    </row>
    <row r="51" spans="1:11" ht="24" customHeight="1" x14ac:dyDescent="0.25">
      <c r="A51" s="167" t="s">
        <v>54</v>
      </c>
      <c r="B51" s="332"/>
      <c r="C51" s="253" t="s">
        <v>566</v>
      </c>
      <c r="D51" s="249">
        <v>112</v>
      </c>
      <c r="E51" s="250" t="s">
        <v>355</v>
      </c>
      <c r="F51" s="254">
        <v>4850</v>
      </c>
      <c r="G51" s="252"/>
      <c r="H51" s="252">
        <v>10000</v>
      </c>
      <c r="I51" s="252"/>
      <c r="J51" s="3">
        <f t="shared" si="2"/>
        <v>0</v>
      </c>
      <c r="K51" s="27">
        <f t="shared" si="3"/>
        <v>0</v>
      </c>
    </row>
    <row r="52" spans="1:11" ht="24" customHeight="1" x14ac:dyDescent="0.25">
      <c r="A52" s="167" t="s">
        <v>55</v>
      </c>
      <c r="B52" s="332"/>
      <c r="C52" s="253" t="s">
        <v>567</v>
      </c>
      <c r="D52" s="249">
        <v>112</v>
      </c>
      <c r="E52" s="250" t="s">
        <v>355</v>
      </c>
      <c r="F52" s="254">
        <v>4850</v>
      </c>
      <c r="G52" s="252"/>
      <c r="H52" s="252">
        <v>10000</v>
      </c>
      <c r="I52" s="252"/>
      <c r="J52" s="3">
        <f t="shared" si="2"/>
        <v>0</v>
      </c>
      <c r="K52" s="27">
        <f t="shared" si="3"/>
        <v>0</v>
      </c>
    </row>
    <row r="53" spans="1:11" ht="24" customHeight="1" x14ac:dyDescent="0.25">
      <c r="A53" s="167" t="s">
        <v>56</v>
      </c>
      <c r="B53" s="332"/>
      <c r="C53" s="253" t="s">
        <v>568</v>
      </c>
      <c r="D53" s="249">
        <v>112</v>
      </c>
      <c r="E53" s="250" t="s">
        <v>355</v>
      </c>
      <c r="F53" s="254">
        <v>4850</v>
      </c>
      <c r="G53" s="252"/>
      <c r="H53" s="252">
        <v>10000</v>
      </c>
      <c r="I53" s="252"/>
      <c r="J53" s="3">
        <f t="shared" si="2"/>
        <v>0</v>
      </c>
      <c r="K53" s="27">
        <f t="shared" si="3"/>
        <v>0</v>
      </c>
    </row>
    <row r="54" spans="1:11" ht="24" customHeight="1" x14ac:dyDescent="0.25">
      <c r="A54" s="167" t="s">
        <v>57</v>
      </c>
      <c r="B54" s="333"/>
      <c r="C54" s="253" t="s">
        <v>569</v>
      </c>
      <c r="D54" s="249">
        <v>112</v>
      </c>
      <c r="E54" s="250" t="s">
        <v>355</v>
      </c>
      <c r="F54" s="254">
        <v>4850</v>
      </c>
      <c r="G54" s="252"/>
      <c r="H54" s="252">
        <v>10000</v>
      </c>
      <c r="I54" s="252"/>
      <c r="J54" s="3">
        <f t="shared" si="2"/>
        <v>0</v>
      </c>
      <c r="K54" s="27">
        <f t="shared" si="3"/>
        <v>0</v>
      </c>
    </row>
    <row r="55" spans="1:11" ht="24" customHeight="1" x14ac:dyDescent="0.25">
      <c r="A55" s="167" t="s">
        <v>58</v>
      </c>
      <c r="B55" s="329" t="s">
        <v>550</v>
      </c>
      <c r="C55" s="330"/>
      <c r="D55" s="249">
        <v>128</v>
      </c>
      <c r="E55" s="250" t="s">
        <v>355</v>
      </c>
      <c r="F55" s="254">
        <v>4850</v>
      </c>
      <c r="G55" s="252"/>
      <c r="H55" s="252">
        <v>10000</v>
      </c>
      <c r="I55" s="252"/>
      <c r="J55" s="3">
        <f t="shared" si="2"/>
        <v>0</v>
      </c>
      <c r="K55" s="27">
        <f t="shared" si="3"/>
        <v>0</v>
      </c>
    </row>
    <row r="56" spans="1:11" ht="24" customHeight="1" x14ac:dyDescent="0.25">
      <c r="A56" s="167" t="s">
        <v>59</v>
      </c>
      <c r="B56" s="326" t="s">
        <v>570</v>
      </c>
      <c r="C56" s="253" t="s">
        <v>298</v>
      </c>
      <c r="D56" s="249">
        <v>128</v>
      </c>
      <c r="E56" s="250" t="s">
        <v>355</v>
      </c>
      <c r="F56" s="254">
        <v>4850</v>
      </c>
      <c r="G56" s="252"/>
      <c r="H56" s="252">
        <v>10000</v>
      </c>
      <c r="I56" s="252"/>
      <c r="J56" s="3">
        <f t="shared" si="2"/>
        <v>0</v>
      </c>
      <c r="K56" s="27">
        <f t="shared" si="3"/>
        <v>0</v>
      </c>
    </row>
    <row r="57" spans="1:11" ht="24" customHeight="1" x14ac:dyDescent="0.25">
      <c r="A57" s="167" t="s">
        <v>60</v>
      </c>
      <c r="B57" s="327"/>
      <c r="C57" s="253" t="s">
        <v>299</v>
      </c>
      <c r="D57" s="249">
        <v>128</v>
      </c>
      <c r="E57" s="250" t="s">
        <v>355</v>
      </c>
      <c r="F57" s="254">
        <v>4850</v>
      </c>
      <c r="G57" s="252"/>
      <c r="H57" s="252">
        <v>10000</v>
      </c>
      <c r="I57" s="252"/>
      <c r="J57" s="3">
        <f t="shared" si="2"/>
        <v>0</v>
      </c>
      <c r="K57" s="27">
        <f t="shared" si="3"/>
        <v>0</v>
      </c>
    </row>
    <row r="58" spans="1:11" ht="24" customHeight="1" x14ac:dyDescent="0.25">
      <c r="A58" s="167" t="s">
        <v>61</v>
      </c>
      <c r="B58" s="327"/>
      <c r="C58" s="253" t="s">
        <v>300</v>
      </c>
      <c r="D58" s="249">
        <v>128</v>
      </c>
      <c r="E58" s="250" t="s">
        <v>355</v>
      </c>
      <c r="F58" s="254">
        <v>4850</v>
      </c>
      <c r="G58" s="252"/>
      <c r="H58" s="252">
        <v>10000</v>
      </c>
      <c r="I58" s="252"/>
      <c r="J58" s="3">
        <f t="shared" si="2"/>
        <v>0</v>
      </c>
      <c r="K58" s="27">
        <f t="shared" si="3"/>
        <v>0</v>
      </c>
    </row>
    <row r="59" spans="1:11" ht="24" customHeight="1" x14ac:dyDescent="0.25">
      <c r="A59" s="167" t="s">
        <v>62</v>
      </c>
      <c r="B59" s="327"/>
      <c r="C59" s="253" t="s">
        <v>301</v>
      </c>
      <c r="D59" s="249">
        <v>128</v>
      </c>
      <c r="E59" s="250" t="s">
        <v>355</v>
      </c>
      <c r="F59" s="254">
        <v>4850</v>
      </c>
      <c r="G59" s="252"/>
      <c r="H59" s="252">
        <v>10000</v>
      </c>
      <c r="I59" s="252"/>
      <c r="J59" s="3">
        <f t="shared" si="2"/>
        <v>0</v>
      </c>
      <c r="K59" s="27">
        <f t="shared" si="3"/>
        <v>0</v>
      </c>
    </row>
    <row r="60" spans="1:11" ht="24" customHeight="1" x14ac:dyDescent="0.25">
      <c r="A60" s="167" t="s">
        <v>63</v>
      </c>
      <c r="B60" s="334"/>
      <c r="C60" s="253" t="s">
        <v>297</v>
      </c>
      <c r="D60" s="249">
        <v>128</v>
      </c>
      <c r="E60" s="250" t="s">
        <v>355</v>
      </c>
      <c r="F60" s="254">
        <v>4850</v>
      </c>
      <c r="G60" s="252"/>
      <c r="H60" s="252">
        <v>10000</v>
      </c>
      <c r="I60" s="252"/>
      <c r="J60" s="3">
        <f t="shared" si="2"/>
        <v>0</v>
      </c>
      <c r="K60" s="27">
        <f t="shared" si="3"/>
        <v>0</v>
      </c>
    </row>
    <row r="61" spans="1:11" ht="24" customHeight="1" x14ac:dyDescent="0.25">
      <c r="A61" s="167" t="s">
        <v>64</v>
      </c>
      <c r="B61" s="329" t="s">
        <v>550</v>
      </c>
      <c r="C61" s="330"/>
      <c r="D61" s="249"/>
      <c r="E61" s="250" t="s">
        <v>355</v>
      </c>
      <c r="F61" s="254">
        <v>4850</v>
      </c>
      <c r="G61" s="252"/>
      <c r="H61" s="252">
        <v>10000</v>
      </c>
      <c r="I61" s="252"/>
      <c r="J61" s="3">
        <f t="shared" si="2"/>
        <v>0</v>
      </c>
      <c r="K61" s="27">
        <f t="shared" si="3"/>
        <v>0</v>
      </c>
    </row>
    <row r="62" spans="1:11" ht="24" customHeight="1" x14ac:dyDescent="0.25">
      <c r="A62" s="167" t="s">
        <v>65</v>
      </c>
      <c r="B62" s="326" t="s">
        <v>571</v>
      </c>
      <c r="C62" s="253" t="s">
        <v>572</v>
      </c>
      <c r="D62" s="249"/>
      <c r="E62" s="250" t="s">
        <v>355</v>
      </c>
      <c r="F62" s="254">
        <v>4850</v>
      </c>
      <c r="G62" s="252"/>
      <c r="H62" s="252">
        <v>10000</v>
      </c>
      <c r="I62" s="252"/>
      <c r="J62" s="3">
        <f t="shared" si="2"/>
        <v>0</v>
      </c>
      <c r="K62" s="27">
        <f t="shared" si="3"/>
        <v>0</v>
      </c>
    </row>
    <row r="63" spans="1:11" ht="24" customHeight="1" x14ac:dyDescent="0.25">
      <c r="A63" s="167" t="s">
        <v>66</v>
      </c>
      <c r="B63" s="327"/>
      <c r="C63" s="253" t="s">
        <v>306</v>
      </c>
      <c r="D63" s="249">
        <v>128</v>
      </c>
      <c r="E63" s="250" t="s">
        <v>355</v>
      </c>
      <c r="F63" s="254">
        <v>5150</v>
      </c>
      <c r="G63" s="252"/>
      <c r="H63" s="252">
        <v>10000</v>
      </c>
      <c r="I63" s="252"/>
      <c r="J63" s="3">
        <f t="shared" si="2"/>
        <v>0</v>
      </c>
      <c r="K63" s="27">
        <f t="shared" si="3"/>
        <v>0</v>
      </c>
    </row>
    <row r="64" spans="1:11" ht="24" customHeight="1" x14ac:dyDescent="0.25">
      <c r="A64" s="167" t="s">
        <v>73</v>
      </c>
      <c r="B64" s="327"/>
      <c r="C64" s="253" t="s">
        <v>307</v>
      </c>
      <c r="D64" s="249">
        <v>128</v>
      </c>
      <c r="E64" s="250" t="s">
        <v>355</v>
      </c>
      <c r="F64" s="254">
        <v>5150</v>
      </c>
      <c r="G64" s="252"/>
      <c r="H64" s="252">
        <v>10000</v>
      </c>
      <c r="I64" s="252"/>
      <c r="J64" s="3">
        <f t="shared" si="2"/>
        <v>0</v>
      </c>
      <c r="K64" s="27">
        <f t="shared" si="3"/>
        <v>0</v>
      </c>
    </row>
    <row r="65" spans="1:11" ht="24" customHeight="1" x14ac:dyDescent="0.25">
      <c r="A65" s="167" t="s">
        <v>74</v>
      </c>
      <c r="B65" s="327"/>
      <c r="C65" s="253" t="s">
        <v>308</v>
      </c>
      <c r="D65" s="249"/>
      <c r="E65" s="250" t="s">
        <v>355</v>
      </c>
      <c r="F65" s="254">
        <v>5150</v>
      </c>
      <c r="G65" s="252"/>
      <c r="H65" s="252">
        <v>10000</v>
      </c>
      <c r="I65" s="252"/>
      <c r="J65" s="3">
        <f t="shared" si="2"/>
        <v>0</v>
      </c>
      <c r="K65" s="27">
        <f t="shared" si="3"/>
        <v>0</v>
      </c>
    </row>
    <row r="66" spans="1:11" ht="24" customHeight="1" x14ac:dyDescent="0.25">
      <c r="A66" s="167" t="s">
        <v>75</v>
      </c>
      <c r="B66" s="327"/>
      <c r="C66" s="255" t="s">
        <v>309</v>
      </c>
      <c r="D66" s="249">
        <v>128</v>
      </c>
      <c r="E66" s="250" t="s">
        <v>355</v>
      </c>
      <c r="F66" s="254">
        <v>5150</v>
      </c>
      <c r="G66" s="252"/>
      <c r="H66" s="252">
        <v>10000</v>
      </c>
      <c r="I66" s="252"/>
      <c r="J66" s="3">
        <f t="shared" si="2"/>
        <v>0</v>
      </c>
      <c r="K66" s="27">
        <f t="shared" si="3"/>
        <v>0</v>
      </c>
    </row>
    <row r="67" spans="1:11" ht="24" customHeight="1" x14ac:dyDescent="0.25">
      <c r="A67" s="167" t="s">
        <v>83</v>
      </c>
      <c r="B67" s="328" t="s">
        <v>573</v>
      </c>
      <c r="C67" s="253" t="s">
        <v>574</v>
      </c>
      <c r="D67" s="249"/>
      <c r="E67" s="250" t="s">
        <v>355</v>
      </c>
      <c r="F67" s="254">
        <v>5150</v>
      </c>
      <c r="G67" s="252"/>
      <c r="H67" s="252">
        <v>10000</v>
      </c>
      <c r="I67" s="252"/>
      <c r="J67" s="3">
        <f t="shared" si="2"/>
        <v>0</v>
      </c>
      <c r="K67" s="27">
        <f t="shared" si="3"/>
        <v>0</v>
      </c>
    </row>
    <row r="68" spans="1:11" ht="24" customHeight="1" x14ac:dyDescent="0.25">
      <c r="A68" s="167" t="s">
        <v>84</v>
      </c>
      <c r="B68" s="328"/>
      <c r="C68" s="253" t="s">
        <v>575</v>
      </c>
      <c r="D68" s="249"/>
      <c r="E68" s="250" t="s">
        <v>355</v>
      </c>
      <c r="F68" s="254">
        <v>5150</v>
      </c>
      <c r="G68" s="252"/>
      <c r="H68" s="252">
        <v>10000</v>
      </c>
      <c r="I68" s="252"/>
      <c r="J68" s="3">
        <f t="shared" si="2"/>
        <v>0</v>
      </c>
      <c r="K68" s="27">
        <f t="shared" si="3"/>
        <v>0</v>
      </c>
    </row>
    <row r="69" spans="1:11" ht="24" customHeight="1" x14ac:dyDescent="0.25">
      <c r="A69" s="167" t="s">
        <v>85</v>
      </c>
      <c r="B69" s="328"/>
      <c r="C69" s="253" t="s">
        <v>576</v>
      </c>
      <c r="D69" s="249"/>
      <c r="E69" s="250" t="s">
        <v>355</v>
      </c>
      <c r="F69" s="254">
        <v>5150</v>
      </c>
      <c r="G69" s="252"/>
      <c r="H69" s="252">
        <v>10000</v>
      </c>
      <c r="I69" s="252"/>
      <c r="J69" s="3">
        <f t="shared" si="2"/>
        <v>0</v>
      </c>
      <c r="K69" s="27">
        <f t="shared" si="3"/>
        <v>0</v>
      </c>
    </row>
    <row r="70" spans="1:11" ht="24" customHeight="1" x14ac:dyDescent="0.25">
      <c r="A70" s="167" t="s">
        <v>111</v>
      </c>
      <c r="B70" s="328"/>
      <c r="C70" s="253" t="s">
        <v>577</v>
      </c>
      <c r="D70" s="249"/>
      <c r="E70" s="250" t="s">
        <v>355</v>
      </c>
      <c r="F70" s="254">
        <v>5150</v>
      </c>
      <c r="G70" s="252"/>
      <c r="H70" s="252">
        <v>10000</v>
      </c>
      <c r="I70" s="252"/>
      <c r="J70" s="3">
        <f t="shared" ref="J70:J71" si="4">F70*G70</f>
        <v>0</v>
      </c>
      <c r="K70" s="27">
        <f t="shared" ref="K70:K71" si="5">H70*I70</f>
        <v>0</v>
      </c>
    </row>
    <row r="71" spans="1:11" ht="24" customHeight="1" x14ac:dyDescent="0.25">
      <c r="A71" s="167" t="s">
        <v>112</v>
      </c>
      <c r="B71" s="328"/>
      <c r="C71" s="253" t="s">
        <v>578</v>
      </c>
      <c r="D71" s="249"/>
      <c r="E71" s="250" t="s">
        <v>355</v>
      </c>
      <c r="F71" s="254">
        <v>5150</v>
      </c>
      <c r="G71" s="252"/>
      <c r="H71" s="252">
        <v>10000</v>
      </c>
      <c r="I71" s="252"/>
      <c r="J71" s="3">
        <f t="shared" si="4"/>
        <v>0</v>
      </c>
      <c r="K71" s="27">
        <f t="shared" si="5"/>
        <v>0</v>
      </c>
    </row>
    <row r="72" spans="1:11" ht="25.5" customHeight="1" x14ac:dyDescent="0.25">
      <c r="A72" s="6"/>
      <c r="B72" s="6"/>
      <c r="C72" s="6"/>
      <c r="D72" s="10"/>
      <c r="G72" s="48">
        <f>SUM(G4:G71)</f>
        <v>0</v>
      </c>
      <c r="I72" s="48">
        <f>SUM(I4:I71)</f>
        <v>0</v>
      </c>
      <c r="J72" s="48">
        <f>SUM(J4:J71)</f>
        <v>0</v>
      </c>
      <c r="K72" s="48">
        <f>SUM(K4:K71)</f>
        <v>0</v>
      </c>
    </row>
    <row r="73" spans="1:11" x14ac:dyDescent="0.25">
      <c r="A73" s="6"/>
      <c r="B73" s="6"/>
      <c r="C73" s="6"/>
      <c r="D73" s="10"/>
    </row>
    <row r="74" spans="1:11" x14ac:dyDescent="0.25">
      <c r="A74" s="6"/>
      <c r="B74" s="6"/>
      <c r="C74" s="6"/>
      <c r="D74" s="10"/>
    </row>
    <row r="75" spans="1:11" x14ac:dyDescent="0.25">
      <c r="A75" s="6"/>
      <c r="B75" s="6"/>
      <c r="C75" s="6"/>
      <c r="D75" s="10"/>
    </row>
    <row r="76" spans="1:11" x14ac:dyDescent="0.25">
      <c r="A76" s="6"/>
      <c r="B76" s="6"/>
      <c r="C76" s="6"/>
      <c r="D76" s="10"/>
    </row>
    <row r="77" spans="1:11" x14ac:dyDescent="0.25">
      <c r="A77" s="6"/>
      <c r="B77" s="6"/>
      <c r="C77" s="6"/>
      <c r="D77" s="10"/>
    </row>
    <row r="78" spans="1:11" x14ac:dyDescent="0.25">
      <c r="A78" s="6"/>
      <c r="B78" s="6"/>
      <c r="C78" s="6"/>
      <c r="D78" s="10"/>
    </row>
    <row r="79" spans="1:11" x14ac:dyDescent="0.25">
      <c r="A79" s="6"/>
      <c r="B79" s="6"/>
      <c r="C79" s="6"/>
      <c r="D79" s="10"/>
    </row>
    <row r="80" spans="1:11" x14ac:dyDescent="0.25">
      <c r="A80" s="6"/>
      <c r="B80" s="6"/>
      <c r="C80" s="6"/>
      <c r="D80" s="10"/>
    </row>
    <row r="81" spans="1:4" x14ac:dyDescent="0.25">
      <c r="A81" s="6"/>
      <c r="B81" s="6"/>
      <c r="C81" s="6"/>
      <c r="D81" s="10"/>
    </row>
    <row r="82" spans="1:4" x14ac:dyDescent="0.25">
      <c r="A82" s="6"/>
      <c r="B82" s="6"/>
      <c r="C82" s="6"/>
      <c r="D82" s="10"/>
    </row>
    <row r="83" spans="1:4" x14ac:dyDescent="0.25">
      <c r="A83" s="6"/>
      <c r="B83" s="6"/>
      <c r="C83" s="6"/>
      <c r="D83" s="10"/>
    </row>
    <row r="84" spans="1:4" x14ac:dyDescent="0.25">
      <c r="A84" s="6"/>
      <c r="B84" s="6"/>
      <c r="C84" s="6"/>
      <c r="D84" s="10"/>
    </row>
    <row r="85" spans="1:4" x14ac:dyDescent="0.25">
      <c r="A85" s="6"/>
      <c r="B85" s="6"/>
      <c r="C85" s="6"/>
      <c r="D85" s="10"/>
    </row>
    <row r="86" spans="1:4" x14ac:dyDescent="0.25">
      <c r="A86" s="6"/>
      <c r="B86" s="6"/>
      <c r="C86" s="6"/>
      <c r="D86" s="10"/>
    </row>
    <row r="87" spans="1:4" x14ac:dyDescent="0.25">
      <c r="A87" s="6"/>
      <c r="B87" s="6"/>
      <c r="C87" s="6"/>
      <c r="D87" s="10"/>
    </row>
    <row r="88" spans="1:4" x14ac:dyDescent="0.25">
      <c r="A88" s="6"/>
      <c r="B88" s="6"/>
      <c r="C88" s="6"/>
      <c r="D88" s="10"/>
    </row>
    <row r="89" spans="1:4" x14ac:dyDescent="0.25">
      <c r="A89" s="6"/>
      <c r="B89" s="6"/>
      <c r="C89" s="6"/>
      <c r="D89" s="10"/>
    </row>
    <row r="90" spans="1:4" x14ac:dyDescent="0.25">
      <c r="A90" s="6"/>
      <c r="B90" s="6"/>
      <c r="C90" s="6"/>
      <c r="D90" s="10"/>
    </row>
    <row r="91" spans="1:4" x14ac:dyDescent="0.25">
      <c r="A91" s="6"/>
      <c r="B91" s="6"/>
      <c r="C91" s="6"/>
      <c r="D91" s="10"/>
    </row>
    <row r="92" spans="1:4" x14ac:dyDescent="0.25">
      <c r="A92" s="6"/>
      <c r="B92" s="6"/>
      <c r="C92" s="6"/>
      <c r="D92" s="10"/>
    </row>
    <row r="93" spans="1:4" x14ac:dyDescent="0.25">
      <c r="A93" s="6"/>
      <c r="B93" s="6"/>
      <c r="C93" s="6"/>
      <c r="D93" s="10"/>
    </row>
    <row r="94" spans="1:4" x14ac:dyDescent="0.25">
      <c r="A94" s="6"/>
      <c r="B94" s="6"/>
      <c r="C94" s="6"/>
      <c r="D94" s="10"/>
    </row>
    <row r="95" spans="1:4" x14ac:dyDescent="0.25">
      <c r="A95" s="6"/>
      <c r="B95" s="6"/>
      <c r="C95" s="6"/>
      <c r="D95" s="10"/>
    </row>
    <row r="96" spans="1:4" x14ac:dyDescent="0.25">
      <c r="A96"/>
      <c r="B96"/>
      <c r="C96"/>
      <c r="D96" s="10"/>
    </row>
    <row r="97" spans="1:4" x14ac:dyDescent="0.25">
      <c r="A97"/>
      <c r="B97"/>
      <c r="C97"/>
      <c r="D97" s="10"/>
    </row>
    <row r="98" spans="1:4" x14ac:dyDescent="0.25">
      <c r="A98" s="10"/>
      <c r="B98" s="10"/>
      <c r="C98" s="10"/>
      <c r="D98" s="10"/>
    </row>
    <row r="99" spans="1:4" x14ac:dyDescent="0.25">
      <c r="A99" s="10"/>
      <c r="B99" s="10"/>
      <c r="C99" s="10"/>
      <c r="D99" s="10"/>
    </row>
  </sheetData>
  <mergeCells count="17">
    <mergeCell ref="B4:C4"/>
    <mergeCell ref="B5:B9"/>
    <mergeCell ref="B10:B15"/>
    <mergeCell ref="B16:C16"/>
    <mergeCell ref="B17:B25"/>
    <mergeCell ref="B26:B32"/>
    <mergeCell ref="B33:C33"/>
    <mergeCell ref="B34:B37"/>
    <mergeCell ref="B38:C38"/>
    <mergeCell ref="B39:B43"/>
    <mergeCell ref="B62:B66"/>
    <mergeCell ref="B67:B71"/>
    <mergeCell ref="B44:C44"/>
    <mergeCell ref="B45:B54"/>
    <mergeCell ref="B55:C55"/>
    <mergeCell ref="B56:B60"/>
    <mergeCell ref="B61:C61"/>
  </mergeCells>
  <phoneticPr fontId="19" type="noConversion"/>
  <pageMargins left="0.7" right="0.7" top="0.33" bottom="0.16" header="0.3" footer="0.3"/>
  <pageSetup paperSize="9" scale="58" orientation="portrait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Q70"/>
  <sheetViews>
    <sheetView view="pageBreakPreview" zoomScale="90" zoomScaleSheetLayoutView="90" workbookViewId="0">
      <pane xSplit="6" ySplit="6" topLeftCell="G56" activePane="bottomRight" state="frozen"/>
      <selection pane="topRight" activeCell="G1" sqref="G1"/>
      <selection pane="bottomLeft" activeCell="A9" sqref="A9"/>
      <selection pane="bottomRight" activeCell="J6" sqref="J6:J69"/>
    </sheetView>
  </sheetViews>
  <sheetFormatPr defaultRowHeight="15" x14ac:dyDescent="0.25"/>
  <cols>
    <col min="1" max="1" width="6.7109375" customWidth="1"/>
    <col min="2" max="2" width="31.42578125" customWidth="1"/>
    <col min="3" max="3" width="7.28515625" customWidth="1"/>
    <col min="4" max="4" width="8.85546875" customWidth="1"/>
    <col min="5" max="5" width="6.5703125" customWidth="1"/>
    <col min="6" max="6" width="11.7109375" customWidth="1"/>
    <col min="7" max="9" width="14.140625" customWidth="1"/>
    <col min="10" max="10" width="13.28515625" customWidth="1"/>
    <col min="11" max="12" width="13.28515625" hidden="1" customWidth="1"/>
    <col min="13" max="14" width="13.28515625" customWidth="1"/>
    <col min="16" max="16" width="10.5703125" customWidth="1"/>
  </cols>
  <sheetData>
    <row r="1" spans="1:17" ht="19.5" x14ac:dyDescent="0.25">
      <c r="A1" s="11" t="s">
        <v>141</v>
      </c>
    </row>
    <row r="2" spans="1:17" ht="31.5" x14ac:dyDescent="0.55000000000000004">
      <c r="A2" s="43" t="str">
        <f>REKAP!A2</f>
        <v>Smt. 2 Tahun Ajaran 2026 - 2027</v>
      </c>
      <c r="G2" s="90" t="s">
        <v>244</v>
      </c>
    </row>
    <row r="3" spans="1:17" ht="9.75" customHeight="1" x14ac:dyDescent="0.25">
      <c r="A3" s="265" t="s">
        <v>583</v>
      </c>
      <c r="B3" s="266">
        <f>REKAP!$J$4</f>
        <v>0</v>
      </c>
    </row>
    <row r="4" spans="1:17" ht="15.75" x14ac:dyDescent="0.25">
      <c r="A4" s="312" t="s">
        <v>0</v>
      </c>
      <c r="B4" s="340" t="s">
        <v>140</v>
      </c>
      <c r="C4" s="312" t="s">
        <v>1</v>
      </c>
      <c r="D4" s="312" t="s">
        <v>104</v>
      </c>
      <c r="E4" s="312" t="s">
        <v>2</v>
      </c>
      <c r="F4" s="309" t="s">
        <v>3</v>
      </c>
      <c r="G4" s="309" t="s">
        <v>207</v>
      </c>
      <c r="H4" s="307" t="s">
        <v>212</v>
      </c>
      <c r="I4" s="307" t="s">
        <v>439</v>
      </c>
      <c r="J4" s="307" t="s">
        <v>208</v>
      </c>
      <c r="K4" s="8"/>
    </row>
    <row r="5" spans="1:17" ht="6" customHeight="1" x14ac:dyDescent="0.25">
      <c r="A5" s="313"/>
      <c r="B5" s="341"/>
      <c r="C5" s="313"/>
      <c r="D5" s="313"/>
      <c r="E5" s="313"/>
      <c r="F5" s="309"/>
      <c r="G5" s="309"/>
      <c r="H5" s="307"/>
      <c r="I5" s="307"/>
      <c r="J5" s="307"/>
      <c r="K5" s="8"/>
    </row>
    <row r="6" spans="1:17" ht="21.75" customHeight="1" x14ac:dyDescent="0.25">
      <c r="A6" s="20" t="s">
        <v>4</v>
      </c>
      <c r="B6" s="21" t="s">
        <v>90</v>
      </c>
      <c r="C6" s="22">
        <v>1</v>
      </c>
      <c r="D6" s="22" t="s">
        <v>91</v>
      </c>
      <c r="E6" s="22">
        <v>112</v>
      </c>
      <c r="F6" s="245">
        <v>4350</v>
      </c>
      <c r="G6" s="219"/>
      <c r="H6" s="246">
        <v>9000</v>
      </c>
      <c r="I6" s="246"/>
      <c r="J6" s="219"/>
      <c r="K6" s="70">
        <f>G6*F6</f>
        <v>0</v>
      </c>
      <c r="L6" s="70">
        <f>J6*H6</f>
        <v>0</v>
      </c>
    </row>
    <row r="7" spans="1:17" ht="21.75" customHeight="1" x14ac:dyDescent="0.25">
      <c r="A7" s="20" t="s">
        <v>6</v>
      </c>
      <c r="B7" s="21" t="s">
        <v>90</v>
      </c>
      <c r="C7" s="22">
        <v>2</v>
      </c>
      <c r="D7" s="22" t="s">
        <v>91</v>
      </c>
      <c r="E7" s="22">
        <v>112</v>
      </c>
      <c r="F7" s="245">
        <v>4350</v>
      </c>
      <c r="G7" s="219"/>
      <c r="H7" s="246">
        <v>9000</v>
      </c>
      <c r="I7" s="246"/>
      <c r="J7" s="219"/>
      <c r="K7" s="70">
        <f t="shared" ref="K7:K69" si="0">G7*F7</f>
        <v>0</v>
      </c>
      <c r="L7" s="70">
        <f t="shared" ref="L7:L69" si="1">J7*H7</f>
        <v>0</v>
      </c>
      <c r="M7" s="18"/>
      <c r="N7" s="31"/>
      <c r="O7" s="10"/>
      <c r="P7" s="10"/>
      <c r="Q7" s="10"/>
    </row>
    <row r="8" spans="1:17" ht="21.75" customHeight="1" x14ac:dyDescent="0.25">
      <c r="A8" s="20" t="s">
        <v>7</v>
      </c>
      <c r="B8" s="21" t="s">
        <v>90</v>
      </c>
      <c r="C8" s="22">
        <v>3</v>
      </c>
      <c r="D8" s="22" t="s">
        <v>91</v>
      </c>
      <c r="E8" s="22">
        <v>112</v>
      </c>
      <c r="F8" s="245">
        <v>4350</v>
      </c>
      <c r="G8" s="219"/>
      <c r="H8" s="246">
        <v>9000</v>
      </c>
      <c r="I8" s="246"/>
      <c r="J8" s="219"/>
      <c r="K8" s="70">
        <f t="shared" si="0"/>
        <v>0</v>
      </c>
      <c r="L8" s="70">
        <f t="shared" si="1"/>
        <v>0</v>
      </c>
      <c r="M8" s="6"/>
      <c r="N8" s="31"/>
      <c r="O8" s="10"/>
      <c r="P8" s="10"/>
      <c r="Q8" s="10"/>
    </row>
    <row r="9" spans="1:17" ht="21.75" customHeight="1" x14ac:dyDescent="0.25">
      <c r="A9" s="20" t="s">
        <v>8</v>
      </c>
      <c r="B9" s="21" t="s">
        <v>90</v>
      </c>
      <c r="C9" s="22">
        <v>4</v>
      </c>
      <c r="D9" s="22" t="s">
        <v>91</v>
      </c>
      <c r="E9" s="22">
        <v>112</v>
      </c>
      <c r="F9" s="245">
        <v>4350</v>
      </c>
      <c r="G9" s="219"/>
      <c r="H9" s="246">
        <v>9000</v>
      </c>
      <c r="I9" s="246"/>
      <c r="J9" s="219"/>
      <c r="K9" s="70">
        <f t="shared" si="0"/>
        <v>0</v>
      </c>
      <c r="L9" s="70">
        <f t="shared" si="1"/>
        <v>0</v>
      </c>
      <c r="M9" s="6"/>
      <c r="N9" s="19"/>
      <c r="O9" s="10"/>
      <c r="P9" s="10"/>
      <c r="Q9" s="10"/>
    </row>
    <row r="10" spans="1:17" ht="21.75" customHeight="1" x14ac:dyDescent="0.25">
      <c r="A10" s="20" t="s">
        <v>9</v>
      </c>
      <c r="B10" s="21" t="s">
        <v>90</v>
      </c>
      <c r="C10" s="22">
        <v>5</v>
      </c>
      <c r="D10" s="22" t="s">
        <v>91</v>
      </c>
      <c r="E10" s="22">
        <v>112</v>
      </c>
      <c r="F10" s="245">
        <v>4350</v>
      </c>
      <c r="G10" s="219"/>
      <c r="H10" s="246">
        <v>9000</v>
      </c>
      <c r="I10" s="246"/>
      <c r="J10" s="219"/>
      <c r="K10" s="70">
        <f t="shared" si="0"/>
        <v>0</v>
      </c>
      <c r="L10" s="70">
        <f t="shared" si="1"/>
        <v>0</v>
      </c>
      <c r="M10" s="32"/>
      <c r="N10" s="33"/>
      <c r="O10" s="10"/>
      <c r="P10" s="10"/>
      <c r="Q10" s="10"/>
    </row>
    <row r="11" spans="1:17" ht="21.75" customHeight="1" x14ac:dyDescent="0.25">
      <c r="A11" s="20" t="s">
        <v>10</v>
      </c>
      <c r="B11" s="21" t="s">
        <v>90</v>
      </c>
      <c r="C11" s="22">
        <v>6</v>
      </c>
      <c r="D11" s="22" t="s">
        <v>91</v>
      </c>
      <c r="E11" s="22">
        <v>112</v>
      </c>
      <c r="F11" s="245">
        <v>4350</v>
      </c>
      <c r="G11" s="219"/>
      <c r="H11" s="246">
        <v>9000</v>
      </c>
      <c r="I11" s="246"/>
      <c r="J11" s="219"/>
      <c r="K11" s="70">
        <f t="shared" si="0"/>
        <v>0</v>
      </c>
      <c r="L11" s="70">
        <f t="shared" si="1"/>
        <v>0</v>
      </c>
      <c r="M11" s="6"/>
      <c r="N11" s="19"/>
      <c r="O11" s="10"/>
      <c r="P11" s="10"/>
      <c r="Q11" s="10"/>
    </row>
    <row r="12" spans="1:17" ht="21.75" customHeight="1" x14ac:dyDescent="0.3">
      <c r="A12" s="20" t="s">
        <v>11</v>
      </c>
      <c r="B12" s="24" t="s">
        <v>92</v>
      </c>
      <c r="C12" s="25">
        <v>1</v>
      </c>
      <c r="D12" s="22" t="s">
        <v>91</v>
      </c>
      <c r="E12" s="22">
        <v>64</v>
      </c>
      <c r="F12" s="246">
        <v>3350</v>
      </c>
      <c r="G12" s="219"/>
      <c r="H12" s="246">
        <v>8000</v>
      </c>
      <c r="I12" s="246">
        <v>80</v>
      </c>
      <c r="J12" s="219"/>
      <c r="K12" s="70">
        <f t="shared" si="0"/>
        <v>0</v>
      </c>
      <c r="L12" s="70">
        <f t="shared" si="1"/>
        <v>0</v>
      </c>
      <c r="M12" s="6"/>
      <c r="N12" s="19"/>
      <c r="O12" s="10"/>
      <c r="P12" s="10"/>
      <c r="Q12" s="10"/>
    </row>
    <row r="13" spans="1:17" ht="21.75" customHeight="1" x14ac:dyDescent="0.3">
      <c r="A13" s="20" t="s">
        <v>12</v>
      </c>
      <c r="B13" s="24" t="s">
        <v>92</v>
      </c>
      <c r="C13" s="25">
        <v>2</v>
      </c>
      <c r="D13" s="22" t="s">
        <v>91</v>
      </c>
      <c r="E13" s="22">
        <v>64</v>
      </c>
      <c r="F13" s="246">
        <v>3350</v>
      </c>
      <c r="G13" s="219"/>
      <c r="H13" s="246">
        <v>8000</v>
      </c>
      <c r="I13" s="246">
        <v>80</v>
      </c>
      <c r="J13" s="219"/>
      <c r="K13" s="70">
        <f t="shared" si="0"/>
        <v>0</v>
      </c>
      <c r="L13" s="70">
        <f t="shared" si="1"/>
        <v>0</v>
      </c>
      <c r="M13" s="6"/>
      <c r="N13" s="19"/>
      <c r="O13" s="10"/>
      <c r="P13" s="10"/>
      <c r="Q13" s="10"/>
    </row>
    <row r="14" spans="1:17" ht="21.75" customHeight="1" x14ac:dyDescent="0.3">
      <c r="A14" s="20" t="s">
        <v>13</v>
      </c>
      <c r="B14" s="24" t="s">
        <v>92</v>
      </c>
      <c r="C14" s="25">
        <v>3</v>
      </c>
      <c r="D14" s="22" t="s">
        <v>91</v>
      </c>
      <c r="E14" s="22">
        <v>64</v>
      </c>
      <c r="F14" s="246">
        <v>3350</v>
      </c>
      <c r="G14" s="219"/>
      <c r="H14" s="246">
        <v>8000</v>
      </c>
      <c r="I14" s="246">
        <v>96</v>
      </c>
      <c r="J14" s="219"/>
      <c r="K14" s="70">
        <f t="shared" si="0"/>
        <v>0</v>
      </c>
      <c r="L14" s="70">
        <f t="shared" si="1"/>
        <v>0</v>
      </c>
      <c r="O14" s="10"/>
      <c r="P14" s="10"/>
      <c r="Q14" s="10"/>
    </row>
    <row r="15" spans="1:17" ht="21.75" customHeight="1" x14ac:dyDescent="0.3">
      <c r="A15" s="20" t="s">
        <v>14</v>
      </c>
      <c r="B15" s="24" t="s">
        <v>92</v>
      </c>
      <c r="C15" s="25">
        <v>4</v>
      </c>
      <c r="D15" s="22" t="s">
        <v>91</v>
      </c>
      <c r="E15" s="22">
        <v>64</v>
      </c>
      <c r="F15" s="246">
        <v>3350</v>
      </c>
      <c r="G15" s="219"/>
      <c r="H15" s="246">
        <v>8000</v>
      </c>
      <c r="I15" s="246">
        <v>96</v>
      </c>
      <c r="J15" s="219"/>
      <c r="K15" s="70">
        <f t="shared" si="0"/>
        <v>0</v>
      </c>
      <c r="L15" s="70">
        <f t="shared" si="1"/>
        <v>0</v>
      </c>
      <c r="Q15" s="10"/>
    </row>
    <row r="16" spans="1:17" ht="21.75" customHeight="1" x14ac:dyDescent="0.3">
      <c r="A16" s="20" t="s">
        <v>15</v>
      </c>
      <c r="B16" s="24" t="s">
        <v>92</v>
      </c>
      <c r="C16" s="25">
        <v>5</v>
      </c>
      <c r="D16" s="22" t="s">
        <v>91</v>
      </c>
      <c r="E16" s="22">
        <v>64</v>
      </c>
      <c r="F16" s="246">
        <v>3350</v>
      </c>
      <c r="G16" s="219"/>
      <c r="H16" s="246">
        <v>8000</v>
      </c>
      <c r="I16" s="246">
        <v>80</v>
      </c>
      <c r="J16" s="219"/>
      <c r="K16" s="70">
        <f t="shared" si="0"/>
        <v>0</v>
      </c>
      <c r="L16" s="70">
        <f t="shared" si="1"/>
        <v>0</v>
      </c>
      <c r="M16" s="10"/>
      <c r="N16" s="10"/>
      <c r="O16" s="10"/>
      <c r="P16" s="10"/>
      <c r="Q16" s="10"/>
    </row>
    <row r="17" spans="1:12" ht="21.75" customHeight="1" x14ac:dyDescent="0.3">
      <c r="A17" s="20" t="s">
        <v>16</v>
      </c>
      <c r="B17" s="24" t="s">
        <v>92</v>
      </c>
      <c r="C17" s="25">
        <v>6</v>
      </c>
      <c r="D17" s="22" t="s">
        <v>91</v>
      </c>
      <c r="E17" s="22">
        <v>64</v>
      </c>
      <c r="F17" s="246">
        <v>3350</v>
      </c>
      <c r="G17" s="219"/>
      <c r="H17" s="246">
        <v>8000</v>
      </c>
      <c r="I17" s="246">
        <v>96</v>
      </c>
      <c r="J17" s="219"/>
      <c r="K17" s="70">
        <f t="shared" si="0"/>
        <v>0</v>
      </c>
      <c r="L17" s="70">
        <f t="shared" si="1"/>
        <v>0</v>
      </c>
    </row>
    <row r="18" spans="1:12" ht="21.75" customHeight="1" x14ac:dyDescent="0.3">
      <c r="A18" s="20" t="s">
        <v>17</v>
      </c>
      <c r="B18" s="24" t="s">
        <v>93</v>
      </c>
      <c r="C18" s="25">
        <v>1</v>
      </c>
      <c r="D18" s="22" t="s">
        <v>91</v>
      </c>
      <c r="E18" s="22">
        <v>64</v>
      </c>
      <c r="F18" s="246">
        <v>3350</v>
      </c>
      <c r="G18" s="219"/>
      <c r="H18" s="246">
        <v>8000</v>
      </c>
      <c r="I18" s="246">
        <v>80</v>
      </c>
      <c r="J18" s="219"/>
      <c r="K18" s="70">
        <f t="shared" si="0"/>
        <v>0</v>
      </c>
      <c r="L18" s="70">
        <f t="shared" si="1"/>
        <v>0</v>
      </c>
    </row>
    <row r="19" spans="1:12" ht="21.75" customHeight="1" x14ac:dyDescent="0.3">
      <c r="A19" s="20" t="s">
        <v>19</v>
      </c>
      <c r="B19" s="24" t="s">
        <v>93</v>
      </c>
      <c r="C19" s="25">
        <v>2</v>
      </c>
      <c r="D19" s="22" t="s">
        <v>91</v>
      </c>
      <c r="E19" s="22">
        <v>64</v>
      </c>
      <c r="F19" s="246">
        <v>3350</v>
      </c>
      <c r="G19" s="219"/>
      <c r="H19" s="246">
        <v>8000</v>
      </c>
      <c r="I19" s="246">
        <v>80</v>
      </c>
      <c r="J19" s="219"/>
      <c r="K19" s="70">
        <f t="shared" si="0"/>
        <v>0</v>
      </c>
      <c r="L19" s="70">
        <f t="shared" si="1"/>
        <v>0</v>
      </c>
    </row>
    <row r="20" spans="1:12" ht="21.75" customHeight="1" x14ac:dyDescent="0.3">
      <c r="A20" s="20" t="s">
        <v>20</v>
      </c>
      <c r="B20" s="24" t="s">
        <v>93</v>
      </c>
      <c r="C20" s="25">
        <v>3</v>
      </c>
      <c r="D20" s="22" t="s">
        <v>91</v>
      </c>
      <c r="E20" s="22">
        <v>64</v>
      </c>
      <c r="F20" s="246">
        <v>3350</v>
      </c>
      <c r="G20" s="219"/>
      <c r="H20" s="246">
        <v>8000</v>
      </c>
      <c r="I20" s="246">
        <v>80</v>
      </c>
      <c r="J20" s="219"/>
      <c r="K20" s="70">
        <f t="shared" si="0"/>
        <v>0</v>
      </c>
      <c r="L20" s="70">
        <f t="shared" si="1"/>
        <v>0</v>
      </c>
    </row>
    <row r="21" spans="1:12" ht="21.75" customHeight="1" x14ac:dyDescent="0.3">
      <c r="A21" s="20" t="s">
        <v>21</v>
      </c>
      <c r="B21" s="24" t="s">
        <v>93</v>
      </c>
      <c r="C21" s="25">
        <v>4</v>
      </c>
      <c r="D21" s="22" t="s">
        <v>91</v>
      </c>
      <c r="E21" s="22">
        <v>64</v>
      </c>
      <c r="F21" s="246">
        <v>3350</v>
      </c>
      <c r="G21" s="219"/>
      <c r="H21" s="246">
        <v>8000</v>
      </c>
      <c r="I21" s="246">
        <v>80</v>
      </c>
      <c r="J21" s="219"/>
      <c r="K21" s="70">
        <f t="shared" si="0"/>
        <v>0</v>
      </c>
      <c r="L21" s="70">
        <f t="shared" si="1"/>
        <v>0</v>
      </c>
    </row>
    <row r="22" spans="1:12" ht="21.75" customHeight="1" x14ac:dyDescent="0.3">
      <c r="A22" s="20" t="s">
        <v>22</v>
      </c>
      <c r="B22" s="24" t="s">
        <v>93</v>
      </c>
      <c r="C22" s="25">
        <v>5</v>
      </c>
      <c r="D22" s="22" t="s">
        <v>91</v>
      </c>
      <c r="E22" s="22">
        <v>64</v>
      </c>
      <c r="F22" s="246">
        <v>3350</v>
      </c>
      <c r="G22" s="219"/>
      <c r="H22" s="246">
        <v>8000</v>
      </c>
      <c r="I22" s="246">
        <v>96</v>
      </c>
      <c r="J22" s="219"/>
      <c r="K22" s="70">
        <f t="shared" si="0"/>
        <v>0</v>
      </c>
      <c r="L22" s="70">
        <f t="shared" si="1"/>
        <v>0</v>
      </c>
    </row>
    <row r="23" spans="1:12" ht="21.75" customHeight="1" x14ac:dyDescent="0.3">
      <c r="A23" s="20" t="s">
        <v>23</v>
      </c>
      <c r="B23" s="24" t="s">
        <v>93</v>
      </c>
      <c r="C23" s="25">
        <v>6</v>
      </c>
      <c r="D23" s="22" t="s">
        <v>91</v>
      </c>
      <c r="E23" s="22">
        <v>64</v>
      </c>
      <c r="F23" s="246">
        <v>3350</v>
      </c>
      <c r="G23" s="219"/>
      <c r="H23" s="246">
        <v>8000</v>
      </c>
      <c r="I23" s="246">
        <v>80</v>
      </c>
      <c r="J23" s="219"/>
      <c r="K23" s="70">
        <f t="shared" si="0"/>
        <v>0</v>
      </c>
      <c r="L23" s="70">
        <f t="shared" si="1"/>
        <v>0</v>
      </c>
    </row>
    <row r="24" spans="1:12" ht="21.75" customHeight="1" x14ac:dyDescent="0.3">
      <c r="A24" s="20" t="s">
        <v>24</v>
      </c>
      <c r="B24" s="24" t="s">
        <v>94</v>
      </c>
      <c r="C24" s="25">
        <v>1</v>
      </c>
      <c r="D24" s="22" t="s">
        <v>91</v>
      </c>
      <c r="E24" s="22">
        <v>64</v>
      </c>
      <c r="F24" s="246">
        <v>3350</v>
      </c>
      <c r="G24" s="219"/>
      <c r="H24" s="246">
        <v>8000</v>
      </c>
      <c r="I24" s="246">
        <v>96</v>
      </c>
      <c r="J24" s="219"/>
      <c r="K24" s="70">
        <f t="shared" si="0"/>
        <v>0</v>
      </c>
      <c r="L24" s="70">
        <f t="shared" si="1"/>
        <v>0</v>
      </c>
    </row>
    <row r="25" spans="1:12" ht="21.75" customHeight="1" x14ac:dyDescent="0.3">
      <c r="A25" s="20" t="s">
        <v>25</v>
      </c>
      <c r="B25" s="24" t="s">
        <v>94</v>
      </c>
      <c r="C25" s="25">
        <v>2</v>
      </c>
      <c r="D25" s="22" t="s">
        <v>91</v>
      </c>
      <c r="E25" s="22">
        <v>64</v>
      </c>
      <c r="F25" s="246">
        <v>3350</v>
      </c>
      <c r="G25" s="219"/>
      <c r="H25" s="246">
        <v>8000</v>
      </c>
      <c r="I25" s="246">
        <v>96</v>
      </c>
      <c r="J25" s="219"/>
      <c r="K25" s="70">
        <f t="shared" si="0"/>
        <v>0</v>
      </c>
      <c r="L25" s="70">
        <f t="shared" si="1"/>
        <v>0</v>
      </c>
    </row>
    <row r="26" spans="1:12" ht="21.75" customHeight="1" x14ac:dyDescent="0.3">
      <c r="A26" s="20" t="s">
        <v>26</v>
      </c>
      <c r="B26" s="24" t="s">
        <v>94</v>
      </c>
      <c r="C26" s="25">
        <v>3</v>
      </c>
      <c r="D26" s="22" t="s">
        <v>91</v>
      </c>
      <c r="E26" s="22">
        <v>64</v>
      </c>
      <c r="F26" s="246">
        <v>3350</v>
      </c>
      <c r="G26" s="219"/>
      <c r="H26" s="246">
        <v>8000</v>
      </c>
      <c r="I26" s="246">
        <v>80</v>
      </c>
      <c r="J26" s="219"/>
      <c r="K26" s="70">
        <f t="shared" si="0"/>
        <v>0</v>
      </c>
      <c r="L26" s="70">
        <f t="shared" si="1"/>
        <v>0</v>
      </c>
    </row>
    <row r="27" spans="1:12" ht="21.75" customHeight="1" x14ac:dyDescent="0.3">
      <c r="A27" s="20" t="s">
        <v>27</v>
      </c>
      <c r="B27" s="24" t="s">
        <v>94</v>
      </c>
      <c r="C27" s="25">
        <v>4</v>
      </c>
      <c r="D27" s="22" t="s">
        <v>91</v>
      </c>
      <c r="E27" s="22">
        <v>64</v>
      </c>
      <c r="F27" s="246">
        <v>3350</v>
      </c>
      <c r="G27" s="219"/>
      <c r="H27" s="246">
        <v>8000</v>
      </c>
      <c r="I27" s="246">
        <v>80</v>
      </c>
      <c r="J27" s="219"/>
      <c r="K27" s="70">
        <f t="shared" si="0"/>
        <v>0</v>
      </c>
      <c r="L27" s="70">
        <f t="shared" si="1"/>
        <v>0</v>
      </c>
    </row>
    <row r="28" spans="1:12" ht="21.75" customHeight="1" x14ac:dyDescent="0.3">
      <c r="A28" s="20" t="s">
        <v>28</v>
      </c>
      <c r="B28" s="24" t="s">
        <v>94</v>
      </c>
      <c r="C28" s="25">
        <v>5</v>
      </c>
      <c r="D28" s="22" t="s">
        <v>91</v>
      </c>
      <c r="E28" s="22">
        <v>64</v>
      </c>
      <c r="F28" s="246">
        <v>3350</v>
      </c>
      <c r="G28" s="219"/>
      <c r="H28" s="246">
        <v>8000</v>
      </c>
      <c r="I28" s="246">
        <v>96</v>
      </c>
      <c r="J28" s="219"/>
      <c r="K28" s="70">
        <f t="shared" si="0"/>
        <v>0</v>
      </c>
      <c r="L28" s="70">
        <f t="shared" si="1"/>
        <v>0</v>
      </c>
    </row>
    <row r="29" spans="1:12" ht="21.75" customHeight="1" x14ac:dyDescent="0.3">
      <c r="A29" s="20" t="s">
        <v>29</v>
      </c>
      <c r="B29" s="24" t="s">
        <v>94</v>
      </c>
      <c r="C29" s="25">
        <v>6</v>
      </c>
      <c r="D29" s="22" t="s">
        <v>91</v>
      </c>
      <c r="E29" s="22">
        <v>64</v>
      </c>
      <c r="F29" s="246">
        <v>3350</v>
      </c>
      <c r="G29" s="219"/>
      <c r="H29" s="246">
        <v>8000</v>
      </c>
      <c r="I29" s="246">
        <v>96</v>
      </c>
      <c r="J29" s="219"/>
      <c r="K29" s="70">
        <f t="shared" si="0"/>
        <v>0</v>
      </c>
      <c r="L29" s="70">
        <f t="shared" si="1"/>
        <v>0</v>
      </c>
    </row>
    <row r="30" spans="1:12" ht="21.75" customHeight="1" x14ac:dyDescent="0.3">
      <c r="A30" s="20" t="s">
        <v>30</v>
      </c>
      <c r="B30" s="24" t="s">
        <v>95</v>
      </c>
      <c r="C30" s="25">
        <v>3</v>
      </c>
      <c r="D30" s="22" t="s">
        <v>91</v>
      </c>
      <c r="E30" s="22">
        <v>64</v>
      </c>
      <c r="F30" s="246">
        <v>3350</v>
      </c>
      <c r="G30" s="219"/>
      <c r="H30" s="246">
        <v>8000</v>
      </c>
      <c r="I30" s="246">
        <v>96</v>
      </c>
      <c r="J30" s="219"/>
      <c r="K30" s="70">
        <f t="shared" si="0"/>
        <v>0</v>
      </c>
      <c r="L30" s="70">
        <f t="shared" si="1"/>
        <v>0</v>
      </c>
    </row>
    <row r="31" spans="1:12" ht="21.75" customHeight="1" x14ac:dyDescent="0.3">
      <c r="A31" s="20" t="s">
        <v>31</v>
      </c>
      <c r="B31" s="24" t="s">
        <v>95</v>
      </c>
      <c r="C31" s="25">
        <v>4</v>
      </c>
      <c r="D31" s="22" t="s">
        <v>91</v>
      </c>
      <c r="E31" s="22">
        <v>64</v>
      </c>
      <c r="F31" s="246">
        <v>3350</v>
      </c>
      <c r="G31" s="219"/>
      <c r="H31" s="246">
        <v>8000</v>
      </c>
      <c r="I31" s="246">
        <v>80</v>
      </c>
      <c r="J31" s="219"/>
      <c r="K31" s="70">
        <f t="shared" si="0"/>
        <v>0</v>
      </c>
      <c r="L31" s="70">
        <f t="shared" si="1"/>
        <v>0</v>
      </c>
    </row>
    <row r="32" spans="1:12" ht="21.75" customHeight="1" x14ac:dyDescent="0.3">
      <c r="A32" s="20" t="s">
        <v>32</v>
      </c>
      <c r="B32" s="24" t="s">
        <v>95</v>
      </c>
      <c r="C32" s="25">
        <v>5</v>
      </c>
      <c r="D32" s="22" t="s">
        <v>91</v>
      </c>
      <c r="E32" s="22">
        <v>64</v>
      </c>
      <c r="F32" s="246">
        <v>3350</v>
      </c>
      <c r="G32" s="219"/>
      <c r="H32" s="246">
        <v>8000</v>
      </c>
      <c r="I32" s="246">
        <v>80</v>
      </c>
      <c r="J32" s="219"/>
      <c r="K32" s="70">
        <f t="shared" si="0"/>
        <v>0</v>
      </c>
      <c r="L32" s="70">
        <f t="shared" si="1"/>
        <v>0</v>
      </c>
    </row>
    <row r="33" spans="1:12" ht="21.75" customHeight="1" x14ac:dyDescent="0.3">
      <c r="A33" s="20" t="s">
        <v>33</v>
      </c>
      <c r="B33" s="24" t="s">
        <v>95</v>
      </c>
      <c r="C33" s="25">
        <v>6</v>
      </c>
      <c r="D33" s="22" t="s">
        <v>91</v>
      </c>
      <c r="E33" s="22">
        <v>64</v>
      </c>
      <c r="F33" s="246">
        <v>3350</v>
      </c>
      <c r="G33" s="219"/>
      <c r="H33" s="246">
        <v>8000</v>
      </c>
      <c r="I33" s="246">
        <v>96</v>
      </c>
      <c r="J33" s="219"/>
      <c r="K33" s="70">
        <f t="shared" si="0"/>
        <v>0</v>
      </c>
      <c r="L33" s="70">
        <f t="shared" si="1"/>
        <v>0</v>
      </c>
    </row>
    <row r="34" spans="1:12" ht="21.75" customHeight="1" x14ac:dyDescent="0.3">
      <c r="A34" s="20" t="s">
        <v>34</v>
      </c>
      <c r="B34" s="24" t="s">
        <v>96</v>
      </c>
      <c r="C34" s="25">
        <v>1</v>
      </c>
      <c r="D34" s="22" t="s">
        <v>91</v>
      </c>
      <c r="E34" s="22">
        <v>64</v>
      </c>
      <c r="F34" s="246">
        <v>3350</v>
      </c>
      <c r="G34" s="219"/>
      <c r="H34" s="246">
        <v>8000</v>
      </c>
      <c r="I34" s="246">
        <v>80</v>
      </c>
      <c r="J34" s="219"/>
      <c r="K34" s="70">
        <f t="shared" si="0"/>
        <v>0</v>
      </c>
      <c r="L34" s="70">
        <f t="shared" si="1"/>
        <v>0</v>
      </c>
    </row>
    <row r="35" spans="1:12" ht="21.75" customHeight="1" x14ac:dyDescent="0.3">
      <c r="A35" s="20" t="s">
        <v>35</v>
      </c>
      <c r="B35" s="24" t="s">
        <v>96</v>
      </c>
      <c r="C35" s="25">
        <v>2</v>
      </c>
      <c r="D35" s="22" t="s">
        <v>91</v>
      </c>
      <c r="E35" s="22">
        <v>64</v>
      </c>
      <c r="F35" s="246">
        <v>3350</v>
      </c>
      <c r="G35" s="219"/>
      <c r="H35" s="246">
        <v>8000</v>
      </c>
      <c r="I35" s="246">
        <v>80</v>
      </c>
      <c r="J35" s="219"/>
      <c r="K35" s="70">
        <f t="shared" si="0"/>
        <v>0</v>
      </c>
      <c r="L35" s="70">
        <f t="shared" si="1"/>
        <v>0</v>
      </c>
    </row>
    <row r="36" spans="1:12" ht="21.75" customHeight="1" x14ac:dyDescent="0.3">
      <c r="A36" s="20" t="s">
        <v>36</v>
      </c>
      <c r="B36" s="24" t="s">
        <v>96</v>
      </c>
      <c r="C36" s="25">
        <v>3</v>
      </c>
      <c r="D36" s="22" t="s">
        <v>91</v>
      </c>
      <c r="E36" s="22">
        <v>64</v>
      </c>
      <c r="F36" s="246">
        <v>3350</v>
      </c>
      <c r="G36" s="219"/>
      <c r="H36" s="246">
        <v>8000</v>
      </c>
      <c r="I36" s="246">
        <v>80</v>
      </c>
      <c r="J36" s="219"/>
      <c r="K36" s="70">
        <f t="shared" si="0"/>
        <v>0</v>
      </c>
      <c r="L36" s="70">
        <f t="shared" si="1"/>
        <v>0</v>
      </c>
    </row>
    <row r="37" spans="1:12" ht="21.75" customHeight="1" x14ac:dyDescent="0.3">
      <c r="A37" s="20" t="s">
        <v>37</v>
      </c>
      <c r="B37" s="24" t="s">
        <v>96</v>
      </c>
      <c r="C37" s="25">
        <v>4</v>
      </c>
      <c r="D37" s="22" t="s">
        <v>91</v>
      </c>
      <c r="E37" s="22">
        <v>64</v>
      </c>
      <c r="F37" s="246">
        <v>3350</v>
      </c>
      <c r="G37" s="219"/>
      <c r="H37" s="246">
        <v>8000</v>
      </c>
      <c r="I37" s="246">
        <v>96</v>
      </c>
      <c r="J37" s="219"/>
      <c r="K37" s="70">
        <f t="shared" si="0"/>
        <v>0</v>
      </c>
      <c r="L37" s="70">
        <f t="shared" si="1"/>
        <v>0</v>
      </c>
    </row>
    <row r="38" spans="1:12" ht="21.75" customHeight="1" x14ac:dyDescent="0.3">
      <c r="A38" s="20" t="s">
        <v>38</v>
      </c>
      <c r="B38" s="24" t="s">
        <v>96</v>
      </c>
      <c r="C38" s="25">
        <v>5</v>
      </c>
      <c r="D38" s="22" t="s">
        <v>91</v>
      </c>
      <c r="E38" s="22">
        <v>64</v>
      </c>
      <c r="F38" s="246">
        <v>3350</v>
      </c>
      <c r="G38" s="219"/>
      <c r="H38" s="246">
        <v>8000</v>
      </c>
      <c r="I38" s="246">
        <v>80</v>
      </c>
      <c r="J38" s="219"/>
      <c r="K38" s="70">
        <f t="shared" si="0"/>
        <v>0</v>
      </c>
      <c r="L38" s="70">
        <f t="shared" si="1"/>
        <v>0</v>
      </c>
    </row>
    <row r="39" spans="1:12" ht="21.75" customHeight="1" x14ac:dyDescent="0.3">
      <c r="A39" s="20" t="s">
        <v>39</v>
      </c>
      <c r="B39" s="24" t="s">
        <v>96</v>
      </c>
      <c r="C39" s="25">
        <v>6</v>
      </c>
      <c r="D39" s="22" t="s">
        <v>91</v>
      </c>
      <c r="E39" s="22">
        <v>64</v>
      </c>
      <c r="F39" s="246">
        <v>3350</v>
      </c>
      <c r="G39" s="219"/>
      <c r="H39" s="246">
        <v>8000</v>
      </c>
      <c r="I39" s="246">
        <v>80</v>
      </c>
      <c r="J39" s="219"/>
      <c r="K39" s="70">
        <f t="shared" si="0"/>
        <v>0</v>
      </c>
      <c r="L39" s="70">
        <f t="shared" si="1"/>
        <v>0</v>
      </c>
    </row>
    <row r="40" spans="1:12" ht="21.75" customHeight="1" x14ac:dyDescent="0.25">
      <c r="A40" s="20" t="s">
        <v>40</v>
      </c>
      <c r="B40" s="21" t="s">
        <v>97</v>
      </c>
      <c r="C40" s="22">
        <v>7</v>
      </c>
      <c r="D40" s="22" t="s">
        <v>98</v>
      </c>
      <c r="E40" s="22">
        <v>64</v>
      </c>
      <c r="F40" s="245">
        <v>3350</v>
      </c>
      <c r="G40" s="219"/>
      <c r="H40" s="246">
        <v>8000</v>
      </c>
      <c r="I40" s="246">
        <v>96</v>
      </c>
      <c r="J40" s="219"/>
      <c r="K40" s="70">
        <f t="shared" si="0"/>
        <v>0</v>
      </c>
      <c r="L40" s="70">
        <f t="shared" si="1"/>
        <v>0</v>
      </c>
    </row>
    <row r="41" spans="1:12" ht="21.75" customHeight="1" x14ac:dyDescent="0.25">
      <c r="A41" s="20" t="s">
        <v>41</v>
      </c>
      <c r="B41" s="21" t="s">
        <v>97</v>
      </c>
      <c r="C41" s="22">
        <v>8</v>
      </c>
      <c r="D41" s="22" t="s">
        <v>98</v>
      </c>
      <c r="E41" s="22">
        <v>64</v>
      </c>
      <c r="F41" s="245">
        <v>3350</v>
      </c>
      <c r="G41" s="219"/>
      <c r="H41" s="246">
        <v>8000</v>
      </c>
      <c r="I41" s="246">
        <v>96</v>
      </c>
      <c r="J41" s="219"/>
      <c r="K41" s="70">
        <f t="shared" si="0"/>
        <v>0</v>
      </c>
      <c r="L41" s="70">
        <f t="shared" si="1"/>
        <v>0</v>
      </c>
    </row>
    <row r="42" spans="1:12" ht="21.75" customHeight="1" x14ac:dyDescent="0.25">
      <c r="A42" s="20" t="s">
        <v>42</v>
      </c>
      <c r="B42" s="21" t="s">
        <v>97</v>
      </c>
      <c r="C42" s="22">
        <v>9</v>
      </c>
      <c r="D42" s="22" t="s">
        <v>98</v>
      </c>
      <c r="E42" s="22">
        <v>64</v>
      </c>
      <c r="F42" s="245">
        <v>3350</v>
      </c>
      <c r="G42" s="219"/>
      <c r="H42" s="246">
        <v>8000</v>
      </c>
      <c r="I42" s="246">
        <v>96</v>
      </c>
      <c r="J42" s="219"/>
      <c r="K42" s="70">
        <f t="shared" si="0"/>
        <v>0</v>
      </c>
      <c r="L42" s="70">
        <f t="shared" si="1"/>
        <v>0</v>
      </c>
    </row>
    <row r="43" spans="1:12" ht="21.75" customHeight="1" x14ac:dyDescent="0.25">
      <c r="A43" s="20" t="s">
        <v>44</v>
      </c>
      <c r="B43" s="21" t="s">
        <v>99</v>
      </c>
      <c r="C43" s="22">
        <v>7</v>
      </c>
      <c r="D43" s="22" t="s">
        <v>98</v>
      </c>
      <c r="E43" s="22">
        <v>64</v>
      </c>
      <c r="F43" s="245">
        <v>3350</v>
      </c>
      <c r="G43" s="219"/>
      <c r="H43" s="246">
        <v>8000</v>
      </c>
      <c r="I43" s="246">
        <v>96</v>
      </c>
      <c r="J43" s="219"/>
      <c r="K43" s="70">
        <f t="shared" si="0"/>
        <v>0</v>
      </c>
      <c r="L43" s="70">
        <f t="shared" si="1"/>
        <v>0</v>
      </c>
    </row>
    <row r="44" spans="1:12" ht="21.75" customHeight="1" x14ac:dyDescent="0.25">
      <c r="A44" s="20" t="s">
        <v>45</v>
      </c>
      <c r="B44" s="21" t="s">
        <v>99</v>
      </c>
      <c r="C44" s="22">
        <v>8</v>
      </c>
      <c r="D44" s="22" t="s">
        <v>98</v>
      </c>
      <c r="E44" s="22">
        <v>64</v>
      </c>
      <c r="F44" s="245">
        <v>3350</v>
      </c>
      <c r="G44" s="219"/>
      <c r="H44" s="246">
        <v>8000</v>
      </c>
      <c r="I44" s="246">
        <v>96</v>
      </c>
      <c r="J44" s="219"/>
      <c r="K44" s="70">
        <f t="shared" si="0"/>
        <v>0</v>
      </c>
      <c r="L44" s="70">
        <f t="shared" si="1"/>
        <v>0</v>
      </c>
    </row>
    <row r="45" spans="1:12" ht="21.75" customHeight="1" x14ac:dyDescent="0.25">
      <c r="A45" s="20" t="s">
        <v>46</v>
      </c>
      <c r="B45" s="21" t="s">
        <v>99</v>
      </c>
      <c r="C45" s="22">
        <v>9</v>
      </c>
      <c r="D45" s="22" t="s">
        <v>98</v>
      </c>
      <c r="E45" s="22">
        <v>64</v>
      </c>
      <c r="F45" s="245">
        <v>3350</v>
      </c>
      <c r="G45" s="219"/>
      <c r="H45" s="246">
        <v>8000</v>
      </c>
      <c r="I45" s="246">
        <v>96</v>
      </c>
      <c r="J45" s="219"/>
      <c r="K45" s="70">
        <f t="shared" si="0"/>
        <v>0</v>
      </c>
      <c r="L45" s="70">
        <f t="shared" si="1"/>
        <v>0</v>
      </c>
    </row>
    <row r="46" spans="1:12" ht="21.75" customHeight="1" x14ac:dyDescent="0.25">
      <c r="A46" s="20" t="s">
        <v>47</v>
      </c>
      <c r="B46" s="21" t="s">
        <v>100</v>
      </c>
      <c r="C46" s="22">
        <v>7</v>
      </c>
      <c r="D46" s="22" t="s">
        <v>98</v>
      </c>
      <c r="E46" s="22">
        <v>64</v>
      </c>
      <c r="F46" s="245">
        <v>3350</v>
      </c>
      <c r="G46" s="219"/>
      <c r="H46" s="246">
        <v>8000</v>
      </c>
      <c r="I46" s="246">
        <v>96</v>
      </c>
      <c r="J46" s="219"/>
      <c r="K46" s="70">
        <f t="shared" si="0"/>
        <v>0</v>
      </c>
      <c r="L46" s="70">
        <f t="shared" si="1"/>
        <v>0</v>
      </c>
    </row>
    <row r="47" spans="1:12" ht="21.75" customHeight="1" x14ac:dyDescent="0.25">
      <c r="A47" s="20" t="s">
        <v>48</v>
      </c>
      <c r="B47" s="21" t="s">
        <v>100</v>
      </c>
      <c r="C47" s="22">
        <v>8</v>
      </c>
      <c r="D47" s="22" t="s">
        <v>98</v>
      </c>
      <c r="E47" s="22">
        <v>64</v>
      </c>
      <c r="F47" s="245">
        <v>3350</v>
      </c>
      <c r="G47" s="219"/>
      <c r="H47" s="246">
        <v>8000</v>
      </c>
      <c r="I47" s="246">
        <v>112</v>
      </c>
      <c r="J47" s="219"/>
      <c r="K47" s="70">
        <f t="shared" si="0"/>
        <v>0</v>
      </c>
      <c r="L47" s="70">
        <f t="shared" si="1"/>
        <v>0</v>
      </c>
    </row>
    <row r="48" spans="1:12" ht="21.75" customHeight="1" x14ac:dyDescent="0.25">
      <c r="A48" s="20" t="s">
        <v>49</v>
      </c>
      <c r="B48" s="21" t="s">
        <v>100</v>
      </c>
      <c r="C48" s="22">
        <v>9</v>
      </c>
      <c r="D48" s="22" t="s">
        <v>98</v>
      </c>
      <c r="E48" s="22">
        <v>64</v>
      </c>
      <c r="F48" s="245">
        <v>3350</v>
      </c>
      <c r="G48" s="219"/>
      <c r="H48" s="246">
        <v>8000</v>
      </c>
      <c r="I48" s="246">
        <v>96</v>
      </c>
      <c r="J48" s="219"/>
      <c r="K48" s="70">
        <f t="shared" si="0"/>
        <v>0</v>
      </c>
      <c r="L48" s="70">
        <f t="shared" si="1"/>
        <v>0</v>
      </c>
    </row>
    <row r="49" spans="1:12" ht="21.75" customHeight="1" x14ac:dyDescent="0.25">
      <c r="A49" s="20" t="s">
        <v>50</v>
      </c>
      <c r="B49" s="21" t="s">
        <v>101</v>
      </c>
      <c r="C49" s="22">
        <v>7</v>
      </c>
      <c r="D49" s="22" t="s">
        <v>98</v>
      </c>
      <c r="E49" s="22">
        <v>64</v>
      </c>
      <c r="F49" s="245">
        <v>3350</v>
      </c>
      <c r="G49" s="219"/>
      <c r="H49" s="246">
        <v>8000</v>
      </c>
      <c r="I49" s="246">
        <v>112</v>
      </c>
      <c r="J49" s="219"/>
      <c r="K49" s="70">
        <f t="shared" si="0"/>
        <v>0</v>
      </c>
      <c r="L49" s="70">
        <f t="shared" si="1"/>
        <v>0</v>
      </c>
    </row>
    <row r="50" spans="1:12" ht="21.75" customHeight="1" x14ac:dyDescent="0.25">
      <c r="A50" s="20" t="s">
        <v>51</v>
      </c>
      <c r="B50" s="21" t="s">
        <v>101</v>
      </c>
      <c r="C50" s="22">
        <v>8</v>
      </c>
      <c r="D50" s="22" t="s">
        <v>98</v>
      </c>
      <c r="E50" s="22">
        <v>64</v>
      </c>
      <c r="F50" s="245">
        <v>3350</v>
      </c>
      <c r="G50" s="219"/>
      <c r="H50" s="246">
        <v>8000</v>
      </c>
      <c r="I50" s="246">
        <v>96</v>
      </c>
      <c r="J50" s="219"/>
      <c r="K50" s="70">
        <f t="shared" si="0"/>
        <v>0</v>
      </c>
      <c r="L50" s="70">
        <f t="shared" si="1"/>
        <v>0</v>
      </c>
    </row>
    <row r="51" spans="1:12" ht="21.75" customHeight="1" x14ac:dyDescent="0.25">
      <c r="A51" s="20" t="s">
        <v>52</v>
      </c>
      <c r="B51" s="21" t="s">
        <v>101</v>
      </c>
      <c r="C51" s="22">
        <v>9</v>
      </c>
      <c r="D51" s="22" t="s">
        <v>98</v>
      </c>
      <c r="E51" s="22">
        <v>64</v>
      </c>
      <c r="F51" s="245">
        <v>3350</v>
      </c>
      <c r="G51" s="219"/>
      <c r="H51" s="246">
        <v>8000</v>
      </c>
      <c r="I51" s="246">
        <v>96</v>
      </c>
      <c r="J51" s="219"/>
      <c r="K51" s="70">
        <f t="shared" si="0"/>
        <v>0</v>
      </c>
      <c r="L51" s="70">
        <f t="shared" si="1"/>
        <v>0</v>
      </c>
    </row>
    <row r="52" spans="1:12" ht="21.75" customHeight="1" x14ac:dyDescent="0.25">
      <c r="A52" s="20" t="s">
        <v>53</v>
      </c>
      <c r="B52" s="21" t="s">
        <v>102</v>
      </c>
      <c r="C52" s="22">
        <v>7</v>
      </c>
      <c r="D52" s="22" t="s">
        <v>98</v>
      </c>
      <c r="E52" s="22">
        <v>64</v>
      </c>
      <c r="F52" s="245">
        <v>3350</v>
      </c>
      <c r="G52" s="219"/>
      <c r="H52" s="246">
        <v>8000</v>
      </c>
      <c r="I52" s="246">
        <v>96</v>
      </c>
      <c r="J52" s="219"/>
      <c r="K52" s="70">
        <f t="shared" si="0"/>
        <v>0</v>
      </c>
      <c r="L52" s="70">
        <f t="shared" si="1"/>
        <v>0</v>
      </c>
    </row>
    <row r="53" spans="1:12" ht="21.75" customHeight="1" x14ac:dyDescent="0.25">
      <c r="A53" s="20" t="s">
        <v>54</v>
      </c>
      <c r="B53" s="21" t="s">
        <v>102</v>
      </c>
      <c r="C53" s="22">
        <v>8</v>
      </c>
      <c r="D53" s="22" t="s">
        <v>98</v>
      </c>
      <c r="E53" s="22">
        <v>64</v>
      </c>
      <c r="F53" s="245">
        <v>3350</v>
      </c>
      <c r="G53" s="219"/>
      <c r="H53" s="246">
        <v>8000</v>
      </c>
      <c r="I53" s="246">
        <v>80</v>
      </c>
      <c r="J53" s="219"/>
      <c r="K53" s="70">
        <f t="shared" si="0"/>
        <v>0</v>
      </c>
      <c r="L53" s="70">
        <f t="shared" si="1"/>
        <v>0</v>
      </c>
    </row>
    <row r="54" spans="1:12" ht="21.75" customHeight="1" x14ac:dyDescent="0.25">
      <c r="A54" s="20" t="s">
        <v>55</v>
      </c>
      <c r="B54" s="21" t="s">
        <v>102</v>
      </c>
      <c r="C54" s="22">
        <v>9</v>
      </c>
      <c r="D54" s="22" t="s">
        <v>98</v>
      </c>
      <c r="E54" s="22">
        <v>64</v>
      </c>
      <c r="F54" s="245">
        <v>3350</v>
      </c>
      <c r="G54" s="219"/>
      <c r="H54" s="246">
        <v>8000</v>
      </c>
      <c r="I54" s="246">
        <v>96</v>
      </c>
      <c r="J54" s="219"/>
      <c r="K54" s="70">
        <f t="shared" si="0"/>
        <v>0</v>
      </c>
      <c r="L54" s="70">
        <f t="shared" si="1"/>
        <v>0</v>
      </c>
    </row>
    <row r="55" spans="1:12" ht="21.75" customHeight="1" x14ac:dyDescent="0.25">
      <c r="A55" s="20" t="s">
        <v>56</v>
      </c>
      <c r="B55" s="21" t="s">
        <v>97</v>
      </c>
      <c r="C55" s="22">
        <v>10</v>
      </c>
      <c r="D55" s="22" t="s">
        <v>103</v>
      </c>
      <c r="E55" s="22">
        <v>64</v>
      </c>
      <c r="F55" s="246">
        <v>3350</v>
      </c>
      <c r="G55" s="219"/>
      <c r="H55" s="246">
        <v>8000</v>
      </c>
      <c r="I55" s="246">
        <v>112</v>
      </c>
      <c r="J55" s="219"/>
      <c r="K55" s="70">
        <f t="shared" si="0"/>
        <v>0</v>
      </c>
      <c r="L55" s="70">
        <f t="shared" si="1"/>
        <v>0</v>
      </c>
    </row>
    <row r="56" spans="1:12" ht="21.75" customHeight="1" x14ac:dyDescent="0.25">
      <c r="A56" s="20" t="s">
        <v>57</v>
      </c>
      <c r="B56" s="21" t="s">
        <v>97</v>
      </c>
      <c r="C56" s="22">
        <v>11</v>
      </c>
      <c r="D56" s="22" t="s">
        <v>103</v>
      </c>
      <c r="E56" s="22">
        <v>64</v>
      </c>
      <c r="F56" s="246">
        <v>3350</v>
      </c>
      <c r="G56" s="219"/>
      <c r="H56" s="246">
        <v>8000</v>
      </c>
      <c r="I56" s="246">
        <v>112</v>
      </c>
      <c r="J56" s="219"/>
      <c r="K56" s="70">
        <f t="shared" si="0"/>
        <v>0</v>
      </c>
      <c r="L56" s="70">
        <f t="shared" si="1"/>
        <v>0</v>
      </c>
    </row>
    <row r="57" spans="1:12" ht="21.75" customHeight="1" x14ac:dyDescent="0.25">
      <c r="A57" s="20" t="s">
        <v>58</v>
      </c>
      <c r="B57" s="21" t="s">
        <v>97</v>
      </c>
      <c r="C57" s="22">
        <v>12</v>
      </c>
      <c r="D57" s="22" t="s">
        <v>103</v>
      </c>
      <c r="E57" s="22">
        <v>64</v>
      </c>
      <c r="F57" s="246">
        <v>3350</v>
      </c>
      <c r="G57" s="219"/>
      <c r="H57" s="246">
        <v>8000</v>
      </c>
      <c r="I57" s="246">
        <v>96</v>
      </c>
      <c r="J57" s="219"/>
      <c r="K57" s="70">
        <f t="shared" si="0"/>
        <v>0</v>
      </c>
      <c r="L57" s="70">
        <f t="shared" si="1"/>
        <v>0</v>
      </c>
    </row>
    <row r="58" spans="1:12" ht="21.75" customHeight="1" x14ac:dyDescent="0.25">
      <c r="A58" s="20" t="s">
        <v>59</v>
      </c>
      <c r="B58" s="21" t="s">
        <v>99</v>
      </c>
      <c r="C58" s="22">
        <v>10</v>
      </c>
      <c r="D58" s="22" t="s">
        <v>103</v>
      </c>
      <c r="E58" s="22">
        <v>64</v>
      </c>
      <c r="F58" s="246">
        <v>3350</v>
      </c>
      <c r="G58" s="219"/>
      <c r="H58" s="246">
        <v>8000</v>
      </c>
      <c r="I58" s="246">
        <v>128</v>
      </c>
      <c r="J58" s="219"/>
      <c r="K58" s="70">
        <f t="shared" si="0"/>
        <v>0</v>
      </c>
      <c r="L58" s="70">
        <f t="shared" si="1"/>
        <v>0</v>
      </c>
    </row>
    <row r="59" spans="1:12" ht="21.75" customHeight="1" x14ac:dyDescent="0.25">
      <c r="A59" s="20" t="s">
        <v>60</v>
      </c>
      <c r="B59" s="21" t="s">
        <v>99</v>
      </c>
      <c r="C59" s="22">
        <v>11</v>
      </c>
      <c r="D59" s="22" t="s">
        <v>103</v>
      </c>
      <c r="E59" s="22">
        <v>64</v>
      </c>
      <c r="F59" s="246">
        <v>3350</v>
      </c>
      <c r="G59" s="219"/>
      <c r="H59" s="246">
        <v>8000</v>
      </c>
      <c r="I59" s="246">
        <v>112</v>
      </c>
      <c r="J59" s="219"/>
      <c r="K59" s="70">
        <f t="shared" si="0"/>
        <v>0</v>
      </c>
      <c r="L59" s="70">
        <f t="shared" si="1"/>
        <v>0</v>
      </c>
    </row>
    <row r="60" spans="1:12" ht="21.75" customHeight="1" x14ac:dyDescent="0.25">
      <c r="A60" s="20" t="s">
        <v>61</v>
      </c>
      <c r="B60" s="21" t="s">
        <v>99</v>
      </c>
      <c r="C60" s="22">
        <v>12</v>
      </c>
      <c r="D60" s="22" t="s">
        <v>103</v>
      </c>
      <c r="E60" s="22">
        <v>64</v>
      </c>
      <c r="F60" s="246">
        <v>3350</v>
      </c>
      <c r="G60" s="219"/>
      <c r="H60" s="246">
        <v>8000</v>
      </c>
      <c r="I60" s="246">
        <v>112</v>
      </c>
      <c r="J60" s="219"/>
      <c r="K60" s="70">
        <f t="shared" si="0"/>
        <v>0</v>
      </c>
      <c r="L60" s="70">
        <f t="shared" si="1"/>
        <v>0</v>
      </c>
    </row>
    <row r="61" spans="1:12" ht="21.75" customHeight="1" x14ac:dyDescent="0.25">
      <c r="A61" s="20" t="s">
        <v>62</v>
      </c>
      <c r="B61" s="21" t="s">
        <v>100</v>
      </c>
      <c r="C61" s="22">
        <v>10</v>
      </c>
      <c r="D61" s="22" t="s">
        <v>103</v>
      </c>
      <c r="E61" s="22">
        <v>64</v>
      </c>
      <c r="F61" s="246">
        <v>3350</v>
      </c>
      <c r="G61" s="219"/>
      <c r="H61" s="246">
        <v>8000</v>
      </c>
      <c r="I61" s="246">
        <v>96</v>
      </c>
      <c r="J61" s="219"/>
      <c r="K61" s="70">
        <f t="shared" si="0"/>
        <v>0</v>
      </c>
      <c r="L61" s="70">
        <f t="shared" si="1"/>
        <v>0</v>
      </c>
    </row>
    <row r="62" spans="1:12" ht="21.75" customHeight="1" x14ac:dyDescent="0.25">
      <c r="A62" s="20" t="s">
        <v>63</v>
      </c>
      <c r="B62" s="21" t="s">
        <v>100</v>
      </c>
      <c r="C62" s="22">
        <v>11</v>
      </c>
      <c r="D62" s="22" t="s">
        <v>103</v>
      </c>
      <c r="E62" s="22">
        <v>64</v>
      </c>
      <c r="F62" s="246">
        <v>3350</v>
      </c>
      <c r="G62" s="219"/>
      <c r="H62" s="246">
        <v>8000</v>
      </c>
      <c r="I62" s="246">
        <v>112</v>
      </c>
      <c r="J62" s="219"/>
      <c r="K62" s="70">
        <f t="shared" si="0"/>
        <v>0</v>
      </c>
      <c r="L62" s="70">
        <f t="shared" si="1"/>
        <v>0</v>
      </c>
    </row>
    <row r="63" spans="1:12" ht="21.75" customHeight="1" x14ac:dyDescent="0.25">
      <c r="A63" s="20" t="s">
        <v>64</v>
      </c>
      <c r="B63" s="21" t="s">
        <v>100</v>
      </c>
      <c r="C63" s="22">
        <v>12</v>
      </c>
      <c r="D63" s="22" t="s">
        <v>103</v>
      </c>
      <c r="E63" s="22">
        <v>64</v>
      </c>
      <c r="F63" s="246">
        <v>3350</v>
      </c>
      <c r="G63" s="219"/>
      <c r="H63" s="246">
        <v>8000</v>
      </c>
      <c r="I63" s="246">
        <v>112</v>
      </c>
      <c r="J63" s="219"/>
      <c r="K63" s="70">
        <f t="shared" si="0"/>
        <v>0</v>
      </c>
      <c r="L63" s="70">
        <f t="shared" si="1"/>
        <v>0</v>
      </c>
    </row>
    <row r="64" spans="1:12" ht="21.75" customHeight="1" x14ac:dyDescent="0.25">
      <c r="A64" s="20" t="s">
        <v>65</v>
      </c>
      <c r="B64" s="21" t="s">
        <v>101</v>
      </c>
      <c r="C64" s="22">
        <v>10</v>
      </c>
      <c r="D64" s="22" t="s">
        <v>103</v>
      </c>
      <c r="E64" s="22">
        <v>64</v>
      </c>
      <c r="F64" s="246">
        <v>3350</v>
      </c>
      <c r="G64" s="219"/>
      <c r="H64" s="246">
        <v>8000</v>
      </c>
      <c r="I64" s="246">
        <v>112</v>
      </c>
      <c r="J64" s="219"/>
      <c r="K64" s="70">
        <f t="shared" si="0"/>
        <v>0</v>
      </c>
      <c r="L64" s="70">
        <f t="shared" si="1"/>
        <v>0</v>
      </c>
    </row>
    <row r="65" spans="1:12" ht="21.75" customHeight="1" x14ac:dyDescent="0.25">
      <c r="A65" s="20" t="s">
        <v>66</v>
      </c>
      <c r="B65" s="21" t="s">
        <v>101</v>
      </c>
      <c r="C65" s="22">
        <v>11</v>
      </c>
      <c r="D65" s="22" t="s">
        <v>103</v>
      </c>
      <c r="E65" s="22">
        <v>64</v>
      </c>
      <c r="F65" s="246">
        <v>3350</v>
      </c>
      <c r="G65" s="219"/>
      <c r="H65" s="246">
        <v>8000</v>
      </c>
      <c r="I65" s="246">
        <v>96</v>
      </c>
      <c r="J65" s="219"/>
      <c r="K65" s="70">
        <f t="shared" si="0"/>
        <v>0</v>
      </c>
      <c r="L65" s="70">
        <f t="shared" si="1"/>
        <v>0</v>
      </c>
    </row>
    <row r="66" spans="1:12" ht="21.75" customHeight="1" x14ac:dyDescent="0.25">
      <c r="A66" s="20" t="s">
        <v>73</v>
      </c>
      <c r="B66" s="21" t="s">
        <v>101</v>
      </c>
      <c r="C66" s="22">
        <v>12</v>
      </c>
      <c r="D66" s="22" t="s">
        <v>103</v>
      </c>
      <c r="E66" s="22">
        <v>64</v>
      </c>
      <c r="F66" s="246">
        <v>3350</v>
      </c>
      <c r="G66" s="219"/>
      <c r="H66" s="246">
        <v>8000</v>
      </c>
      <c r="I66" s="246">
        <v>96</v>
      </c>
      <c r="J66" s="219"/>
      <c r="K66" s="70">
        <f t="shared" si="0"/>
        <v>0</v>
      </c>
      <c r="L66" s="70">
        <f t="shared" si="1"/>
        <v>0</v>
      </c>
    </row>
    <row r="67" spans="1:12" ht="21.75" customHeight="1" x14ac:dyDescent="0.25">
      <c r="A67" s="20" t="s">
        <v>74</v>
      </c>
      <c r="B67" s="21" t="s">
        <v>102</v>
      </c>
      <c r="C67" s="22">
        <v>10</v>
      </c>
      <c r="D67" s="22" t="s">
        <v>103</v>
      </c>
      <c r="E67" s="22">
        <v>64</v>
      </c>
      <c r="F67" s="246">
        <v>3350</v>
      </c>
      <c r="G67" s="219"/>
      <c r="H67" s="246">
        <v>8000</v>
      </c>
      <c r="I67" s="246">
        <v>96</v>
      </c>
      <c r="J67" s="219"/>
      <c r="K67" s="70">
        <f t="shared" si="0"/>
        <v>0</v>
      </c>
      <c r="L67" s="70">
        <f t="shared" si="1"/>
        <v>0</v>
      </c>
    </row>
    <row r="68" spans="1:12" ht="21.75" customHeight="1" x14ac:dyDescent="0.25">
      <c r="A68" s="20" t="s">
        <v>75</v>
      </c>
      <c r="B68" s="21" t="s">
        <v>102</v>
      </c>
      <c r="C68" s="22">
        <v>11</v>
      </c>
      <c r="D68" s="22" t="s">
        <v>103</v>
      </c>
      <c r="E68" s="22">
        <v>64</v>
      </c>
      <c r="F68" s="246">
        <v>3350</v>
      </c>
      <c r="G68" s="219"/>
      <c r="H68" s="246">
        <v>8000</v>
      </c>
      <c r="I68" s="246">
        <v>96</v>
      </c>
      <c r="J68" s="219"/>
      <c r="K68" s="70">
        <f t="shared" si="0"/>
        <v>0</v>
      </c>
      <c r="L68" s="70">
        <f t="shared" si="1"/>
        <v>0</v>
      </c>
    </row>
    <row r="69" spans="1:12" ht="21.75" customHeight="1" x14ac:dyDescent="0.25">
      <c r="A69" s="20" t="s">
        <v>83</v>
      </c>
      <c r="B69" s="21" t="s">
        <v>102</v>
      </c>
      <c r="C69" s="22">
        <v>12</v>
      </c>
      <c r="D69" s="22" t="s">
        <v>103</v>
      </c>
      <c r="E69" s="22">
        <v>64</v>
      </c>
      <c r="F69" s="246">
        <v>3350</v>
      </c>
      <c r="G69" s="219"/>
      <c r="H69" s="246">
        <v>8000</v>
      </c>
      <c r="I69" s="246">
        <v>96</v>
      </c>
      <c r="J69" s="219"/>
      <c r="K69" s="70">
        <f t="shared" si="0"/>
        <v>0</v>
      </c>
      <c r="L69" s="70">
        <f t="shared" si="1"/>
        <v>0</v>
      </c>
    </row>
    <row r="70" spans="1:12" ht="21.75" customHeight="1" x14ac:dyDescent="0.25">
      <c r="G70" s="247">
        <f>SUM(G6:G69)</f>
        <v>0</v>
      </c>
      <c r="H70" s="247"/>
      <c r="I70" s="247"/>
      <c r="J70" s="247">
        <f>SUM(J6:J69)</f>
        <v>0</v>
      </c>
      <c r="K70" s="2">
        <f>SUM(K6:K69)</f>
        <v>0</v>
      </c>
      <c r="L70" s="2">
        <f>SUM(L6:L69)</f>
        <v>0</v>
      </c>
    </row>
  </sheetData>
  <mergeCells count="10">
    <mergeCell ref="J4:J5"/>
    <mergeCell ref="H4:H5"/>
    <mergeCell ref="E4:E5"/>
    <mergeCell ref="G4:G5"/>
    <mergeCell ref="A4:A5"/>
    <mergeCell ref="B4:B5"/>
    <mergeCell ref="C4:C5"/>
    <mergeCell ref="D4:D5"/>
    <mergeCell ref="F4:F5"/>
    <mergeCell ref="I4:I5"/>
  </mergeCells>
  <pageMargins left="0.25" right="0.25" top="0.35" bottom="0.21" header="0.3" footer="0.3"/>
  <pageSetup paperSize="9" scale="55" orientation="portrait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59CF7-5E47-4D3A-A53C-F133C0DB63C3}">
  <dimension ref="A1:K25"/>
  <sheetViews>
    <sheetView view="pageBreakPreview" zoomScaleNormal="100" zoomScaleSheetLayoutView="100" workbookViewId="0">
      <selection activeCell="I5" sqref="I5:I24"/>
    </sheetView>
  </sheetViews>
  <sheetFormatPr defaultRowHeight="15" x14ac:dyDescent="0.25"/>
  <cols>
    <col min="2" max="2" width="13.140625" customWidth="1"/>
    <col min="3" max="3" width="36.42578125" customWidth="1"/>
    <col min="6" max="6" width="10.42578125" customWidth="1"/>
    <col min="7" max="7" width="11.28515625" customWidth="1"/>
    <col min="10" max="11" width="0" hidden="1" customWidth="1"/>
  </cols>
  <sheetData>
    <row r="1" spans="1:11" ht="18.75" x14ac:dyDescent="0.3">
      <c r="A1" s="13" t="s">
        <v>468</v>
      </c>
    </row>
    <row r="2" spans="1:11" ht="18.75" x14ac:dyDescent="0.3">
      <c r="A2" s="13" t="str">
        <f>REKAP!A2</f>
        <v>Smt. 2 Tahun Ajaran 2026 - 2027</v>
      </c>
    </row>
    <row r="3" spans="1:11" x14ac:dyDescent="0.25">
      <c r="A3" s="265" t="s">
        <v>583</v>
      </c>
      <c r="B3" s="266">
        <f>REKAP!$J$4</f>
        <v>0</v>
      </c>
    </row>
    <row r="4" spans="1:11" ht="24" customHeight="1" x14ac:dyDescent="0.25">
      <c r="A4" s="216" t="s">
        <v>0</v>
      </c>
      <c r="B4" s="216" t="s">
        <v>469</v>
      </c>
      <c r="C4" s="216" t="s">
        <v>470</v>
      </c>
      <c r="D4" s="216" t="s">
        <v>1</v>
      </c>
      <c r="E4" s="216" t="s">
        <v>2</v>
      </c>
      <c r="F4" s="216" t="s">
        <v>3</v>
      </c>
      <c r="G4" s="216" t="s">
        <v>471</v>
      </c>
      <c r="H4" s="67" t="s">
        <v>212</v>
      </c>
      <c r="I4" s="67" t="s">
        <v>209</v>
      </c>
    </row>
    <row r="5" spans="1:11" ht="21.75" customHeight="1" x14ac:dyDescent="0.25">
      <c r="A5" s="36">
        <v>1</v>
      </c>
      <c r="B5" s="342" t="s">
        <v>472</v>
      </c>
      <c r="C5" s="217" t="s">
        <v>473</v>
      </c>
      <c r="D5" s="36">
        <v>6</v>
      </c>
      <c r="E5" s="37">
        <v>160</v>
      </c>
      <c r="F5" s="218">
        <v>7000</v>
      </c>
      <c r="G5" s="219"/>
      <c r="H5" s="48">
        <v>15000</v>
      </c>
      <c r="I5" s="219"/>
      <c r="J5">
        <f>F5*G5</f>
        <v>0</v>
      </c>
      <c r="K5">
        <f>I5*H5</f>
        <v>0</v>
      </c>
    </row>
    <row r="6" spans="1:11" ht="21.75" customHeight="1" x14ac:dyDescent="0.25">
      <c r="A6" s="36">
        <v>2</v>
      </c>
      <c r="B6" s="343"/>
      <c r="C6" s="37" t="s">
        <v>474</v>
      </c>
      <c r="D6" s="36">
        <v>6</v>
      </c>
      <c r="E6" s="37">
        <v>128</v>
      </c>
      <c r="F6" s="218">
        <v>6000</v>
      </c>
      <c r="G6" s="219"/>
      <c r="H6" s="48">
        <v>10000</v>
      </c>
      <c r="I6" s="219"/>
      <c r="J6">
        <f t="shared" ref="J6:J24" si="0">F6*G6</f>
        <v>0</v>
      </c>
      <c r="K6">
        <f t="shared" ref="K6:K24" si="1">I6*H6</f>
        <v>0</v>
      </c>
    </row>
    <row r="7" spans="1:11" ht="21.75" customHeight="1" x14ac:dyDescent="0.25">
      <c r="A7" s="36">
        <v>3</v>
      </c>
      <c r="B7" s="344"/>
      <c r="C7" s="37" t="s">
        <v>475</v>
      </c>
      <c r="D7" s="36">
        <v>6</v>
      </c>
      <c r="E7" s="37">
        <v>128</v>
      </c>
      <c r="F7" s="218">
        <v>6000</v>
      </c>
      <c r="G7" s="219"/>
      <c r="H7" s="48">
        <v>10000</v>
      </c>
      <c r="I7" s="219"/>
      <c r="J7">
        <f t="shared" si="0"/>
        <v>0</v>
      </c>
      <c r="K7">
        <f t="shared" si="1"/>
        <v>0</v>
      </c>
    </row>
    <row r="8" spans="1:11" ht="21.75" customHeight="1" x14ac:dyDescent="0.25">
      <c r="A8" s="36">
        <v>4</v>
      </c>
      <c r="B8" s="342" t="s">
        <v>476</v>
      </c>
      <c r="C8" s="37" t="s">
        <v>477</v>
      </c>
      <c r="D8" s="36">
        <v>9</v>
      </c>
      <c r="E8" s="37">
        <v>144</v>
      </c>
      <c r="F8" s="218">
        <v>6600</v>
      </c>
      <c r="G8" s="219"/>
      <c r="H8" s="48">
        <v>10000</v>
      </c>
      <c r="I8" s="219"/>
      <c r="J8">
        <f t="shared" si="0"/>
        <v>0</v>
      </c>
      <c r="K8">
        <f t="shared" si="1"/>
        <v>0</v>
      </c>
    </row>
    <row r="9" spans="1:11" ht="21.75" customHeight="1" x14ac:dyDescent="0.25">
      <c r="A9" s="36">
        <v>5</v>
      </c>
      <c r="B9" s="344"/>
      <c r="C9" s="37" t="s">
        <v>478</v>
      </c>
      <c r="D9" s="36">
        <v>9</v>
      </c>
      <c r="E9" s="37">
        <v>144</v>
      </c>
      <c r="F9" s="218">
        <v>6600</v>
      </c>
      <c r="G9" s="219"/>
      <c r="H9" s="48">
        <v>10000</v>
      </c>
      <c r="I9" s="219"/>
      <c r="J9">
        <f t="shared" si="0"/>
        <v>0</v>
      </c>
      <c r="K9">
        <f t="shared" si="1"/>
        <v>0</v>
      </c>
    </row>
    <row r="10" spans="1:11" ht="21.75" customHeight="1" x14ac:dyDescent="0.25">
      <c r="A10" s="36">
        <v>6</v>
      </c>
      <c r="B10" s="342" t="s">
        <v>479</v>
      </c>
      <c r="C10" s="37" t="s">
        <v>480</v>
      </c>
      <c r="D10" s="36">
        <v>12</v>
      </c>
      <c r="E10" s="37">
        <v>144</v>
      </c>
      <c r="F10" s="218">
        <v>6600</v>
      </c>
      <c r="G10" s="219"/>
      <c r="H10" s="48">
        <v>10000</v>
      </c>
      <c r="I10" s="219"/>
      <c r="J10">
        <f t="shared" si="0"/>
        <v>0</v>
      </c>
      <c r="K10">
        <f t="shared" si="1"/>
        <v>0</v>
      </c>
    </row>
    <row r="11" spans="1:11" ht="21.75" customHeight="1" x14ac:dyDescent="0.25">
      <c r="A11" s="36">
        <v>7</v>
      </c>
      <c r="B11" s="343"/>
      <c r="C11" s="37" t="s">
        <v>481</v>
      </c>
      <c r="D11" s="36">
        <v>12</v>
      </c>
      <c r="E11" s="37">
        <v>144</v>
      </c>
      <c r="F11" s="218">
        <v>6600</v>
      </c>
      <c r="G11" s="219"/>
      <c r="H11" s="48">
        <v>10000</v>
      </c>
      <c r="I11" s="219"/>
      <c r="J11">
        <f t="shared" si="0"/>
        <v>0</v>
      </c>
      <c r="K11">
        <f t="shared" si="1"/>
        <v>0</v>
      </c>
    </row>
    <row r="12" spans="1:11" ht="21.75" customHeight="1" x14ac:dyDescent="0.25">
      <c r="A12" s="36">
        <v>8</v>
      </c>
      <c r="B12" s="343"/>
      <c r="C12" s="37" t="s">
        <v>482</v>
      </c>
      <c r="D12" s="36">
        <v>12</v>
      </c>
      <c r="E12" s="37">
        <v>144</v>
      </c>
      <c r="F12" s="218">
        <v>6600</v>
      </c>
      <c r="G12" s="219"/>
      <c r="H12" s="48">
        <v>10000</v>
      </c>
      <c r="I12" s="219"/>
      <c r="J12">
        <f t="shared" si="0"/>
        <v>0</v>
      </c>
      <c r="K12">
        <f t="shared" si="1"/>
        <v>0</v>
      </c>
    </row>
    <row r="13" spans="1:11" ht="21.75" customHeight="1" x14ac:dyDescent="0.25">
      <c r="A13" s="36">
        <v>9</v>
      </c>
      <c r="B13" s="343"/>
      <c r="C13" s="37" t="s">
        <v>483</v>
      </c>
      <c r="D13" s="36">
        <v>12</v>
      </c>
      <c r="E13" s="37">
        <v>144</v>
      </c>
      <c r="F13" s="218">
        <v>6600</v>
      </c>
      <c r="G13" s="219"/>
      <c r="H13" s="48">
        <v>10000</v>
      </c>
      <c r="I13" s="219"/>
      <c r="J13">
        <f t="shared" si="0"/>
        <v>0</v>
      </c>
      <c r="K13">
        <f t="shared" si="1"/>
        <v>0</v>
      </c>
    </row>
    <row r="14" spans="1:11" ht="21.75" customHeight="1" x14ac:dyDescent="0.25">
      <c r="A14" s="36">
        <v>10</v>
      </c>
      <c r="B14" s="343"/>
      <c r="C14" s="37" t="s">
        <v>484</v>
      </c>
      <c r="D14" s="36">
        <v>12</v>
      </c>
      <c r="E14" s="37">
        <v>144</v>
      </c>
      <c r="F14" s="218">
        <v>6600</v>
      </c>
      <c r="G14" s="219"/>
      <c r="H14" s="48">
        <v>10000</v>
      </c>
      <c r="I14" s="219"/>
      <c r="J14">
        <f t="shared" si="0"/>
        <v>0</v>
      </c>
      <c r="K14">
        <f t="shared" si="1"/>
        <v>0</v>
      </c>
    </row>
    <row r="15" spans="1:11" ht="21.75" customHeight="1" x14ac:dyDescent="0.25">
      <c r="A15" s="36">
        <v>11</v>
      </c>
      <c r="B15" s="343"/>
      <c r="C15" s="37" t="s">
        <v>485</v>
      </c>
      <c r="D15" s="36">
        <v>12</v>
      </c>
      <c r="E15" s="37">
        <v>144</v>
      </c>
      <c r="F15" s="218">
        <v>6600</v>
      </c>
      <c r="G15" s="219"/>
      <c r="H15" s="48">
        <v>10000</v>
      </c>
      <c r="I15" s="219"/>
      <c r="J15">
        <f t="shared" si="0"/>
        <v>0</v>
      </c>
      <c r="K15">
        <f t="shared" si="1"/>
        <v>0</v>
      </c>
    </row>
    <row r="16" spans="1:11" ht="21.75" customHeight="1" x14ac:dyDescent="0.25">
      <c r="A16" s="36">
        <v>12</v>
      </c>
      <c r="B16" s="343"/>
      <c r="C16" s="37" t="s">
        <v>486</v>
      </c>
      <c r="D16" s="36">
        <v>12</v>
      </c>
      <c r="E16" s="37">
        <v>144</v>
      </c>
      <c r="F16" s="218">
        <v>6600</v>
      </c>
      <c r="G16" s="219"/>
      <c r="H16" s="48">
        <v>10000</v>
      </c>
      <c r="I16" s="219"/>
      <c r="J16">
        <f t="shared" si="0"/>
        <v>0</v>
      </c>
      <c r="K16">
        <f t="shared" si="1"/>
        <v>0</v>
      </c>
    </row>
    <row r="17" spans="1:11" ht="21.75" customHeight="1" x14ac:dyDescent="0.25">
      <c r="A17" s="36">
        <v>13</v>
      </c>
      <c r="B17" s="343"/>
      <c r="C17" s="37" t="s">
        <v>487</v>
      </c>
      <c r="D17" s="36">
        <v>12</v>
      </c>
      <c r="E17" s="37">
        <v>144</v>
      </c>
      <c r="F17" s="218">
        <v>6600</v>
      </c>
      <c r="G17" s="219"/>
      <c r="H17" s="48">
        <v>10000</v>
      </c>
      <c r="I17" s="219"/>
      <c r="J17">
        <f t="shared" si="0"/>
        <v>0</v>
      </c>
      <c r="K17">
        <f t="shared" si="1"/>
        <v>0</v>
      </c>
    </row>
    <row r="18" spans="1:11" ht="21.75" customHeight="1" x14ac:dyDescent="0.25">
      <c r="A18" s="36">
        <v>14</v>
      </c>
      <c r="B18" s="343"/>
      <c r="C18" s="37" t="s">
        <v>488</v>
      </c>
      <c r="D18" s="36">
        <v>12</v>
      </c>
      <c r="E18" s="37">
        <v>144</v>
      </c>
      <c r="F18" s="218">
        <v>6600</v>
      </c>
      <c r="G18" s="219"/>
      <c r="H18" s="48">
        <v>10000</v>
      </c>
      <c r="I18" s="219"/>
      <c r="J18">
        <f t="shared" si="0"/>
        <v>0</v>
      </c>
      <c r="K18">
        <f t="shared" si="1"/>
        <v>0</v>
      </c>
    </row>
    <row r="19" spans="1:11" ht="21.75" customHeight="1" x14ac:dyDescent="0.25">
      <c r="A19" s="36">
        <v>15</v>
      </c>
      <c r="B19" s="343"/>
      <c r="C19" s="37" t="s">
        <v>489</v>
      </c>
      <c r="D19" s="36">
        <v>12</v>
      </c>
      <c r="E19" s="37">
        <v>144</v>
      </c>
      <c r="F19" s="218">
        <v>6600</v>
      </c>
      <c r="G19" s="219"/>
      <c r="H19" s="48">
        <v>10000</v>
      </c>
      <c r="I19" s="219"/>
      <c r="J19">
        <f t="shared" si="0"/>
        <v>0</v>
      </c>
      <c r="K19">
        <f t="shared" si="1"/>
        <v>0</v>
      </c>
    </row>
    <row r="20" spans="1:11" ht="21.75" customHeight="1" x14ac:dyDescent="0.25">
      <c r="A20" s="36">
        <v>16</v>
      </c>
      <c r="B20" s="343"/>
      <c r="C20" s="37" t="s">
        <v>490</v>
      </c>
      <c r="D20" s="36">
        <v>12</v>
      </c>
      <c r="E20" s="37">
        <v>144</v>
      </c>
      <c r="F20" s="218">
        <v>6600</v>
      </c>
      <c r="G20" s="219"/>
      <c r="H20" s="48">
        <v>10000</v>
      </c>
      <c r="I20" s="219"/>
      <c r="J20">
        <f t="shared" si="0"/>
        <v>0</v>
      </c>
      <c r="K20">
        <f t="shared" si="1"/>
        <v>0</v>
      </c>
    </row>
    <row r="21" spans="1:11" ht="21.75" customHeight="1" x14ac:dyDescent="0.25">
      <c r="A21" s="36">
        <v>17</v>
      </c>
      <c r="B21" s="343"/>
      <c r="C21" s="37" t="s">
        <v>491</v>
      </c>
      <c r="D21" s="36">
        <v>12</v>
      </c>
      <c r="E21" s="37">
        <v>144</v>
      </c>
      <c r="F21" s="218">
        <v>6600</v>
      </c>
      <c r="G21" s="219"/>
      <c r="H21" s="48">
        <v>10000</v>
      </c>
      <c r="I21" s="219"/>
      <c r="J21">
        <f t="shared" si="0"/>
        <v>0</v>
      </c>
      <c r="K21">
        <f t="shared" si="1"/>
        <v>0</v>
      </c>
    </row>
    <row r="22" spans="1:11" ht="21.75" customHeight="1" x14ac:dyDescent="0.25">
      <c r="A22" s="36">
        <v>18</v>
      </c>
      <c r="B22" s="343"/>
      <c r="C22" s="37" t="s">
        <v>492</v>
      </c>
      <c r="D22" s="36">
        <v>12</v>
      </c>
      <c r="E22" s="37">
        <v>144</v>
      </c>
      <c r="F22" s="218">
        <v>6600</v>
      </c>
      <c r="G22" s="219"/>
      <c r="H22" s="48">
        <v>10000</v>
      </c>
      <c r="I22" s="219"/>
      <c r="J22">
        <f t="shared" si="0"/>
        <v>0</v>
      </c>
      <c r="K22">
        <f t="shared" si="1"/>
        <v>0</v>
      </c>
    </row>
    <row r="23" spans="1:11" ht="21.75" customHeight="1" x14ac:dyDescent="0.25">
      <c r="A23" s="36">
        <v>19</v>
      </c>
      <c r="B23" s="343"/>
      <c r="C23" s="37" t="s">
        <v>493</v>
      </c>
      <c r="D23" s="36">
        <v>12</v>
      </c>
      <c r="E23" s="37">
        <v>144</v>
      </c>
      <c r="F23" s="218">
        <v>6600</v>
      </c>
      <c r="G23" s="219"/>
      <c r="H23" s="48">
        <v>10000</v>
      </c>
      <c r="I23" s="219"/>
      <c r="J23">
        <f t="shared" si="0"/>
        <v>0</v>
      </c>
      <c r="K23">
        <f t="shared" si="1"/>
        <v>0</v>
      </c>
    </row>
    <row r="24" spans="1:11" ht="21.75" customHeight="1" x14ac:dyDescent="0.25">
      <c r="A24" s="36">
        <v>20</v>
      </c>
      <c r="B24" s="344"/>
      <c r="C24" s="37" t="s">
        <v>494</v>
      </c>
      <c r="D24" s="36">
        <v>12</v>
      </c>
      <c r="E24" s="37">
        <v>144</v>
      </c>
      <c r="F24" s="218">
        <v>6600</v>
      </c>
      <c r="G24" s="219"/>
      <c r="H24" s="48">
        <v>10000</v>
      </c>
      <c r="I24" s="219"/>
      <c r="J24">
        <f t="shared" si="0"/>
        <v>0</v>
      </c>
      <c r="K24">
        <f t="shared" si="1"/>
        <v>0</v>
      </c>
    </row>
    <row r="25" spans="1:11" x14ac:dyDescent="0.25">
      <c r="G25" s="124">
        <f>SUM(G5:G24)</f>
        <v>0</v>
      </c>
      <c r="I25" s="124">
        <f>SUM(I5:I24)</f>
        <v>0</v>
      </c>
      <c r="J25" s="124">
        <f t="shared" ref="J25:K25" si="2">SUM(J5:J24)</f>
        <v>0</v>
      </c>
      <c r="K25" s="124">
        <f t="shared" si="2"/>
        <v>0</v>
      </c>
    </row>
  </sheetData>
  <mergeCells count="3">
    <mergeCell ref="B5:B7"/>
    <mergeCell ref="B8:B9"/>
    <mergeCell ref="B10:B24"/>
  </mergeCells>
  <pageMargins left="0.7" right="0.7" top="0.75" bottom="0.75" header="0.3" footer="0.3"/>
  <pageSetup paperSize="9" scale="73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1D3E7-9B1F-45AC-BF10-368CBEC5B276}">
  <dimension ref="A1:J39"/>
  <sheetViews>
    <sheetView workbookViewId="0">
      <selection activeCell="H5" sqref="H5:H38"/>
    </sheetView>
  </sheetViews>
  <sheetFormatPr defaultRowHeight="15" x14ac:dyDescent="0.25"/>
  <cols>
    <col min="2" max="2" width="49.85546875" customWidth="1"/>
    <col min="5" max="5" width="11.7109375" customWidth="1"/>
    <col min="6" max="6" width="11" customWidth="1"/>
    <col min="8" max="8" width="11.42578125" customWidth="1"/>
    <col min="9" max="10" width="0" hidden="1" customWidth="1"/>
  </cols>
  <sheetData>
    <row r="1" spans="1:10" ht="18.75" x14ac:dyDescent="0.3">
      <c r="A1" s="13" t="s">
        <v>608</v>
      </c>
    </row>
    <row r="2" spans="1:10" ht="18.75" x14ac:dyDescent="0.3">
      <c r="A2" s="13" t="str">
        <f>REKAP!A2</f>
        <v>Smt. 2 Tahun Ajaran 2026 - 2027</v>
      </c>
    </row>
    <row r="4" spans="1:10" ht="31.5" x14ac:dyDescent="0.25">
      <c r="A4" s="286" t="s">
        <v>0</v>
      </c>
      <c r="B4" s="287" t="s">
        <v>76</v>
      </c>
      <c r="C4" s="286" t="s">
        <v>1</v>
      </c>
      <c r="D4" s="286" t="s">
        <v>2</v>
      </c>
      <c r="E4" s="286" t="s">
        <v>584</v>
      </c>
      <c r="F4" s="216" t="s">
        <v>471</v>
      </c>
      <c r="G4" s="67" t="s">
        <v>212</v>
      </c>
      <c r="H4" s="67" t="s">
        <v>209</v>
      </c>
    </row>
    <row r="5" spans="1:10" x14ac:dyDescent="0.25">
      <c r="A5" s="267" t="s">
        <v>4</v>
      </c>
      <c r="B5" s="268" t="s">
        <v>585</v>
      </c>
      <c r="C5" s="269">
        <v>6</v>
      </c>
      <c r="D5" s="270">
        <v>272</v>
      </c>
      <c r="E5" s="129">
        <v>11300</v>
      </c>
      <c r="F5" s="219"/>
      <c r="G5" s="48">
        <v>18000</v>
      </c>
      <c r="H5" s="219"/>
      <c r="I5" s="70">
        <f>E5*F5</f>
        <v>0</v>
      </c>
      <c r="J5" s="70">
        <f>G5*H5</f>
        <v>0</v>
      </c>
    </row>
    <row r="6" spans="1:10" x14ac:dyDescent="0.25">
      <c r="A6" s="271" t="s">
        <v>6</v>
      </c>
      <c r="B6" s="268" t="s">
        <v>586</v>
      </c>
      <c r="C6" s="269">
        <v>6</v>
      </c>
      <c r="D6" s="270">
        <v>112</v>
      </c>
      <c r="E6" s="129">
        <v>5250</v>
      </c>
      <c r="F6" s="219"/>
      <c r="G6" s="48">
        <v>10500</v>
      </c>
      <c r="H6" s="219"/>
      <c r="I6" s="70">
        <f t="shared" ref="I6:I38" si="0">E6*F6</f>
        <v>0</v>
      </c>
      <c r="J6" s="70">
        <f t="shared" ref="J6:J38" si="1">G6*H6</f>
        <v>0</v>
      </c>
    </row>
    <row r="7" spans="1:10" x14ac:dyDescent="0.25">
      <c r="A7" s="272" t="s">
        <v>7</v>
      </c>
      <c r="B7" s="273" t="s">
        <v>587</v>
      </c>
      <c r="C7" s="274">
        <v>9</v>
      </c>
      <c r="D7" s="275">
        <v>144</v>
      </c>
      <c r="E7" s="276">
        <v>6600</v>
      </c>
      <c r="F7" s="219"/>
      <c r="G7" s="48">
        <v>10500</v>
      </c>
      <c r="H7" s="219"/>
      <c r="I7" s="70">
        <f t="shared" si="0"/>
        <v>0</v>
      </c>
      <c r="J7" s="70">
        <f t="shared" si="1"/>
        <v>0</v>
      </c>
    </row>
    <row r="8" spans="1:10" x14ac:dyDescent="0.25">
      <c r="A8" s="277" t="s">
        <v>8</v>
      </c>
      <c r="B8" s="273" t="s">
        <v>588</v>
      </c>
      <c r="C8" s="274">
        <v>9</v>
      </c>
      <c r="D8" s="275">
        <v>144</v>
      </c>
      <c r="E8" s="276">
        <v>6600</v>
      </c>
      <c r="F8" s="219"/>
      <c r="G8" s="48">
        <v>10500</v>
      </c>
      <c r="H8" s="219"/>
      <c r="I8" s="70">
        <f t="shared" si="0"/>
        <v>0</v>
      </c>
      <c r="J8" s="70">
        <f t="shared" si="1"/>
        <v>0</v>
      </c>
    </row>
    <row r="9" spans="1:10" x14ac:dyDescent="0.25">
      <c r="A9" s="272" t="s">
        <v>9</v>
      </c>
      <c r="B9" s="273" t="s">
        <v>589</v>
      </c>
      <c r="C9" s="274">
        <v>9</v>
      </c>
      <c r="D9" s="275">
        <v>144</v>
      </c>
      <c r="E9" s="276">
        <v>6600</v>
      </c>
      <c r="F9" s="219"/>
      <c r="G9" s="48">
        <v>10500</v>
      </c>
      <c r="H9" s="219"/>
      <c r="I9" s="70">
        <f t="shared" si="0"/>
        <v>0</v>
      </c>
      <c r="J9" s="70">
        <f t="shared" si="1"/>
        <v>0</v>
      </c>
    </row>
    <row r="10" spans="1:10" x14ac:dyDescent="0.25">
      <c r="A10" s="277" t="s">
        <v>10</v>
      </c>
      <c r="B10" s="273" t="s">
        <v>590</v>
      </c>
      <c r="C10" s="274">
        <v>9</v>
      </c>
      <c r="D10" s="275">
        <v>144</v>
      </c>
      <c r="E10" s="276">
        <v>6600</v>
      </c>
      <c r="F10" s="219"/>
      <c r="G10" s="48">
        <v>10500</v>
      </c>
      <c r="H10" s="219"/>
      <c r="I10" s="70">
        <f t="shared" si="0"/>
        <v>0</v>
      </c>
      <c r="J10" s="70">
        <f t="shared" si="1"/>
        <v>0</v>
      </c>
    </row>
    <row r="11" spans="1:10" x14ac:dyDescent="0.25">
      <c r="A11" s="272" t="s">
        <v>11</v>
      </c>
      <c r="B11" s="273" t="s">
        <v>591</v>
      </c>
      <c r="C11" s="274">
        <v>9</v>
      </c>
      <c r="D11" s="275">
        <v>144</v>
      </c>
      <c r="E11" s="276">
        <v>6600</v>
      </c>
      <c r="F11" s="219"/>
      <c r="G11" s="48">
        <v>10500</v>
      </c>
      <c r="H11" s="219"/>
      <c r="I11" s="70">
        <f t="shared" si="0"/>
        <v>0</v>
      </c>
      <c r="J11" s="70">
        <f t="shared" si="1"/>
        <v>0</v>
      </c>
    </row>
    <row r="12" spans="1:10" x14ac:dyDescent="0.25">
      <c r="A12" s="277" t="s">
        <v>12</v>
      </c>
      <c r="B12" s="273" t="s">
        <v>592</v>
      </c>
      <c r="C12" s="274">
        <v>9</v>
      </c>
      <c r="D12" s="275">
        <v>144</v>
      </c>
      <c r="E12" s="276">
        <v>6600</v>
      </c>
      <c r="F12" s="219"/>
      <c r="G12" s="48">
        <v>10500</v>
      </c>
      <c r="H12" s="219"/>
      <c r="I12" s="70">
        <f t="shared" si="0"/>
        <v>0</v>
      </c>
      <c r="J12" s="70">
        <f t="shared" si="1"/>
        <v>0</v>
      </c>
    </row>
    <row r="13" spans="1:10" x14ac:dyDescent="0.25">
      <c r="A13" s="272" t="s">
        <v>13</v>
      </c>
      <c r="B13" s="273" t="s">
        <v>593</v>
      </c>
      <c r="C13" s="274">
        <v>9</v>
      </c>
      <c r="D13" s="275">
        <v>144</v>
      </c>
      <c r="E13" s="276">
        <v>6600</v>
      </c>
      <c r="F13" s="219"/>
      <c r="G13" s="48">
        <v>10500</v>
      </c>
      <c r="H13" s="219"/>
      <c r="I13" s="70">
        <f t="shared" si="0"/>
        <v>0</v>
      </c>
      <c r="J13" s="70">
        <f t="shared" si="1"/>
        <v>0</v>
      </c>
    </row>
    <row r="14" spans="1:10" x14ac:dyDescent="0.25">
      <c r="A14" s="271" t="s">
        <v>14</v>
      </c>
      <c r="B14" s="268" t="s">
        <v>594</v>
      </c>
      <c r="C14" s="269">
        <v>12</v>
      </c>
      <c r="D14" s="270">
        <v>144</v>
      </c>
      <c r="E14" s="129">
        <v>6600</v>
      </c>
      <c r="F14" s="219"/>
      <c r="G14" s="48">
        <v>10500</v>
      </c>
      <c r="H14" s="219"/>
      <c r="I14" s="70">
        <f t="shared" si="0"/>
        <v>0</v>
      </c>
      <c r="J14" s="70">
        <f t="shared" si="1"/>
        <v>0</v>
      </c>
    </row>
    <row r="15" spans="1:10" x14ac:dyDescent="0.25">
      <c r="A15" s="267" t="s">
        <v>15</v>
      </c>
      <c r="B15" s="268" t="s">
        <v>595</v>
      </c>
      <c r="C15" s="269">
        <v>12</v>
      </c>
      <c r="D15" s="270">
        <v>144</v>
      </c>
      <c r="E15" s="129">
        <v>6600</v>
      </c>
      <c r="F15" s="219"/>
      <c r="G15" s="48">
        <v>10500</v>
      </c>
      <c r="H15" s="219"/>
      <c r="I15" s="70">
        <f t="shared" si="0"/>
        <v>0</v>
      </c>
      <c r="J15" s="70">
        <f t="shared" si="1"/>
        <v>0</v>
      </c>
    </row>
    <row r="16" spans="1:10" x14ac:dyDescent="0.25">
      <c r="A16" s="271" t="s">
        <v>16</v>
      </c>
      <c r="B16" s="268" t="s">
        <v>596</v>
      </c>
      <c r="C16" s="269">
        <v>12</v>
      </c>
      <c r="D16" s="270">
        <v>144</v>
      </c>
      <c r="E16" s="129">
        <v>6600</v>
      </c>
      <c r="F16" s="219"/>
      <c r="G16" s="48">
        <v>10500</v>
      </c>
      <c r="H16" s="219"/>
      <c r="I16" s="70">
        <f t="shared" si="0"/>
        <v>0</v>
      </c>
      <c r="J16" s="70">
        <f t="shared" si="1"/>
        <v>0</v>
      </c>
    </row>
    <row r="17" spans="1:10" x14ac:dyDescent="0.25">
      <c r="A17" s="267" t="s">
        <v>17</v>
      </c>
      <c r="B17" s="268" t="s">
        <v>597</v>
      </c>
      <c r="C17" s="269">
        <v>12</v>
      </c>
      <c r="D17" s="270">
        <v>144</v>
      </c>
      <c r="E17" s="129">
        <v>6600</v>
      </c>
      <c r="F17" s="219"/>
      <c r="G17" s="48">
        <v>10500</v>
      </c>
      <c r="H17" s="219"/>
      <c r="I17" s="70">
        <f t="shared" si="0"/>
        <v>0</v>
      </c>
      <c r="J17" s="70">
        <f t="shared" si="1"/>
        <v>0</v>
      </c>
    </row>
    <row r="18" spans="1:10" x14ac:dyDescent="0.25">
      <c r="A18" s="271" t="s">
        <v>19</v>
      </c>
      <c r="B18" s="268" t="s">
        <v>598</v>
      </c>
      <c r="C18" s="269">
        <v>12</v>
      </c>
      <c r="D18" s="270">
        <v>144</v>
      </c>
      <c r="E18" s="129">
        <v>6600</v>
      </c>
      <c r="F18" s="219"/>
      <c r="G18" s="48">
        <v>10500</v>
      </c>
      <c r="H18" s="219"/>
      <c r="I18" s="70">
        <f t="shared" si="0"/>
        <v>0</v>
      </c>
      <c r="J18" s="70">
        <f t="shared" si="1"/>
        <v>0</v>
      </c>
    </row>
    <row r="19" spans="1:10" x14ac:dyDescent="0.25">
      <c r="A19" s="267" t="s">
        <v>20</v>
      </c>
      <c r="B19" s="268" t="s">
        <v>599</v>
      </c>
      <c r="C19" s="269">
        <v>12</v>
      </c>
      <c r="D19" s="270">
        <v>144</v>
      </c>
      <c r="E19" s="129">
        <v>6600</v>
      </c>
      <c r="F19" s="219"/>
      <c r="G19" s="48">
        <v>10500</v>
      </c>
      <c r="H19" s="219"/>
      <c r="I19" s="70">
        <f t="shared" si="0"/>
        <v>0</v>
      </c>
      <c r="J19" s="70">
        <f t="shared" si="1"/>
        <v>0</v>
      </c>
    </row>
    <row r="20" spans="1:10" x14ac:dyDescent="0.25">
      <c r="A20" s="271" t="s">
        <v>21</v>
      </c>
      <c r="B20" s="268" t="s">
        <v>600</v>
      </c>
      <c r="C20" s="269">
        <v>12</v>
      </c>
      <c r="D20" s="270">
        <v>144</v>
      </c>
      <c r="E20" s="129">
        <v>6600</v>
      </c>
      <c r="F20" s="219"/>
      <c r="G20" s="48">
        <v>10500</v>
      </c>
      <c r="H20" s="219"/>
      <c r="I20" s="70">
        <f t="shared" si="0"/>
        <v>0</v>
      </c>
      <c r="J20" s="70">
        <f t="shared" si="1"/>
        <v>0</v>
      </c>
    </row>
    <row r="21" spans="1:10" x14ac:dyDescent="0.25">
      <c r="A21" s="267" t="s">
        <v>22</v>
      </c>
      <c r="B21" s="268" t="s">
        <v>601</v>
      </c>
      <c r="C21" s="269">
        <v>12</v>
      </c>
      <c r="D21" s="270">
        <v>144</v>
      </c>
      <c r="E21" s="129">
        <v>6600</v>
      </c>
      <c r="F21" s="219"/>
      <c r="G21" s="48">
        <v>10500</v>
      </c>
      <c r="H21" s="219"/>
      <c r="I21" s="70">
        <f t="shared" si="0"/>
        <v>0</v>
      </c>
      <c r="J21" s="70">
        <f t="shared" si="1"/>
        <v>0</v>
      </c>
    </row>
    <row r="22" spans="1:10" x14ac:dyDescent="0.25">
      <c r="A22" s="271" t="s">
        <v>23</v>
      </c>
      <c r="B22" s="268" t="s">
        <v>602</v>
      </c>
      <c r="C22" s="269">
        <v>12</v>
      </c>
      <c r="D22" s="270">
        <v>144</v>
      </c>
      <c r="E22" s="129">
        <v>6600</v>
      </c>
      <c r="F22" s="219"/>
      <c r="G22" s="48">
        <v>10500</v>
      </c>
      <c r="H22" s="219"/>
      <c r="I22" s="70">
        <f t="shared" si="0"/>
        <v>0</v>
      </c>
      <c r="J22" s="70">
        <f t="shared" si="1"/>
        <v>0</v>
      </c>
    </row>
    <row r="23" spans="1:10" x14ac:dyDescent="0.25">
      <c r="A23" s="267" t="s">
        <v>24</v>
      </c>
      <c r="B23" s="268" t="s">
        <v>603</v>
      </c>
      <c r="C23" s="269">
        <v>12</v>
      </c>
      <c r="D23" s="270">
        <v>144</v>
      </c>
      <c r="E23" s="129">
        <v>6600</v>
      </c>
      <c r="F23" s="219"/>
      <c r="G23" s="48">
        <v>10500</v>
      </c>
      <c r="H23" s="219"/>
      <c r="I23" s="70">
        <f t="shared" si="0"/>
        <v>0</v>
      </c>
      <c r="J23" s="70">
        <f t="shared" si="1"/>
        <v>0</v>
      </c>
    </row>
    <row r="24" spans="1:10" x14ac:dyDescent="0.25">
      <c r="A24" s="271" t="s">
        <v>25</v>
      </c>
      <c r="B24" s="268" t="s">
        <v>604</v>
      </c>
      <c r="C24" s="269">
        <v>12</v>
      </c>
      <c r="D24" s="270">
        <v>144</v>
      </c>
      <c r="E24" s="129">
        <v>6600</v>
      </c>
      <c r="F24" s="219"/>
      <c r="G24" s="48">
        <v>10500</v>
      </c>
      <c r="H24" s="219"/>
      <c r="I24" s="70">
        <f t="shared" si="0"/>
        <v>0</v>
      </c>
      <c r="J24" s="70">
        <f t="shared" si="1"/>
        <v>0</v>
      </c>
    </row>
    <row r="25" spans="1:10" x14ac:dyDescent="0.25">
      <c r="A25" s="267" t="s">
        <v>26</v>
      </c>
      <c r="B25" s="268" t="s">
        <v>605</v>
      </c>
      <c r="C25" s="269">
        <v>12</v>
      </c>
      <c r="D25" s="270">
        <v>144</v>
      </c>
      <c r="E25" s="129">
        <v>6600</v>
      </c>
      <c r="F25" s="219"/>
      <c r="G25" s="48">
        <v>10500</v>
      </c>
      <c r="H25" s="219"/>
      <c r="I25" s="70">
        <f t="shared" si="0"/>
        <v>0</v>
      </c>
      <c r="J25" s="70">
        <f t="shared" si="1"/>
        <v>0</v>
      </c>
    </row>
    <row r="26" spans="1:10" x14ac:dyDescent="0.25">
      <c r="A26" s="271" t="s">
        <v>27</v>
      </c>
      <c r="B26" s="268" t="s">
        <v>606</v>
      </c>
      <c r="C26" s="269">
        <v>12</v>
      </c>
      <c r="D26" s="270">
        <v>144</v>
      </c>
      <c r="E26" s="129">
        <v>6600</v>
      </c>
      <c r="F26" s="219"/>
      <c r="G26" s="48">
        <v>10500</v>
      </c>
      <c r="H26" s="219"/>
      <c r="I26" s="70">
        <f t="shared" si="0"/>
        <v>0</v>
      </c>
      <c r="J26" s="70">
        <f t="shared" si="1"/>
        <v>0</v>
      </c>
    </row>
    <row r="27" spans="1:10" x14ac:dyDescent="0.25">
      <c r="A27" s="267" t="s">
        <v>28</v>
      </c>
      <c r="B27" s="268" t="s">
        <v>607</v>
      </c>
      <c r="C27" s="269">
        <v>12</v>
      </c>
      <c r="D27" s="270">
        <v>144</v>
      </c>
      <c r="E27" s="129">
        <v>6600</v>
      </c>
      <c r="F27" s="219"/>
      <c r="G27" s="48">
        <v>10500</v>
      </c>
      <c r="H27" s="219"/>
      <c r="I27" s="70">
        <f t="shared" si="0"/>
        <v>0</v>
      </c>
      <c r="J27" s="70">
        <f t="shared" si="1"/>
        <v>0</v>
      </c>
    </row>
    <row r="28" spans="1:10" x14ac:dyDescent="0.25">
      <c r="A28" s="278" t="s">
        <v>29</v>
      </c>
      <c r="B28" s="279" t="s">
        <v>518</v>
      </c>
      <c r="C28" s="280">
        <v>6</v>
      </c>
      <c r="D28" s="281">
        <v>160</v>
      </c>
      <c r="E28" s="282">
        <v>7000</v>
      </c>
      <c r="F28" s="219"/>
      <c r="G28" s="48">
        <v>15000</v>
      </c>
      <c r="H28" s="219"/>
      <c r="I28" s="70">
        <f t="shared" si="0"/>
        <v>0</v>
      </c>
      <c r="J28" s="70">
        <f t="shared" si="1"/>
        <v>0</v>
      </c>
    </row>
    <row r="29" spans="1:10" x14ac:dyDescent="0.25">
      <c r="A29" s="283" t="s">
        <v>30</v>
      </c>
      <c r="B29" s="279" t="s">
        <v>519</v>
      </c>
      <c r="C29" s="280">
        <v>9</v>
      </c>
      <c r="D29" s="281">
        <v>112</v>
      </c>
      <c r="E29" s="282">
        <v>5250</v>
      </c>
      <c r="F29" s="219"/>
      <c r="G29" s="48">
        <v>10500</v>
      </c>
      <c r="H29" s="219"/>
      <c r="I29" s="70">
        <f t="shared" si="0"/>
        <v>0</v>
      </c>
      <c r="J29" s="70">
        <f t="shared" si="1"/>
        <v>0</v>
      </c>
    </row>
    <row r="30" spans="1:10" x14ac:dyDescent="0.25">
      <c r="A30" s="278" t="s">
        <v>31</v>
      </c>
      <c r="B30" s="279" t="s">
        <v>520</v>
      </c>
      <c r="C30" s="280">
        <v>9</v>
      </c>
      <c r="D30" s="281">
        <v>112</v>
      </c>
      <c r="E30" s="282">
        <v>5250</v>
      </c>
      <c r="F30" s="219"/>
      <c r="G30" s="48">
        <v>10500</v>
      </c>
      <c r="H30" s="219"/>
      <c r="I30" s="70">
        <f t="shared" si="0"/>
        <v>0</v>
      </c>
      <c r="J30" s="70">
        <f t="shared" si="1"/>
        <v>0</v>
      </c>
    </row>
    <row r="31" spans="1:10" x14ac:dyDescent="0.25">
      <c r="A31" s="283" t="s">
        <v>32</v>
      </c>
      <c r="B31" s="279" t="s">
        <v>521</v>
      </c>
      <c r="C31" s="280">
        <v>9</v>
      </c>
      <c r="D31" s="281">
        <v>112</v>
      </c>
      <c r="E31" s="282">
        <v>5250</v>
      </c>
      <c r="F31" s="219"/>
      <c r="G31" s="48">
        <v>10500</v>
      </c>
      <c r="H31" s="219"/>
      <c r="I31" s="70">
        <f t="shared" si="0"/>
        <v>0</v>
      </c>
      <c r="J31" s="70">
        <f t="shared" si="1"/>
        <v>0</v>
      </c>
    </row>
    <row r="32" spans="1:10" x14ac:dyDescent="0.25">
      <c r="A32" s="278" t="s">
        <v>33</v>
      </c>
      <c r="B32" s="279" t="s">
        <v>522</v>
      </c>
      <c r="C32" s="280">
        <v>9</v>
      </c>
      <c r="D32" s="281">
        <v>112</v>
      </c>
      <c r="E32" s="282">
        <v>5250</v>
      </c>
      <c r="F32" s="219"/>
      <c r="G32" s="48">
        <v>10500</v>
      </c>
      <c r="H32" s="219"/>
      <c r="I32" s="70">
        <f t="shared" si="0"/>
        <v>0</v>
      </c>
      <c r="J32" s="70">
        <f t="shared" si="1"/>
        <v>0</v>
      </c>
    </row>
    <row r="33" spans="1:10" x14ac:dyDescent="0.25">
      <c r="A33" s="283" t="s">
        <v>34</v>
      </c>
      <c r="B33" s="279" t="s">
        <v>523</v>
      </c>
      <c r="C33" s="280">
        <v>9</v>
      </c>
      <c r="D33" s="281">
        <v>112</v>
      </c>
      <c r="E33" s="282">
        <v>5250</v>
      </c>
      <c r="F33" s="219"/>
      <c r="G33" s="48">
        <v>10500</v>
      </c>
      <c r="H33" s="219"/>
      <c r="I33" s="70">
        <f t="shared" si="0"/>
        <v>0</v>
      </c>
      <c r="J33" s="70">
        <f t="shared" si="1"/>
        <v>0</v>
      </c>
    </row>
    <row r="34" spans="1:10" x14ac:dyDescent="0.25">
      <c r="A34" s="278" t="s">
        <v>35</v>
      </c>
      <c r="B34" s="279" t="s">
        <v>519</v>
      </c>
      <c r="C34" s="280">
        <v>12</v>
      </c>
      <c r="D34" s="281">
        <v>112</v>
      </c>
      <c r="E34" s="282">
        <v>5250</v>
      </c>
      <c r="F34" s="219"/>
      <c r="G34" s="48">
        <v>10500</v>
      </c>
      <c r="H34" s="219"/>
      <c r="I34" s="70">
        <f t="shared" si="0"/>
        <v>0</v>
      </c>
      <c r="J34" s="70">
        <f t="shared" si="1"/>
        <v>0</v>
      </c>
    </row>
    <row r="35" spans="1:10" x14ac:dyDescent="0.25">
      <c r="A35" s="283" t="s">
        <v>36</v>
      </c>
      <c r="B35" s="279" t="s">
        <v>520</v>
      </c>
      <c r="C35" s="280">
        <v>12</v>
      </c>
      <c r="D35" s="281">
        <v>112</v>
      </c>
      <c r="E35" s="282">
        <v>5250</v>
      </c>
      <c r="F35" s="219"/>
      <c r="G35" s="48">
        <v>10500</v>
      </c>
      <c r="H35" s="219"/>
      <c r="I35" s="70">
        <f t="shared" si="0"/>
        <v>0</v>
      </c>
      <c r="J35" s="70">
        <f t="shared" si="1"/>
        <v>0</v>
      </c>
    </row>
    <row r="36" spans="1:10" x14ac:dyDescent="0.25">
      <c r="A36" s="278" t="s">
        <v>37</v>
      </c>
      <c r="B36" s="279" t="s">
        <v>521</v>
      </c>
      <c r="C36" s="280">
        <v>12</v>
      </c>
      <c r="D36" s="281">
        <v>112</v>
      </c>
      <c r="E36" s="282">
        <v>5250</v>
      </c>
      <c r="F36" s="219"/>
      <c r="G36" s="48">
        <v>10500</v>
      </c>
      <c r="H36" s="219"/>
      <c r="I36" s="70">
        <f t="shared" si="0"/>
        <v>0</v>
      </c>
      <c r="J36" s="70">
        <f t="shared" si="1"/>
        <v>0</v>
      </c>
    </row>
    <row r="37" spans="1:10" x14ac:dyDescent="0.25">
      <c r="A37" s="283" t="s">
        <v>38</v>
      </c>
      <c r="B37" s="279" t="s">
        <v>522</v>
      </c>
      <c r="C37" s="280">
        <v>12</v>
      </c>
      <c r="D37" s="281">
        <v>112</v>
      </c>
      <c r="E37" s="282">
        <v>5250</v>
      </c>
      <c r="F37" s="219"/>
      <c r="G37" s="48">
        <v>10500</v>
      </c>
      <c r="H37" s="219"/>
      <c r="I37" s="70">
        <f t="shared" si="0"/>
        <v>0</v>
      </c>
      <c r="J37" s="70">
        <f t="shared" si="1"/>
        <v>0</v>
      </c>
    </row>
    <row r="38" spans="1:10" x14ac:dyDescent="0.25">
      <c r="A38" s="278" t="s">
        <v>39</v>
      </c>
      <c r="B38" s="279" t="s">
        <v>523</v>
      </c>
      <c r="C38" s="280">
        <v>12</v>
      </c>
      <c r="D38" s="281">
        <v>112</v>
      </c>
      <c r="E38" s="282">
        <v>5250</v>
      </c>
      <c r="F38" s="219"/>
      <c r="G38" s="48">
        <v>10500</v>
      </c>
      <c r="H38" s="219"/>
      <c r="I38" s="70">
        <f t="shared" si="0"/>
        <v>0</v>
      </c>
      <c r="J38" s="70">
        <f t="shared" si="1"/>
        <v>0</v>
      </c>
    </row>
    <row r="39" spans="1:10" x14ac:dyDescent="0.25">
      <c r="F39" s="26">
        <f>SUM(F5:F38)</f>
        <v>0</v>
      </c>
      <c r="H39" s="26">
        <f>SUM(H5:H38)</f>
        <v>0</v>
      </c>
      <c r="I39" s="26">
        <f t="shared" ref="I39:J39" si="2">SUM(I5:I38)</f>
        <v>0</v>
      </c>
      <c r="J39" s="26">
        <f t="shared" si="2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BBAD-B4D0-4F4C-A4EA-AF106E380FFE}">
  <dimension ref="A1:G27"/>
  <sheetViews>
    <sheetView view="pageBreakPreview" zoomScale="80" zoomScaleSheetLayoutView="80" workbookViewId="0">
      <selection activeCell="I16" sqref="I16"/>
    </sheetView>
  </sheetViews>
  <sheetFormatPr defaultRowHeight="15" x14ac:dyDescent="0.25"/>
  <cols>
    <col min="2" max="2" width="48.7109375" customWidth="1"/>
    <col min="3" max="3" width="11" customWidth="1"/>
    <col min="4" max="4" width="8" customWidth="1"/>
    <col min="5" max="5" width="11.42578125" customWidth="1"/>
    <col min="6" max="6" width="11.28515625" customWidth="1"/>
    <col min="7" max="7" width="12" hidden="1" customWidth="1"/>
    <col min="8" max="11" width="12" customWidth="1"/>
  </cols>
  <sheetData>
    <row r="1" spans="1:7" ht="30" x14ac:dyDescent="0.4">
      <c r="A1" s="1" t="s">
        <v>438</v>
      </c>
    </row>
    <row r="2" spans="1:7" ht="31.5" x14ac:dyDescent="0.55000000000000004">
      <c r="A2" s="43" t="str">
        <f>REKAP!A2</f>
        <v>Smt. 2 Tahun Ajaran 2026 - 2027</v>
      </c>
      <c r="B2" s="90"/>
    </row>
    <row r="3" spans="1:7" x14ac:dyDescent="0.25">
      <c r="A3" s="265" t="s">
        <v>583</v>
      </c>
      <c r="B3" s="266">
        <f>REKAP!$J$4</f>
        <v>0</v>
      </c>
    </row>
    <row r="4" spans="1:7" ht="15" customHeight="1" x14ac:dyDescent="0.25">
      <c r="A4" s="308" t="s">
        <v>0</v>
      </c>
      <c r="B4" s="308" t="s">
        <v>222</v>
      </c>
      <c r="C4" s="308" t="s">
        <v>1</v>
      </c>
      <c r="D4" s="308" t="s">
        <v>2</v>
      </c>
      <c r="E4" s="309" t="s">
        <v>3</v>
      </c>
      <c r="F4" s="309" t="s">
        <v>207</v>
      </c>
    </row>
    <row r="5" spans="1:7" ht="15" customHeight="1" x14ac:dyDescent="0.25">
      <c r="A5" s="308"/>
      <c r="B5" s="308"/>
      <c r="C5" s="308"/>
      <c r="D5" s="308"/>
      <c r="E5" s="309"/>
      <c r="F5" s="309"/>
    </row>
    <row r="6" spans="1:7" ht="24.75" customHeight="1" x14ac:dyDescent="0.25">
      <c r="A6" s="76">
        <v>1</v>
      </c>
      <c r="B6" s="77" t="s">
        <v>440</v>
      </c>
      <c r="C6" s="78" t="s">
        <v>461</v>
      </c>
      <c r="D6" s="79">
        <v>56</v>
      </c>
      <c r="E6" s="84">
        <v>5500</v>
      </c>
      <c r="F6" s="219"/>
      <c r="G6" s="70">
        <f>E6*F6</f>
        <v>0</v>
      </c>
    </row>
    <row r="7" spans="1:7" ht="24.75" customHeight="1" x14ac:dyDescent="0.25">
      <c r="A7" s="76">
        <v>2</v>
      </c>
      <c r="B7" s="77" t="s">
        <v>441</v>
      </c>
      <c r="C7" s="78" t="s">
        <v>462</v>
      </c>
      <c r="D7" s="79">
        <v>32</v>
      </c>
      <c r="E7" s="84">
        <v>3700</v>
      </c>
      <c r="F7" s="219"/>
      <c r="G7" s="70">
        <f t="shared" ref="G7:G26" si="0">E7*F7</f>
        <v>0</v>
      </c>
    </row>
    <row r="8" spans="1:7" ht="24.75" customHeight="1" x14ac:dyDescent="0.25">
      <c r="A8" s="76">
        <v>3</v>
      </c>
      <c r="B8" s="77" t="s">
        <v>442</v>
      </c>
      <c r="C8" s="78" t="s">
        <v>462</v>
      </c>
      <c r="D8" s="79">
        <v>32</v>
      </c>
      <c r="E8" s="84">
        <v>3700</v>
      </c>
      <c r="F8" s="219"/>
      <c r="G8" s="70">
        <f t="shared" si="0"/>
        <v>0</v>
      </c>
    </row>
    <row r="9" spans="1:7" ht="24.75" customHeight="1" x14ac:dyDescent="0.25">
      <c r="A9" s="76">
        <v>4</v>
      </c>
      <c r="B9" s="77" t="s">
        <v>443</v>
      </c>
      <c r="C9" s="78" t="s">
        <v>462</v>
      </c>
      <c r="D9" s="79">
        <v>32</v>
      </c>
      <c r="E9" s="84">
        <v>3700</v>
      </c>
      <c r="F9" s="219"/>
      <c r="G9" s="70">
        <f t="shared" si="0"/>
        <v>0</v>
      </c>
    </row>
    <row r="10" spans="1:7" ht="24.75" customHeight="1" x14ac:dyDescent="0.25">
      <c r="A10" s="76">
        <v>5</v>
      </c>
      <c r="B10" s="77" t="s">
        <v>444</v>
      </c>
      <c r="C10" s="78" t="s">
        <v>462</v>
      </c>
      <c r="D10" s="79">
        <v>32</v>
      </c>
      <c r="E10" s="84">
        <v>3700</v>
      </c>
      <c r="F10" s="219"/>
      <c r="G10" s="70">
        <f t="shared" si="0"/>
        <v>0</v>
      </c>
    </row>
    <row r="11" spans="1:7" ht="24.75" customHeight="1" x14ac:dyDescent="0.25">
      <c r="A11" s="76">
        <v>6</v>
      </c>
      <c r="B11" s="77" t="s">
        <v>445</v>
      </c>
      <c r="C11" s="78" t="s">
        <v>462</v>
      </c>
      <c r="D11" s="79">
        <v>32</v>
      </c>
      <c r="E11" s="84">
        <v>3700</v>
      </c>
      <c r="F11" s="219"/>
      <c r="G11" s="70">
        <f t="shared" si="0"/>
        <v>0</v>
      </c>
    </row>
    <row r="12" spans="1:7" ht="24.75" customHeight="1" x14ac:dyDescent="0.25">
      <c r="A12" s="76">
        <v>7</v>
      </c>
      <c r="B12" s="77" t="s">
        <v>446</v>
      </c>
      <c r="C12" s="78" t="s">
        <v>462</v>
      </c>
      <c r="D12" s="79">
        <v>32</v>
      </c>
      <c r="E12" s="84">
        <v>3700</v>
      </c>
      <c r="F12" s="219"/>
      <c r="G12" s="70">
        <f t="shared" si="0"/>
        <v>0</v>
      </c>
    </row>
    <row r="13" spans="1:7" ht="24.75" customHeight="1" x14ac:dyDescent="0.25">
      <c r="A13" s="76">
        <v>8</v>
      </c>
      <c r="B13" s="77" t="s">
        <v>447</v>
      </c>
      <c r="C13" s="78" t="s">
        <v>462</v>
      </c>
      <c r="D13" s="79">
        <v>32</v>
      </c>
      <c r="E13" s="84">
        <v>3700</v>
      </c>
      <c r="F13" s="219"/>
      <c r="G13" s="70">
        <f t="shared" si="0"/>
        <v>0</v>
      </c>
    </row>
    <row r="14" spans="1:7" ht="24.75" customHeight="1" x14ac:dyDescent="0.25">
      <c r="A14" s="76">
        <v>9</v>
      </c>
      <c r="B14" s="77" t="s">
        <v>448</v>
      </c>
      <c r="C14" s="78" t="s">
        <v>462</v>
      </c>
      <c r="D14" s="79">
        <v>32</v>
      </c>
      <c r="E14" s="84">
        <v>3700</v>
      </c>
      <c r="F14" s="219"/>
      <c r="G14" s="70">
        <f t="shared" si="0"/>
        <v>0</v>
      </c>
    </row>
    <row r="15" spans="1:7" ht="24.75" customHeight="1" x14ac:dyDescent="0.25">
      <c r="A15" s="76">
        <v>10</v>
      </c>
      <c r="B15" s="77" t="s">
        <v>449</v>
      </c>
      <c r="C15" s="78" t="s">
        <v>462</v>
      </c>
      <c r="D15" s="79">
        <v>32</v>
      </c>
      <c r="E15" s="84">
        <v>3700</v>
      </c>
      <c r="F15" s="219"/>
      <c r="G15" s="70">
        <f t="shared" si="0"/>
        <v>0</v>
      </c>
    </row>
    <row r="16" spans="1:7" ht="24.75" customHeight="1" x14ac:dyDescent="0.25">
      <c r="A16" s="76">
        <v>11</v>
      </c>
      <c r="B16" s="77" t="s">
        <v>450</v>
      </c>
      <c r="C16" s="78" t="s">
        <v>462</v>
      </c>
      <c r="D16" s="79">
        <v>32</v>
      </c>
      <c r="E16" s="84">
        <v>3700</v>
      </c>
      <c r="F16" s="219"/>
      <c r="G16" s="70">
        <f t="shared" si="0"/>
        <v>0</v>
      </c>
    </row>
    <row r="17" spans="1:7" ht="24.75" customHeight="1" x14ac:dyDescent="0.25">
      <c r="A17" s="76">
        <v>12</v>
      </c>
      <c r="B17" s="77" t="s">
        <v>451</v>
      </c>
      <c r="C17" s="78" t="s">
        <v>463</v>
      </c>
      <c r="D17" s="79">
        <v>32</v>
      </c>
      <c r="E17" s="84">
        <v>3700</v>
      </c>
      <c r="F17" s="219"/>
      <c r="G17" s="70">
        <f t="shared" si="0"/>
        <v>0</v>
      </c>
    </row>
    <row r="18" spans="1:7" ht="24.75" customHeight="1" x14ac:dyDescent="0.25">
      <c r="A18" s="76">
        <v>13</v>
      </c>
      <c r="B18" s="77" t="s">
        <v>452</v>
      </c>
      <c r="C18" s="78" t="s">
        <v>463</v>
      </c>
      <c r="D18" s="79">
        <v>32</v>
      </c>
      <c r="E18" s="84">
        <v>3700</v>
      </c>
      <c r="F18" s="219"/>
      <c r="G18" s="70">
        <f t="shared" si="0"/>
        <v>0</v>
      </c>
    </row>
    <row r="19" spans="1:7" ht="24.75" customHeight="1" x14ac:dyDescent="0.25">
      <c r="A19" s="76">
        <v>14</v>
      </c>
      <c r="B19" s="77" t="s">
        <v>453</v>
      </c>
      <c r="C19" s="78" t="s">
        <v>463</v>
      </c>
      <c r="D19" s="79">
        <v>32</v>
      </c>
      <c r="E19" s="84">
        <v>3700</v>
      </c>
      <c r="F19" s="219"/>
      <c r="G19" s="70">
        <f t="shared" si="0"/>
        <v>0</v>
      </c>
    </row>
    <row r="20" spans="1:7" ht="24.75" customHeight="1" x14ac:dyDescent="0.25">
      <c r="A20" s="76">
        <v>15</v>
      </c>
      <c r="B20" s="77" t="s">
        <v>454</v>
      </c>
      <c r="C20" s="78" t="s">
        <v>463</v>
      </c>
      <c r="D20" s="79">
        <v>32</v>
      </c>
      <c r="E20" s="84">
        <v>3700</v>
      </c>
      <c r="F20" s="219"/>
      <c r="G20" s="70">
        <f t="shared" si="0"/>
        <v>0</v>
      </c>
    </row>
    <row r="21" spans="1:7" ht="24.75" customHeight="1" x14ac:dyDescent="0.25">
      <c r="A21" s="76">
        <v>16</v>
      </c>
      <c r="B21" s="77" t="s">
        <v>455</v>
      </c>
      <c r="C21" s="78" t="s">
        <v>463</v>
      </c>
      <c r="D21" s="79">
        <v>32</v>
      </c>
      <c r="E21" s="84">
        <v>3700</v>
      </c>
      <c r="F21" s="219"/>
      <c r="G21" s="70">
        <f t="shared" si="0"/>
        <v>0</v>
      </c>
    </row>
    <row r="22" spans="1:7" ht="24.75" customHeight="1" x14ac:dyDescent="0.25">
      <c r="A22" s="76">
        <v>17</v>
      </c>
      <c r="B22" s="77" t="s">
        <v>456</v>
      </c>
      <c r="C22" s="78" t="s">
        <v>463</v>
      </c>
      <c r="D22" s="79">
        <v>32</v>
      </c>
      <c r="E22" s="84">
        <v>3700</v>
      </c>
      <c r="F22" s="219"/>
      <c r="G22" s="70">
        <f t="shared" si="0"/>
        <v>0</v>
      </c>
    </row>
    <row r="23" spans="1:7" ht="24.75" customHeight="1" x14ac:dyDescent="0.25">
      <c r="A23" s="76">
        <v>18</v>
      </c>
      <c r="B23" s="77" t="s">
        <v>457</v>
      </c>
      <c r="C23" s="78" t="s">
        <v>463</v>
      </c>
      <c r="D23" s="79">
        <v>32</v>
      </c>
      <c r="E23" s="84">
        <v>3700</v>
      </c>
      <c r="F23" s="219"/>
      <c r="G23" s="70">
        <f t="shared" si="0"/>
        <v>0</v>
      </c>
    </row>
    <row r="24" spans="1:7" ht="24.75" customHeight="1" x14ac:dyDescent="0.25">
      <c r="A24" s="76">
        <v>19</v>
      </c>
      <c r="B24" s="77" t="s">
        <v>458</v>
      </c>
      <c r="C24" s="78" t="s">
        <v>463</v>
      </c>
      <c r="D24" s="79">
        <v>32</v>
      </c>
      <c r="E24" s="84">
        <v>3700</v>
      </c>
      <c r="F24" s="219"/>
      <c r="G24" s="70">
        <f t="shared" si="0"/>
        <v>0</v>
      </c>
    </row>
    <row r="25" spans="1:7" ht="24.75" customHeight="1" x14ac:dyDescent="0.25">
      <c r="A25" s="76">
        <v>20</v>
      </c>
      <c r="B25" s="77" t="s">
        <v>459</v>
      </c>
      <c r="C25" s="78" t="s">
        <v>463</v>
      </c>
      <c r="D25" s="79">
        <v>32</v>
      </c>
      <c r="E25" s="84">
        <v>3700</v>
      </c>
      <c r="F25" s="219"/>
      <c r="G25" s="70">
        <f t="shared" si="0"/>
        <v>0</v>
      </c>
    </row>
    <row r="26" spans="1:7" ht="24.75" customHeight="1" x14ac:dyDescent="0.25">
      <c r="A26" s="76">
        <v>21</v>
      </c>
      <c r="B26" s="77" t="s">
        <v>460</v>
      </c>
      <c r="C26" s="78" t="s">
        <v>463</v>
      </c>
      <c r="D26" s="79">
        <v>32</v>
      </c>
      <c r="E26" s="84">
        <v>3700</v>
      </c>
      <c r="F26" s="219"/>
      <c r="G26" s="70">
        <f t="shared" si="0"/>
        <v>0</v>
      </c>
    </row>
    <row r="27" spans="1:7" ht="32.25" customHeight="1" x14ac:dyDescent="0.25">
      <c r="F27" s="146">
        <f>SUM(F6:F26)</f>
        <v>0</v>
      </c>
      <c r="G27" s="146">
        <f>SUM(G6:G26)</f>
        <v>0</v>
      </c>
    </row>
  </sheetData>
  <mergeCells count="6">
    <mergeCell ref="F4:F5"/>
    <mergeCell ref="A4:A5"/>
    <mergeCell ref="B4:B5"/>
    <mergeCell ref="C4:C5"/>
    <mergeCell ref="D4:D5"/>
    <mergeCell ref="E4:E5"/>
  </mergeCells>
  <pageMargins left="0.23622047244094491" right="0.23622047244094491" top="0.37" bottom="0.16" header="0.31496062992125984" footer="0.31496062992125984"/>
  <pageSetup paperSize="9" scale="47" orientation="portrait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6A82-1CF9-44F5-87EC-53601A2DDA65}">
  <sheetPr codeName="Sheet9">
    <tabColor rgb="FF00B0F0"/>
  </sheetPr>
  <dimension ref="A1:AEX90"/>
  <sheetViews>
    <sheetView zoomScale="90" zoomScaleNormal="90" workbookViewId="0">
      <pane xSplit="14" ySplit="5" topLeftCell="O46" activePane="bottomRight" state="frozen"/>
      <selection pane="topRight" activeCell="O1" sqref="O1"/>
      <selection pane="bottomLeft" activeCell="A6" sqref="A6"/>
      <selection pane="bottomRight" activeCell="E100" sqref="E100"/>
    </sheetView>
  </sheetViews>
  <sheetFormatPr defaultRowHeight="15" x14ac:dyDescent="0.25"/>
  <cols>
    <col min="2" max="2" width="20.140625" customWidth="1"/>
    <col min="3" max="3" width="10" bestFit="1" customWidth="1"/>
    <col min="4" max="4" width="23.5703125" customWidth="1"/>
    <col min="5" max="5" width="17.42578125" customWidth="1"/>
    <col min="8" max="8" width="12.140625" customWidth="1"/>
    <col min="13" max="13" width="12.85546875" customWidth="1"/>
    <col min="14" max="548" width="9.140625" customWidth="1"/>
    <col min="549" max="549" width="9.5703125" customWidth="1"/>
    <col min="550" max="717" width="9.140625" customWidth="1"/>
    <col min="830" max="830" width="9.140625" style="144"/>
  </cols>
  <sheetData>
    <row r="1" spans="1:830" x14ac:dyDescent="0.25">
      <c r="A1" s="28" t="s">
        <v>640</v>
      </c>
      <c r="D1" s="161" t="s">
        <v>350</v>
      </c>
      <c r="I1" s="70"/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  <c r="EZ1">
        <v>156</v>
      </c>
      <c r="FA1">
        <v>157</v>
      </c>
      <c r="FB1">
        <v>158</v>
      </c>
      <c r="FC1">
        <v>159</v>
      </c>
      <c r="FD1">
        <v>160</v>
      </c>
      <c r="FE1">
        <v>161</v>
      </c>
      <c r="FF1">
        <v>162</v>
      </c>
      <c r="FG1">
        <v>163</v>
      </c>
      <c r="FH1">
        <v>164</v>
      </c>
      <c r="FI1">
        <v>165</v>
      </c>
      <c r="FJ1">
        <v>166</v>
      </c>
      <c r="FK1">
        <v>167</v>
      </c>
      <c r="FL1">
        <v>168</v>
      </c>
      <c r="FM1">
        <v>169</v>
      </c>
      <c r="FN1">
        <v>170</v>
      </c>
      <c r="FO1">
        <v>171</v>
      </c>
      <c r="FP1">
        <v>172</v>
      </c>
      <c r="FQ1">
        <v>173</v>
      </c>
      <c r="FR1">
        <v>174</v>
      </c>
      <c r="FS1">
        <v>175</v>
      </c>
      <c r="FT1">
        <v>176</v>
      </c>
      <c r="FU1">
        <v>177</v>
      </c>
      <c r="FV1">
        <v>178</v>
      </c>
      <c r="FW1">
        <v>179</v>
      </c>
      <c r="FX1">
        <v>180</v>
      </c>
      <c r="FY1">
        <v>181</v>
      </c>
      <c r="FZ1">
        <v>182</v>
      </c>
      <c r="GA1">
        <v>183</v>
      </c>
      <c r="GB1">
        <v>184</v>
      </c>
      <c r="GC1">
        <v>185</v>
      </c>
      <c r="GD1">
        <v>186</v>
      </c>
      <c r="GE1">
        <v>187</v>
      </c>
      <c r="GF1">
        <v>188</v>
      </c>
      <c r="GG1">
        <v>189</v>
      </c>
      <c r="GH1">
        <v>190</v>
      </c>
      <c r="GI1">
        <v>191</v>
      </c>
      <c r="GJ1">
        <v>192</v>
      </c>
      <c r="GK1">
        <v>193</v>
      </c>
      <c r="GL1">
        <v>194</v>
      </c>
      <c r="GM1">
        <v>195</v>
      </c>
      <c r="GN1">
        <v>196</v>
      </c>
      <c r="GO1">
        <v>197</v>
      </c>
      <c r="GP1">
        <v>198</v>
      </c>
      <c r="GQ1">
        <v>199</v>
      </c>
      <c r="GR1">
        <v>200</v>
      </c>
      <c r="GS1">
        <v>201</v>
      </c>
      <c r="GT1">
        <v>202</v>
      </c>
      <c r="GU1">
        <v>203</v>
      </c>
      <c r="GV1">
        <v>204</v>
      </c>
      <c r="GW1">
        <v>205</v>
      </c>
      <c r="GX1">
        <v>206</v>
      </c>
      <c r="GY1">
        <v>207</v>
      </c>
      <c r="GZ1">
        <v>208</v>
      </c>
      <c r="HA1">
        <v>209</v>
      </c>
      <c r="HB1">
        <v>210</v>
      </c>
      <c r="HC1">
        <v>211</v>
      </c>
      <c r="HD1">
        <v>212</v>
      </c>
      <c r="HE1">
        <v>213</v>
      </c>
      <c r="HF1">
        <v>214</v>
      </c>
      <c r="HG1">
        <v>215</v>
      </c>
      <c r="HH1">
        <v>216</v>
      </c>
      <c r="HI1">
        <v>217</v>
      </c>
      <c r="HJ1">
        <v>218</v>
      </c>
      <c r="HK1">
        <v>219</v>
      </c>
      <c r="HL1">
        <v>220</v>
      </c>
      <c r="HM1">
        <v>221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  <c r="KO1">
        <v>301</v>
      </c>
      <c r="KP1">
        <v>302</v>
      </c>
      <c r="KQ1">
        <v>303</v>
      </c>
      <c r="KR1">
        <v>304</v>
      </c>
      <c r="KS1">
        <v>305</v>
      </c>
      <c r="KT1">
        <v>306</v>
      </c>
      <c r="KU1">
        <v>307</v>
      </c>
      <c r="KV1">
        <v>308</v>
      </c>
      <c r="KW1">
        <v>309</v>
      </c>
      <c r="KX1">
        <v>310</v>
      </c>
      <c r="KY1">
        <v>311</v>
      </c>
      <c r="KZ1">
        <v>312</v>
      </c>
      <c r="LA1">
        <v>313</v>
      </c>
      <c r="LB1">
        <v>314</v>
      </c>
      <c r="LC1">
        <v>315</v>
      </c>
      <c r="LD1">
        <v>316</v>
      </c>
      <c r="LE1">
        <v>317</v>
      </c>
      <c r="LF1">
        <v>318</v>
      </c>
      <c r="LG1">
        <v>319</v>
      </c>
      <c r="LH1">
        <v>320</v>
      </c>
      <c r="LI1">
        <v>321</v>
      </c>
      <c r="LJ1">
        <v>322</v>
      </c>
      <c r="LK1">
        <v>323</v>
      </c>
      <c r="LL1">
        <v>324</v>
      </c>
      <c r="LM1">
        <v>325</v>
      </c>
      <c r="LN1">
        <v>326</v>
      </c>
      <c r="LO1">
        <v>327</v>
      </c>
      <c r="LP1">
        <v>328</v>
      </c>
      <c r="LQ1">
        <v>329</v>
      </c>
      <c r="LR1">
        <v>330</v>
      </c>
      <c r="LS1">
        <v>331</v>
      </c>
      <c r="LT1">
        <v>332</v>
      </c>
      <c r="LU1">
        <v>333</v>
      </c>
      <c r="LV1">
        <v>334</v>
      </c>
      <c r="LW1">
        <v>335</v>
      </c>
      <c r="LX1">
        <v>336</v>
      </c>
      <c r="LY1">
        <v>337</v>
      </c>
      <c r="LZ1">
        <v>338</v>
      </c>
      <c r="MA1">
        <v>339</v>
      </c>
      <c r="MB1">
        <v>340</v>
      </c>
      <c r="MC1">
        <v>341</v>
      </c>
      <c r="MD1">
        <v>342</v>
      </c>
      <c r="ME1">
        <v>343</v>
      </c>
      <c r="MF1">
        <v>344</v>
      </c>
      <c r="MG1">
        <v>345</v>
      </c>
      <c r="MH1">
        <v>346</v>
      </c>
      <c r="MO1">
        <v>347</v>
      </c>
      <c r="MP1">
        <v>348</v>
      </c>
      <c r="MQ1">
        <v>349</v>
      </c>
      <c r="MR1">
        <v>350</v>
      </c>
      <c r="MS1">
        <v>351</v>
      </c>
      <c r="MT1">
        <v>352</v>
      </c>
      <c r="MU1">
        <v>353</v>
      </c>
      <c r="MV1">
        <v>354</v>
      </c>
      <c r="MW1">
        <v>355</v>
      </c>
      <c r="MX1">
        <v>356</v>
      </c>
      <c r="MY1">
        <v>357</v>
      </c>
      <c r="MZ1">
        <v>358</v>
      </c>
      <c r="NA1">
        <v>359</v>
      </c>
      <c r="NB1">
        <v>360</v>
      </c>
      <c r="NC1">
        <v>361</v>
      </c>
      <c r="ND1">
        <v>362</v>
      </c>
      <c r="NE1">
        <v>363</v>
      </c>
      <c r="NF1">
        <v>364</v>
      </c>
      <c r="NG1">
        <v>365</v>
      </c>
      <c r="NH1">
        <v>366</v>
      </c>
      <c r="NI1">
        <v>367</v>
      </c>
      <c r="NJ1">
        <v>368</v>
      </c>
      <c r="NK1">
        <v>369</v>
      </c>
      <c r="NL1">
        <v>370</v>
      </c>
      <c r="NM1">
        <v>371</v>
      </c>
      <c r="NN1">
        <v>372</v>
      </c>
      <c r="NO1">
        <v>373</v>
      </c>
      <c r="NP1">
        <v>374</v>
      </c>
      <c r="NQ1">
        <v>375</v>
      </c>
      <c r="NR1">
        <v>376</v>
      </c>
      <c r="NS1">
        <v>377</v>
      </c>
      <c r="NT1">
        <v>378</v>
      </c>
      <c r="NU1">
        <v>379</v>
      </c>
      <c r="NV1">
        <v>380</v>
      </c>
      <c r="NW1">
        <v>381</v>
      </c>
      <c r="NX1">
        <v>382</v>
      </c>
      <c r="NY1">
        <v>383</v>
      </c>
      <c r="NZ1">
        <v>384</v>
      </c>
      <c r="OA1">
        <v>385</v>
      </c>
      <c r="OB1">
        <v>386</v>
      </c>
      <c r="OC1">
        <v>387</v>
      </c>
      <c r="OD1">
        <v>388</v>
      </c>
      <c r="OE1">
        <v>389</v>
      </c>
      <c r="OF1">
        <v>390</v>
      </c>
      <c r="OG1">
        <v>391</v>
      </c>
      <c r="OH1">
        <v>392</v>
      </c>
      <c r="OI1">
        <v>393</v>
      </c>
      <c r="OJ1">
        <v>394</v>
      </c>
      <c r="OK1">
        <v>395</v>
      </c>
      <c r="OL1">
        <v>396</v>
      </c>
      <c r="OM1">
        <v>397</v>
      </c>
      <c r="ON1">
        <v>398</v>
      </c>
      <c r="OO1">
        <v>399</v>
      </c>
      <c r="OP1">
        <v>400</v>
      </c>
      <c r="OQ1">
        <v>401</v>
      </c>
      <c r="OR1">
        <v>402</v>
      </c>
      <c r="OS1">
        <v>403</v>
      </c>
      <c r="OT1">
        <v>404</v>
      </c>
      <c r="OU1">
        <v>405</v>
      </c>
      <c r="OV1">
        <v>406</v>
      </c>
      <c r="OW1">
        <v>407</v>
      </c>
      <c r="OX1">
        <v>408</v>
      </c>
      <c r="OY1">
        <v>409</v>
      </c>
      <c r="OZ1">
        <v>410</v>
      </c>
      <c r="PA1">
        <v>411</v>
      </c>
      <c r="PB1">
        <v>412</v>
      </c>
      <c r="PC1">
        <v>413</v>
      </c>
      <c r="PD1">
        <v>414</v>
      </c>
      <c r="PE1">
        <v>415</v>
      </c>
      <c r="PF1">
        <v>416</v>
      </c>
      <c r="PG1">
        <v>417</v>
      </c>
      <c r="PH1">
        <v>418</v>
      </c>
      <c r="PI1">
        <v>419</v>
      </c>
      <c r="PJ1">
        <v>420</v>
      </c>
      <c r="PK1">
        <v>421</v>
      </c>
      <c r="PL1">
        <v>422</v>
      </c>
      <c r="PM1">
        <v>423</v>
      </c>
      <c r="PN1">
        <v>424</v>
      </c>
      <c r="PO1">
        <v>425</v>
      </c>
      <c r="PP1">
        <v>426</v>
      </c>
      <c r="PQ1">
        <v>427</v>
      </c>
      <c r="PR1">
        <v>428</v>
      </c>
      <c r="PS1">
        <v>429</v>
      </c>
      <c r="PT1">
        <v>430</v>
      </c>
      <c r="PU1">
        <v>431</v>
      </c>
      <c r="PV1">
        <v>432</v>
      </c>
      <c r="PW1">
        <v>433</v>
      </c>
      <c r="PX1">
        <v>434</v>
      </c>
      <c r="PY1">
        <v>435</v>
      </c>
      <c r="PZ1">
        <v>436</v>
      </c>
      <c r="QA1">
        <v>437</v>
      </c>
      <c r="QB1">
        <v>438</v>
      </c>
      <c r="QC1">
        <v>439</v>
      </c>
      <c r="QD1">
        <v>440</v>
      </c>
      <c r="QE1">
        <v>441</v>
      </c>
      <c r="QF1">
        <v>442</v>
      </c>
      <c r="QG1">
        <v>443</v>
      </c>
      <c r="QH1">
        <v>444</v>
      </c>
      <c r="QM1">
        <v>445</v>
      </c>
      <c r="QN1">
        <v>450</v>
      </c>
      <c r="QO1">
        <v>451</v>
      </c>
      <c r="QP1">
        <v>452</v>
      </c>
      <c r="QQ1">
        <v>453</v>
      </c>
      <c r="QR1">
        <v>454</v>
      </c>
      <c r="QS1">
        <v>455</v>
      </c>
      <c r="QT1">
        <v>456</v>
      </c>
      <c r="QU1">
        <v>457</v>
      </c>
      <c r="QV1">
        <v>458</v>
      </c>
      <c r="QW1">
        <v>459</v>
      </c>
      <c r="QX1">
        <v>460</v>
      </c>
      <c r="QY1">
        <v>461</v>
      </c>
      <c r="QZ1">
        <v>462</v>
      </c>
      <c r="RA1">
        <v>463</v>
      </c>
      <c r="RB1">
        <v>464</v>
      </c>
      <c r="RC1">
        <v>465</v>
      </c>
      <c r="RD1">
        <v>466</v>
      </c>
      <c r="RE1">
        <v>467</v>
      </c>
      <c r="RF1">
        <v>468</v>
      </c>
      <c r="RG1">
        <v>469</v>
      </c>
      <c r="RH1">
        <v>470</v>
      </c>
      <c r="RI1">
        <v>471</v>
      </c>
      <c r="RJ1">
        <v>472</v>
      </c>
      <c r="RK1">
        <v>473</v>
      </c>
      <c r="RL1">
        <v>474</v>
      </c>
      <c r="RM1">
        <v>475</v>
      </c>
      <c r="RN1">
        <v>476</v>
      </c>
      <c r="RO1">
        <v>477</v>
      </c>
      <c r="RP1">
        <v>478</v>
      </c>
      <c r="RQ1">
        <v>479</v>
      </c>
      <c r="RR1">
        <v>480</v>
      </c>
      <c r="RS1">
        <v>481</v>
      </c>
      <c r="RT1">
        <v>482</v>
      </c>
      <c r="RU1">
        <v>483</v>
      </c>
      <c r="RV1">
        <v>484</v>
      </c>
      <c r="RW1">
        <v>485</v>
      </c>
      <c r="RX1">
        <v>486</v>
      </c>
      <c r="RY1">
        <v>487</v>
      </c>
      <c r="RZ1">
        <v>488</v>
      </c>
      <c r="SA1">
        <v>489</v>
      </c>
      <c r="SB1">
        <v>490</v>
      </c>
      <c r="SC1">
        <v>491</v>
      </c>
      <c r="SD1">
        <v>492</v>
      </c>
      <c r="SE1">
        <v>493</v>
      </c>
      <c r="SF1">
        <v>494</v>
      </c>
      <c r="SG1">
        <v>495</v>
      </c>
      <c r="SH1">
        <v>496</v>
      </c>
      <c r="SI1">
        <v>497</v>
      </c>
      <c r="SJ1">
        <v>498</v>
      </c>
      <c r="SK1">
        <v>499</v>
      </c>
      <c r="SL1">
        <v>500</v>
      </c>
      <c r="SM1">
        <v>501</v>
      </c>
      <c r="SN1">
        <v>502</v>
      </c>
      <c r="SO1">
        <v>503</v>
      </c>
      <c r="SP1">
        <v>504</v>
      </c>
      <c r="SQ1">
        <v>505</v>
      </c>
      <c r="SR1">
        <v>506</v>
      </c>
      <c r="SS1">
        <v>507</v>
      </c>
      <c r="ST1">
        <v>508</v>
      </c>
      <c r="SU1">
        <v>509</v>
      </c>
      <c r="SV1">
        <v>510</v>
      </c>
      <c r="SW1">
        <v>511</v>
      </c>
      <c r="SX1">
        <v>512</v>
      </c>
      <c r="SY1">
        <v>513</v>
      </c>
      <c r="SZ1">
        <v>514</v>
      </c>
      <c r="TA1">
        <v>515</v>
      </c>
      <c r="TB1">
        <v>516</v>
      </c>
      <c r="TC1">
        <v>517</v>
      </c>
      <c r="TD1">
        <v>518</v>
      </c>
      <c r="TE1">
        <v>519</v>
      </c>
      <c r="TF1">
        <v>520</v>
      </c>
      <c r="TG1">
        <v>521</v>
      </c>
      <c r="TH1">
        <v>522</v>
      </c>
      <c r="TI1">
        <v>523</v>
      </c>
      <c r="TJ1">
        <v>524</v>
      </c>
      <c r="TK1">
        <v>525</v>
      </c>
      <c r="TL1">
        <v>526</v>
      </c>
      <c r="TM1">
        <v>527</v>
      </c>
      <c r="TN1">
        <v>528</v>
      </c>
      <c r="TO1">
        <v>529</v>
      </c>
      <c r="TP1">
        <v>530</v>
      </c>
      <c r="TQ1">
        <v>531</v>
      </c>
      <c r="TR1">
        <v>532</v>
      </c>
      <c r="TS1">
        <v>533</v>
      </c>
      <c r="TT1">
        <v>534</v>
      </c>
      <c r="TU1">
        <v>535</v>
      </c>
      <c r="TV1">
        <v>536</v>
      </c>
      <c r="TW1">
        <v>537</v>
      </c>
      <c r="TX1">
        <v>538</v>
      </c>
      <c r="TY1">
        <v>539</v>
      </c>
      <c r="TZ1">
        <v>540</v>
      </c>
      <c r="UA1">
        <v>541</v>
      </c>
      <c r="UB1">
        <v>542</v>
      </c>
      <c r="UC1">
        <v>543</v>
      </c>
      <c r="UD1">
        <v>544</v>
      </c>
      <c r="UE1">
        <v>545</v>
      </c>
      <c r="UF1">
        <v>546</v>
      </c>
      <c r="UG1">
        <v>547</v>
      </c>
      <c r="UH1">
        <v>548</v>
      </c>
      <c r="UI1">
        <v>549</v>
      </c>
      <c r="UJ1">
        <v>550</v>
      </c>
      <c r="UK1">
        <v>551</v>
      </c>
      <c r="UL1">
        <v>552</v>
      </c>
      <c r="UM1">
        <v>553</v>
      </c>
      <c r="UN1">
        <v>554</v>
      </c>
      <c r="UO1">
        <v>555</v>
      </c>
      <c r="UP1">
        <v>556</v>
      </c>
      <c r="UQ1">
        <v>557</v>
      </c>
      <c r="UR1">
        <v>558</v>
      </c>
      <c r="US1">
        <v>559</v>
      </c>
      <c r="UT1">
        <v>560</v>
      </c>
      <c r="UU1">
        <v>561</v>
      </c>
      <c r="UV1">
        <v>562</v>
      </c>
      <c r="UW1">
        <v>563</v>
      </c>
      <c r="UX1">
        <v>564</v>
      </c>
      <c r="UY1">
        <v>565</v>
      </c>
      <c r="UZ1">
        <v>566</v>
      </c>
      <c r="VA1">
        <v>567</v>
      </c>
      <c r="VB1">
        <v>568</v>
      </c>
      <c r="VC1">
        <v>569</v>
      </c>
      <c r="VD1">
        <v>570</v>
      </c>
      <c r="VE1">
        <v>571</v>
      </c>
      <c r="VF1">
        <v>572</v>
      </c>
      <c r="VG1">
        <v>573</v>
      </c>
      <c r="VH1">
        <v>574</v>
      </c>
      <c r="VI1">
        <v>575</v>
      </c>
      <c r="VJ1">
        <v>576</v>
      </c>
      <c r="VK1">
        <v>577</v>
      </c>
      <c r="VL1">
        <v>578</v>
      </c>
      <c r="VM1">
        <v>579</v>
      </c>
      <c r="VN1">
        <v>580</v>
      </c>
      <c r="VO1">
        <v>581</v>
      </c>
      <c r="VP1">
        <v>582</v>
      </c>
      <c r="VQ1">
        <v>583</v>
      </c>
      <c r="VR1">
        <v>584</v>
      </c>
      <c r="VS1">
        <v>585</v>
      </c>
      <c r="VT1">
        <v>586</v>
      </c>
      <c r="VU1">
        <v>587</v>
      </c>
      <c r="VV1">
        <v>588</v>
      </c>
      <c r="VW1">
        <v>589</v>
      </c>
      <c r="VX1">
        <v>590</v>
      </c>
      <c r="VY1">
        <v>591</v>
      </c>
      <c r="VZ1">
        <v>592</v>
      </c>
      <c r="WA1">
        <v>593</v>
      </c>
      <c r="WB1">
        <v>594</v>
      </c>
      <c r="WC1">
        <v>595</v>
      </c>
      <c r="WD1">
        <v>596</v>
      </c>
      <c r="WE1">
        <v>597</v>
      </c>
      <c r="WF1">
        <v>598</v>
      </c>
      <c r="WG1">
        <v>599</v>
      </c>
      <c r="WH1">
        <v>600</v>
      </c>
      <c r="WI1">
        <v>601</v>
      </c>
      <c r="WJ1">
        <v>602</v>
      </c>
      <c r="WK1">
        <v>603</v>
      </c>
      <c r="WL1">
        <v>604</v>
      </c>
      <c r="WM1">
        <v>605</v>
      </c>
      <c r="WN1">
        <v>606</v>
      </c>
      <c r="WO1">
        <v>607</v>
      </c>
      <c r="WP1">
        <v>608</v>
      </c>
      <c r="WQ1">
        <v>609</v>
      </c>
      <c r="WR1">
        <v>610</v>
      </c>
      <c r="WS1">
        <v>611</v>
      </c>
      <c r="WT1">
        <v>612</v>
      </c>
      <c r="WU1">
        <v>613</v>
      </c>
      <c r="WV1">
        <v>614</v>
      </c>
      <c r="WW1">
        <v>615</v>
      </c>
      <c r="WX1">
        <v>616</v>
      </c>
      <c r="WY1">
        <v>617</v>
      </c>
      <c r="WZ1">
        <v>618</v>
      </c>
      <c r="XA1">
        <v>619</v>
      </c>
      <c r="XB1">
        <v>620</v>
      </c>
      <c r="XC1">
        <v>621</v>
      </c>
      <c r="XD1">
        <v>622</v>
      </c>
      <c r="XE1">
        <v>623</v>
      </c>
      <c r="XF1">
        <v>624</v>
      </c>
      <c r="XG1">
        <v>625</v>
      </c>
      <c r="XH1">
        <v>626</v>
      </c>
      <c r="XI1">
        <v>627</v>
      </c>
      <c r="XJ1">
        <v>628</v>
      </c>
      <c r="XK1">
        <v>629</v>
      </c>
      <c r="XL1">
        <v>630</v>
      </c>
      <c r="XM1">
        <v>631</v>
      </c>
      <c r="XN1">
        <v>632</v>
      </c>
      <c r="XO1">
        <v>633</v>
      </c>
      <c r="XP1">
        <v>634</v>
      </c>
      <c r="XQ1">
        <v>635</v>
      </c>
      <c r="XR1">
        <v>636</v>
      </c>
      <c r="XS1">
        <v>637</v>
      </c>
      <c r="XT1">
        <v>638</v>
      </c>
      <c r="XU1">
        <v>639</v>
      </c>
      <c r="XV1">
        <v>640</v>
      </c>
      <c r="XW1">
        <v>641</v>
      </c>
      <c r="XX1">
        <v>642</v>
      </c>
      <c r="XY1">
        <v>643</v>
      </c>
      <c r="XZ1">
        <v>644</v>
      </c>
      <c r="YA1">
        <v>645</v>
      </c>
      <c r="YB1">
        <v>646</v>
      </c>
      <c r="YC1">
        <v>647</v>
      </c>
      <c r="YD1">
        <v>648</v>
      </c>
      <c r="YE1">
        <v>649</v>
      </c>
      <c r="YF1">
        <v>650</v>
      </c>
      <c r="YG1">
        <v>651</v>
      </c>
      <c r="YH1">
        <v>652</v>
      </c>
      <c r="YI1">
        <v>653</v>
      </c>
      <c r="YJ1">
        <v>654</v>
      </c>
      <c r="YK1">
        <v>655</v>
      </c>
      <c r="YL1">
        <v>656</v>
      </c>
      <c r="YM1">
        <v>657</v>
      </c>
      <c r="YN1">
        <v>658</v>
      </c>
      <c r="YO1">
        <v>659</v>
      </c>
      <c r="YP1">
        <v>660</v>
      </c>
      <c r="YQ1">
        <v>661</v>
      </c>
      <c r="YR1">
        <v>662</v>
      </c>
      <c r="YS1">
        <v>663</v>
      </c>
      <c r="YT1">
        <v>664</v>
      </c>
      <c r="YU1">
        <v>665</v>
      </c>
      <c r="YV1">
        <v>666</v>
      </c>
      <c r="YW1">
        <v>667</v>
      </c>
      <c r="YX1">
        <v>668</v>
      </c>
      <c r="YY1">
        <v>669</v>
      </c>
      <c r="YZ1">
        <v>670</v>
      </c>
      <c r="ZA1">
        <v>671</v>
      </c>
      <c r="ZB1">
        <v>672</v>
      </c>
      <c r="ZC1">
        <v>673</v>
      </c>
      <c r="ZD1">
        <v>674</v>
      </c>
      <c r="ZE1">
        <v>675</v>
      </c>
      <c r="ZF1">
        <v>676</v>
      </c>
      <c r="ZG1">
        <v>677</v>
      </c>
      <c r="ZH1">
        <v>678</v>
      </c>
      <c r="ZI1">
        <v>679</v>
      </c>
      <c r="ZJ1">
        <v>680</v>
      </c>
      <c r="ZK1">
        <v>681</v>
      </c>
      <c r="ZL1">
        <v>682</v>
      </c>
      <c r="ZM1">
        <v>683</v>
      </c>
      <c r="ZN1">
        <v>684</v>
      </c>
      <c r="ZO1">
        <v>685</v>
      </c>
      <c r="ZP1">
        <v>686</v>
      </c>
      <c r="ZQ1">
        <v>687</v>
      </c>
      <c r="ZR1">
        <v>688</v>
      </c>
      <c r="ZS1">
        <v>689</v>
      </c>
      <c r="ZT1">
        <v>690</v>
      </c>
      <c r="ZU1">
        <v>691</v>
      </c>
      <c r="ZV1">
        <v>692</v>
      </c>
      <c r="ZW1">
        <v>693</v>
      </c>
      <c r="ZX1">
        <v>694</v>
      </c>
      <c r="ZY1">
        <v>695</v>
      </c>
      <c r="ZZ1">
        <v>696</v>
      </c>
      <c r="AAA1">
        <v>697</v>
      </c>
      <c r="AAB1">
        <v>698</v>
      </c>
      <c r="AAC1">
        <v>699</v>
      </c>
      <c r="AAD1">
        <v>700</v>
      </c>
      <c r="AAE1">
        <v>701</v>
      </c>
      <c r="AAF1">
        <v>702</v>
      </c>
      <c r="AAG1">
        <v>703</v>
      </c>
      <c r="AAH1">
        <v>704</v>
      </c>
      <c r="AAI1">
        <v>705</v>
      </c>
      <c r="AAJ1">
        <v>706</v>
      </c>
      <c r="AAK1">
        <v>707</v>
      </c>
      <c r="AAL1">
        <v>708</v>
      </c>
      <c r="AAM1">
        <v>709</v>
      </c>
      <c r="AAN1">
        <v>710</v>
      </c>
      <c r="AAO1">
        <v>711</v>
      </c>
      <c r="AAP1">
        <v>712</v>
      </c>
      <c r="AAQ1">
        <v>713</v>
      </c>
      <c r="AAR1">
        <v>714</v>
      </c>
      <c r="AAS1">
        <v>715</v>
      </c>
      <c r="AAT1">
        <v>716</v>
      </c>
      <c r="AAU1">
        <v>717</v>
      </c>
      <c r="AAV1">
        <v>718</v>
      </c>
      <c r="AAW1">
        <v>719</v>
      </c>
      <c r="AAX1">
        <v>720</v>
      </c>
      <c r="AAY1">
        <v>721</v>
      </c>
      <c r="AAZ1">
        <v>722</v>
      </c>
      <c r="ABA1">
        <v>723</v>
      </c>
      <c r="ABB1">
        <v>724</v>
      </c>
      <c r="ABC1">
        <v>725</v>
      </c>
      <c r="ABD1">
        <v>726</v>
      </c>
      <c r="ABE1">
        <v>727</v>
      </c>
      <c r="ABF1">
        <v>728</v>
      </c>
      <c r="ABG1">
        <v>729</v>
      </c>
      <c r="ABH1">
        <v>730</v>
      </c>
      <c r="ABI1">
        <v>731</v>
      </c>
      <c r="ABJ1">
        <v>732</v>
      </c>
      <c r="ABK1">
        <v>733</v>
      </c>
      <c r="ABL1">
        <v>734</v>
      </c>
      <c r="ACA1">
        <v>735</v>
      </c>
      <c r="ACB1">
        <v>736</v>
      </c>
      <c r="ACI1">
        <v>737</v>
      </c>
    </row>
    <row r="2" spans="1:830" ht="15" customHeight="1" x14ac:dyDescent="0.25">
      <c r="I2" s="70"/>
      <c r="N2" s="371" t="s">
        <v>615</v>
      </c>
      <c r="O2" s="371"/>
      <c r="P2" s="371"/>
      <c r="Q2" s="371"/>
      <c r="R2" s="371"/>
      <c r="S2" s="371"/>
      <c r="T2" s="372" t="s">
        <v>322</v>
      </c>
      <c r="U2" s="372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2"/>
      <c r="AO2" s="372"/>
      <c r="AP2" s="372"/>
      <c r="AQ2" s="372"/>
      <c r="AR2" s="372"/>
      <c r="AS2" s="372"/>
      <c r="AT2" s="372"/>
      <c r="AU2" s="372"/>
      <c r="AV2" s="372"/>
      <c r="AW2" s="372"/>
      <c r="AX2" s="372"/>
      <c r="AY2" s="372"/>
      <c r="AZ2" s="372"/>
      <c r="BA2" s="372"/>
      <c r="BB2" s="372"/>
      <c r="BC2" s="372"/>
      <c r="BD2" s="372"/>
      <c r="BE2" s="372"/>
      <c r="BF2" s="372"/>
      <c r="BG2" s="372"/>
      <c r="BH2" s="372"/>
      <c r="BI2" s="372"/>
      <c r="BJ2" s="372"/>
      <c r="BK2" s="372"/>
      <c r="BL2" s="372"/>
      <c r="BM2" s="372"/>
      <c r="BN2" s="372"/>
      <c r="BO2" s="372"/>
      <c r="BP2" s="372"/>
      <c r="BQ2" s="372"/>
      <c r="BR2" s="372"/>
      <c r="BS2" s="372"/>
      <c r="BT2" s="372"/>
      <c r="BU2" s="372"/>
      <c r="BV2" s="372"/>
      <c r="BW2" s="372"/>
      <c r="BX2" s="372"/>
      <c r="BY2" s="372"/>
      <c r="BZ2" s="372"/>
      <c r="CA2" s="372"/>
      <c r="CB2" s="372"/>
      <c r="CC2" s="372"/>
      <c r="CD2" s="372"/>
      <c r="CE2" s="372"/>
      <c r="CF2" s="372"/>
      <c r="CG2" s="372"/>
      <c r="CH2" s="372"/>
      <c r="CI2" s="372"/>
      <c r="CJ2" s="373" t="s">
        <v>323</v>
      </c>
      <c r="CK2" s="374"/>
      <c r="CL2" s="374"/>
      <c r="CM2" s="374"/>
      <c r="CN2" s="374"/>
      <c r="CO2" s="374"/>
      <c r="CP2" s="374"/>
      <c r="CQ2" s="374"/>
      <c r="CR2" s="374"/>
      <c r="CS2" s="374"/>
      <c r="CT2" s="374"/>
      <c r="CU2" s="374"/>
      <c r="CV2" s="374"/>
      <c r="CW2" s="374"/>
      <c r="CX2" s="374"/>
      <c r="CY2" s="374"/>
      <c r="CZ2" s="374"/>
      <c r="DA2" s="374"/>
      <c r="DB2" s="374"/>
      <c r="DC2" s="374"/>
      <c r="DD2" s="374"/>
      <c r="DE2" s="374"/>
      <c r="DF2" s="374"/>
      <c r="DG2" s="374"/>
      <c r="DH2" s="374"/>
      <c r="DI2" s="374"/>
      <c r="DJ2" s="374"/>
      <c r="DK2" s="374"/>
      <c r="DL2" s="374"/>
      <c r="DM2" s="374"/>
      <c r="DN2" s="374"/>
      <c r="DO2" s="374"/>
      <c r="DP2" s="374"/>
      <c r="DQ2" s="374"/>
      <c r="DR2" s="374"/>
      <c r="DS2" s="374"/>
      <c r="DT2" s="374"/>
      <c r="DU2" s="374"/>
      <c r="DV2" s="374"/>
      <c r="DW2" s="374"/>
      <c r="DX2" s="374"/>
      <c r="DY2" s="374"/>
      <c r="DZ2" s="374"/>
      <c r="EA2" s="374"/>
      <c r="EB2" s="374"/>
      <c r="EC2" s="374"/>
      <c r="ED2" s="374"/>
      <c r="EE2" s="375"/>
      <c r="EF2" s="359" t="s">
        <v>324</v>
      </c>
      <c r="EG2" s="360"/>
      <c r="EH2" s="360"/>
      <c r="EI2" s="360"/>
      <c r="EJ2" s="360"/>
      <c r="EK2" s="360"/>
      <c r="EL2" s="360"/>
      <c r="EM2" s="360"/>
      <c r="EN2" s="360"/>
      <c r="EO2" s="360"/>
      <c r="EP2" s="360"/>
      <c r="EQ2" s="360"/>
      <c r="ER2" s="360"/>
      <c r="ES2" s="360"/>
      <c r="ET2" s="360"/>
      <c r="EU2" s="360"/>
      <c r="EV2" s="360"/>
      <c r="EW2" s="360"/>
      <c r="EX2" s="360"/>
      <c r="EY2" s="360"/>
      <c r="EZ2" s="360"/>
      <c r="FA2" s="360"/>
      <c r="FB2" s="360"/>
      <c r="FC2" s="360"/>
      <c r="FD2" s="360"/>
      <c r="FE2" s="360"/>
      <c r="FF2" s="360"/>
      <c r="FG2" s="360"/>
      <c r="FH2" s="360"/>
      <c r="FI2" s="360"/>
      <c r="FJ2" s="360"/>
      <c r="FK2" s="360"/>
      <c r="FL2" s="360"/>
      <c r="FM2" s="360"/>
      <c r="FN2" s="360"/>
      <c r="FO2" s="360"/>
      <c r="FP2" s="360"/>
      <c r="FQ2" s="360"/>
      <c r="FR2" s="360"/>
      <c r="FS2" s="360"/>
      <c r="FT2" s="360"/>
      <c r="FU2" s="360"/>
      <c r="FV2" s="360"/>
      <c r="FW2" s="360"/>
      <c r="FX2" s="360"/>
      <c r="FY2" s="360"/>
      <c r="FZ2" s="360"/>
      <c r="GA2" s="360"/>
      <c r="GB2" s="360"/>
      <c r="GC2" s="360"/>
      <c r="GD2" s="360"/>
      <c r="GE2" s="360"/>
      <c r="GF2" s="360"/>
      <c r="GG2" s="360"/>
      <c r="GH2" s="360"/>
      <c r="GI2" s="360"/>
      <c r="GJ2" s="360"/>
      <c r="GK2" s="360"/>
      <c r="GL2" s="360"/>
      <c r="GM2" s="360"/>
      <c r="GN2" s="360"/>
      <c r="GO2" s="360"/>
      <c r="GP2" s="360"/>
      <c r="GQ2" s="360"/>
      <c r="GR2" s="360"/>
      <c r="GS2" s="360"/>
      <c r="GT2" s="360"/>
      <c r="GU2" s="360"/>
      <c r="GV2" s="376"/>
      <c r="GW2" s="377" t="s">
        <v>325</v>
      </c>
      <c r="GX2" s="377"/>
      <c r="GY2" s="377"/>
      <c r="GZ2" s="377"/>
      <c r="HA2" s="377"/>
      <c r="HB2" s="366" t="s">
        <v>90</v>
      </c>
      <c r="HC2" s="366"/>
      <c r="HD2" s="366"/>
      <c r="HE2" s="366"/>
      <c r="HF2" s="366"/>
      <c r="HG2" s="366"/>
      <c r="HH2" s="367" t="s">
        <v>344</v>
      </c>
      <c r="HI2" s="367"/>
      <c r="HJ2" s="367"/>
      <c r="HK2" s="367"/>
      <c r="HL2" s="367"/>
      <c r="HM2" s="367"/>
      <c r="HN2" s="367"/>
      <c r="HO2" s="367"/>
      <c r="HP2" s="367"/>
      <c r="HQ2" s="367"/>
      <c r="HR2" s="367"/>
      <c r="HS2" s="367"/>
      <c r="HT2" s="367"/>
      <c r="HU2" s="367"/>
      <c r="HV2" s="367"/>
      <c r="HW2" s="367"/>
      <c r="HX2" s="367"/>
      <c r="HY2" s="367"/>
      <c r="HZ2" s="367"/>
      <c r="IA2" s="367"/>
      <c r="IB2" s="367"/>
      <c r="IC2" s="367"/>
      <c r="ID2" s="367"/>
      <c r="IE2" s="367"/>
      <c r="IF2" s="367"/>
      <c r="IG2" s="367"/>
      <c r="IH2" s="367"/>
      <c r="II2" s="367"/>
      <c r="IJ2" s="368" t="s">
        <v>345</v>
      </c>
      <c r="IK2" s="368"/>
      <c r="IL2" s="368"/>
      <c r="IM2" s="368"/>
      <c r="IN2" s="368"/>
      <c r="IO2" s="368"/>
      <c r="IP2" s="368"/>
      <c r="IQ2" s="368"/>
      <c r="IR2" s="368"/>
      <c r="IS2" s="368"/>
      <c r="IT2" s="368"/>
      <c r="IU2" s="368"/>
      <c r="IV2" s="368"/>
      <c r="IW2" s="368"/>
      <c r="IX2" s="368"/>
      <c r="IY2" s="369" t="s">
        <v>346</v>
      </c>
      <c r="IZ2" s="369"/>
      <c r="JA2" s="369"/>
      <c r="JB2" s="369"/>
      <c r="JC2" s="369"/>
      <c r="JD2" s="369"/>
      <c r="JE2" s="369"/>
      <c r="JF2" s="369"/>
      <c r="JG2" s="369"/>
      <c r="JH2" s="369"/>
      <c r="JI2" s="369"/>
      <c r="JJ2" s="369"/>
      <c r="JK2" s="369"/>
      <c r="JL2" s="369"/>
      <c r="JM2" s="369"/>
      <c r="JN2" s="370" t="s">
        <v>197</v>
      </c>
      <c r="JO2" s="370"/>
      <c r="JP2" s="370"/>
      <c r="JQ2" s="370"/>
      <c r="JR2" s="370"/>
      <c r="JS2" s="370"/>
      <c r="JT2" s="370"/>
      <c r="JU2" s="370"/>
      <c r="JV2" s="370"/>
      <c r="JW2" s="370"/>
      <c r="JX2" s="370"/>
      <c r="JY2" s="370"/>
      <c r="JZ2" s="359" t="s">
        <v>616</v>
      </c>
      <c r="KA2" s="360"/>
      <c r="KB2" s="360"/>
      <c r="KC2" s="360"/>
      <c r="KD2" s="360"/>
      <c r="KE2" s="360"/>
      <c r="KF2" s="360"/>
      <c r="KG2" s="360"/>
      <c r="KH2" s="360"/>
      <c r="KI2" s="360"/>
      <c r="KJ2" s="360"/>
      <c r="KK2" s="360"/>
      <c r="KL2" s="360"/>
      <c r="KM2" s="360"/>
      <c r="KN2" s="360"/>
      <c r="KO2" s="360"/>
      <c r="KP2" s="360"/>
      <c r="KQ2" s="360"/>
      <c r="KR2" s="360"/>
      <c r="KS2" s="360"/>
      <c r="KT2" s="360"/>
      <c r="KU2" s="360"/>
      <c r="KV2" s="360"/>
      <c r="KW2" s="360"/>
      <c r="KX2" s="360"/>
      <c r="KY2" s="360"/>
      <c r="KZ2" s="361" t="s">
        <v>617</v>
      </c>
      <c r="LA2" s="361"/>
      <c r="LB2" s="361"/>
      <c r="LC2" s="361"/>
      <c r="LD2" s="361"/>
      <c r="LE2" s="361"/>
      <c r="LF2" s="361"/>
      <c r="LG2" s="361"/>
      <c r="LH2" s="361"/>
      <c r="LI2" s="361"/>
      <c r="LJ2" s="361"/>
      <c r="LK2" s="361"/>
      <c r="LL2" s="361"/>
      <c r="LM2" s="361"/>
      <c r="LN2" s="361"/>
      <c r="LO2" s="361"/>
      <c r="LP2" s="361"/>
      <c r="LQ2" s="361"/>
      <c r="LR2" s="362" t="s">
        <v>618</v>
      </c>
      <c r="LS2" s="362"/>
      <c r="LT2" s="362"/>
      <c r="LU2" s="362"/>
      <c r="LV2" s="362"/>
      <c r="LW2" s="362"/>
      <c r="LX2" s="362"/>
      <c r="LY2" s="362"/>
      <c r="LZ2" s="362"/>
      <c r="MA2" s="362"/>
      <c r="MB2" s="362"/>
      <c r="MC2" s="362"/>
      <c r="MD2" s="362"/>
      <c r="ME2" s="362"/>
      <c r="MF2" s="362"/>
      <c r="MG2" s="362"/>
      <c r="MH2" s="362"/>
      <c r="MI2" s="362"/>
      <c r="MJ2" s="362"/>
      <c r="MK2" s="362"/>
      <c r="ML2" s="362"/>
      <c r="MM2" s="362"/>
      <c r="MN2" s="362" t="s">
        <v>619</v>
      </c>
      <c r="MO2" s="362"/>
      <c r="MP2" s="363"/>
      <c r="MQ2" s="364" t="s">
        <v>416</v>
      </c>
      <c r="MR2" s="365"/>
      <c r="MS2" s="365"/>
      <c r="MT2" s="365"/>
      <c r="MU2" s="365"/>
      <c r="MV2" s="365"/>
      <c r="MW2" s="365"/>
      <c r="MX2" s="365"/>
      <c r="MY2" s="365"/>
      <c r="MZ2" s="365"/>
      <c r="NA2" s="365"/>
      <c r="NB2" s="365"/>
      <c r="NC2" s="365"/>
      <c r="ND2" s="365"/>
      <c r="NE2" s="365"/>
      <c r="NF2" s="365"/>
      <c r="NG2" s="365"/>
      <c r="NH2" s="346" t="s">
        <v>369</v>
      </c>
      <c r="NI2" s="346"/>
      <c r="NJ2" s="346"/>
      <c r="NK2" s="346"/>
      <c r="NL2" s="346"/>
      <c r="NM2" s="346"/>
      <c r="NN2" s="346"/>
      <c r="NO2" s="346"/>
      <c r="NP2" s="346"/>
      <c r="NQ2" s="346"/>
      <c r="NR2" s="346"/>
      <c r="NS2" s="346"/>
      <c r="NT2" s="351"/>
      <c r="NU2" s="352" t="s">
        <v>582</v>
      </c>
      <c r="NV2" s="353"/>
      <c r="NW2" s="353"/>
      <c r="NX2" s="353"/>
      <c r="NY2" s="353"/>
      <c r="NZ2" s="353"/>
      <c r="OA2" s="353"/>
      <c r="OB2" s="353"/>
      <c r="OC2" s="353"/>
      <c r="OD2" s="353"/>
      <c r="OE2" s="353"/>
      <c r="OF2" s="353"/>
      <c r="OG2" s="353"/>
      <c r="OH2" s="353"/>
      <c r="OI2" s="353"/>
      <c r="OJ2" s="353"/>
      <c r="OK2" s="353"/>
      <c r="OL2" s="353"/>
      <c r="OM2" s="353"/>
      <c r="ON2" s="353"/>
      <c r="OO2" s="353"/>
      <c r="OP2" s="353"/>
      <c r="OQ2" s="353"/>
      <c r="OR2" s="353"/>
      <c r="OS2" s="353"/>
      <c r="OT2" s="353"/>
      <c r="OU2" s="353"/>
      <c r="OV2" s="353"/>
      <c r="OW2" s="353"/>
      <c r="OX2" s="353"/>
      <c r="OY2" s="353"/>
      <c r="OZ2" s="353"/>
      <c r="PA2" s="353"/>
      <c r="PB2" s="353"/>
      <c r="PC2" s="353"/>
      <c r="PD2" s="353"/>
      <c r="PE2" s="353"/>
      <c r="PF2" s="353"/>
      <c r="PG2" s="353"/>
      <c r="PH2" s="353"/>
      <c r="PI2" s="353"/>
      <c r="PJ2" s="353"/>
      <c r="PK2" s="353"/>
      <c r="PL2" s="353"/>
      <c r="PM2" s="353"/>
      <c r="PN2" s="353"/>
      <c r="PO2" s="353"/>
      <c r="PP2" s="353"/>
      <c r="PQ2" s="353"/>
      <c r="PR2" s="353"/>
      <c r="PS2" s="353"/>
      <c r="PT2" s="353"/>
      <c r="PU2" s="353"/>
      <c r="PV2" s="353"/>
      <c r="PW2" s="353"/>
      <c r="PX2" s="353"/>
      <c r="PY2" s="353"/>
      <c r="PZ2" s="353"/>
      <c r="QA2" s="353"/>
      <c r="QB2" s="353"/>
      <c r="QC2" s="353"/>
      <c r="QD2" s="353"/>
      <c r="QE2" s="353"/>
      <c r="QF2" s="353"/>
      <c r="QG2" s="353"/>
      <c r="QH2" s="353"/>
      <c r="QI2" s="353"/>
      <c r="QJ2" s="353"/>
      <c r="QK2" s="353"/>
      <c r="QL2" s="353"/>
      <c r="QM2" s="353"/>
      <c r="QN2" s="354"/>
      <c r="QO2" s="355" t="s">
        <v>188</v>
      </c>
      <c r="QP2" s="356"/>
      <c r="QQ2" s="357"/>
      <c r="QR2" s="355" t="s">
        <v>189</v>
      </c>
      <c r="QS2" s="356"/>
      <c r="QT2" s="356"/>
      <c r="QU2" s="358" t="s">
        <v>314</v>
      </c>
      <c r="QV2" s="358"/>
      <c r="QW2" s="358"/>
      <c r="QX2" s="358"/>
      <c r="QY2" s="358"/>
      <c r="QZ2" s="358"/>
      <c r="RA2" s="382" t="s">
        <v>315</v>
      </c>
      <c r="RB2" s="382"/>
      <c r="RC2" s="382"/>
      <c r="RD2" s="383" t="s">
        <v>316</v>
      </c>
      <c r="RE2" s="383"/>
      <c r="RF2" s="384"/>
      <c r="RG2" s="211" t="s">
        <v>466</v>
      </c>
      <c r="RH2" s="349" t="s">
        <v>465</v>
      </c>
      <c r="RI2" s="349"/>
      <c r="RJ2" s="349"/>
      <c r="RK2" s="349"/>
      <c r="RL2" s="349"/>
      <c r="RM2" s="349"/>
      <c r="RN2" s="349"/>
      <c r="RO2" s="349"/>
      <c r="RP2" s="349"/>
      <c r="RQ2" s="349"/>
      <c r="RR2" s="349"/>
      <c r="RS2" s="349"/>
      <c r="RT2" s="349"/>
      <c r="RU2" s="349"/>
      <c r="RV2" s="349"/>
      <c r="RW2" s="349"/>
      <c r="RX2" s="349"/>
      <c r="RY2" s="349"/>
      <c r="RZ2" s="349"/>
      <c r="SA2" s="349"/>
      <c r="SB2" s="349" t="s">
        <v>620</v>
      </c>
      <c r="SC2" s="349"/>
      <c r="SD2" s="349"/>
      <c r="SE2" s="385" t="s">
        <v>525</v>
      </c>
      <c r="SF2" s="385"/>
      <c r="SG2" s="347" t="s">
        <v>526</v>
      </c>
      <c r="SH2" s="347"/>
      <c r="SI2" s="347"/>
      <c r="SJ2" s="347"/>
      <c r="SK2" s="347"/>
      <c r="SL2" s="347"/>
      <c r="SM2" s="347"/>
      <c r="SN2" s="347"/>
      <c r="SO2" s="347"/>
      <c r="SP2" s="347"/>
      <c r="SQ2" s="347"/>
      <c r="SR2" s="347"/>
      <c r="SS2" s="347"/>
      <c r="ST2" s="347"/>
      <c r="SU2" s="347"/>
      <c r="SV2" s="348" t="s">
        <v>527</v>
      </c>
      <c r="SW2" s="348"/>
      <c r="SX2" s="349" t="s">
        <v>528</v>
      </c>
      <c r="SY2" s="349"/>
      <c r="SZ2" s="349"/>
      <c r="TA2" s="349"/>
      <c r="TB2" s="349"/>
      <c r="TC2" s="349"/>
      <c r="TD2" s="349"/>
      <c r="TE2" s="350" t="s">
        <v>529</v>
      </c>
      <c r="TF2" s="350"/>
      <c r="TG2" s="350"/>
      <c r="TH2" s="350"/>
      <c r="TI2" s="350"/>
      <c r="TJ2" s="350"/>
      <c r="TK2" s="350"/>
      <c r="TL2" s="350"/>
      <c r="TM2" s="350"/>
      <c r="TN2" s="350"/>
      <c r="TO2" s="350"/>
      <c r="TP2" s="350"/>
      <c r="TQ2" s="350"/>
      <c r="TR2" s="350"/>
      <c r="TS2" s="284" t="s">
        <v>621</v>
      </c>
      <c r="TT2" s="350" t="s">
        <v>622</v>
      </c>
      <c r="TU2" s="350"/>
      <c r="TV2" s="350"/>
      <c r="TW2" s="350"/>
      <c r="TX2" s="350"/>
      <c r="TY2" s="345" t="s">
        <v>623</v>
      </c>
      <c r="TZ2" s="345"/>
      <c r="UA2" s="345"/>
      <c r="UB2" s="345"/>
      <c r="UC2" s="345"/>
      <c r="UD2" s="346" t="s">
        <v>624</v>
      </c>
      <c r="UE2" s="346"/>
      <c r="UF2" s="346"/>
      <c r="UG2" s="346"/>
      <c r="UH2" s="346"/>
      <c r="UI2" s="346"/>
      <c r="UJ2" s="346"/>
      <c r="UK2" s="346"/>
      <c r="UL2" s="346"/>
      <c r="UM2" s="346"/>
      <c r="UN2" s="346"/>
      <c r="UO2" s="346"/>
      <c r="UP2" s="346"/>
      <c r="UQ2" s="346"/>
      <c r="UR2" s="346"/>
      <c r="US2" s="346"/>
      <c r="UT2" s="346"/>
      <c r="UU2" s="346"/>
      <c r="UV2" s="346"/>
      <c r="UW2" s="346"/>
      <c r="UX2" s="346"/>
      <c r="UY2" s="346"/>
      <c r="UZ2" s="346"/>
      <c r="VA2" s="346"/>
      <c r="VB2" s="346"/>
      <c r="VC2" s="346"/>
      <c r="VD2" s="346"/>
      <c r="VE2" s="346"/>
      <c r="VF2" s="346"/>
      <c r="VG2" s="346"/>
      <c r="VH2" s="346"/>
      <c r="VI2" s="346"/>
      <c r="VJ2" s="346"/>
      <c r="VK2" s="346"/>
      <c r="VL2" s="346"/>
      <c r="VM2" s="346"/>
      <c r="VN2" s="346"/>
      <c r="VO2" s="346"/>
      <c r="VP2" s="346"/>
      <c r="VQ2" s="346"/>
      <c r="VR2" s="346"/>
      <c r="VS2" s="346"/>
      <c r="VT2" s="346"/>
      <c r="VU2" s="346"/>
      <c r="VV2" s="346"/>
      <c r="VW2" s="346"/>
      <c r="VX2" s="346"/>
      <c r="VY2" s="346"/>
      <c r="VZ2" s="346"/>
      <c r="WA2" s="346"/>
      <c r="WB2" s="346"/>
      <c r="WC2" s="346"/>
      <c r="WD2" s="346"/>
      <c r="WE2" s="346"/>
      <c r="WF2" s="346"/>
      <c r="WG2" s="346"/>
      <c r="WH2" s="346"/>
      <c r="WI2" s="346"/>
      <c r="WJ2" s="346"/>
      <c r="WK2" s="346"/>
      <c r="WL2" s="346"/>
      <c r="WM2" s="346"/>
      <c r="WN2" s="346"/>
      <c r="WO2" s="346"/>
      <c r="WP2" s="346"/>
      <c r="WQ2" s="346"/>
      <c r="WR2" s="346"/>
      <c r="WS2" s="346"/>
      <c r="WT2" s="346"/>
      <c r="WU2" s="179"/>
      <c r="WV2" s="179"/>
      <c r="WW2" s="179"/>
      <c r="WX2" s="179"/>
      <c r="WY2" s="179"/>
      <c r="WZ2" s="179"/>
      <c r="XA2" s="179"/>
      <c r="XB2" s="179"/>
      <c r="XC2" s="179"/>
      <c r="XD2" s="179"/>
      <c r="XE2" s="179"/>
      <c r="XF2" s="179"/>
      <c r="XG2" s="179"/>
      <c r="XH2" s="179"/>
      <c r="XI2" s="179"/>
      <c r="XJ2" s="179"/>
      <c r="XK2" s="179"/>
      <c r="XL2" s="179"/>
      <c r="XM2" s="179"/>
      <c r="XN2" s="179"/>
      <c r="XO2" s="179"/>
      <c r="XP2" s="179"/>
      <c r="XQ2" s="179"/>
      <c r="XR2" s="179"/>
      <c r="XS2" s="179"/>
      <c r="XT2" s="179"/>
      <c r="XU2" s="179"/>
      <c r="XV2" s="179"/>
      <c r="XW2" s="179"/>
      <c r="XX2" s="179"/>
      <c r="XY2" s="179"/>
      <c r="XZ2" s="179"/>
      <c r="YA2" s="179"/>
      <c r="YB2" s="179"/>
      <c r="YC2" s="179"/>
      <c r="YD2" s="179"/>
      <c r="YE2" s="179"/>
      <c r="YF2" s="179"/>
      <c r="YG2" s="179"/>
      <c r="YH2" s="179"/>
      <c r="YI2" s="179"/>
      <c r="YJ2" s="179"/>
      <c r="YK2" s="179"/>
      <c r="YL2" s="179"/>
      <c r="YM2" s="179"/>
      <c r="YN2" s="179"/>
      <c r="YO2" s="179"/>
      <c r="YP2" s="179"/>
      <c r="YQ2" s="179"/>
      <c r="YR2" s="179"/>
      <c r="YS2" s="179"/>
      <c r="YT2" s="179"/>
      <c r="YU2" s="179"/>
      <c r="YV2" s="179"/>
      <c r="YW2" s="179"/>
      <c r="YX2" s="179"/>
      <c r="YY2" s="179"/>
      <c r="YZ2" s="179"/>
      <c r="ZA2" s="179"/>
      <c r="ZB2" s="179"/>
      <c r="ZC2" s="179"/>
      <c r="ZD2" s="179"/>
      <c r="ZE2" s="179"/>
      <c r="ZF2" s="179"/>
      <c r="ZG2" s="179"/>
      <c r="ZH2" s="179"/>
      <c r="ZI2" s="179"/>
      <c r="ZJ2" s="179"/>
      <c r="ZK2" s="179"/>
      <c r="ZL2" s="179"/>
      <c r="ZM2" s="179"/>
      <c r="ZN2" s="179"/>
      <c r="ZO2" s="179"/>
      <c r="ZP2" s="179"/>
      <c r="ZQ2" s="179"/>
      <c r="ZR2" s="179"/>
      <c r="ZS2" s="179"/>
      <c r="ZT2" s="179"/>
      <c r="ZU2" s="179"/>
      <c r="ZV2" s="179"/>
      <c r="ZW2" s="179"/>
      <c r="ZX2" s="179"/>
      <c r="ZY2" s="179"/>
      <c r="ZZ2" s="179"/>
      <c r="AAA2" s="179"/>
      <c r="AAB2" s="179"/>
      <c r="AAC2" s="179"/>
      <c r="AAD2" s="179"/>
      <c r="AAE2" s="179"/>
      <c r="AAF2" s="179"/>
      <c r="AAG2" s="179"/>
      <c r="AAH2" s="179"/>
      <c r="AAI2" s="179"/>
      <c r="AAJ2" s="179"/>
      <c r="AAK2" s="179"/>
      <c r="AAL2" s="179"/>
      <c r="AAM2" s="179"/>
      <c r="AAN2" s="179"/>
      <c r="AAO2" s="138"/>
      <c r="AAP2" s="137"/>
      <c r="AAQ2" s="179"/>
      <c r="AAR2" s="179"/>
      <c r="AAS2" s="179"/>
      <c r="AAT2" s="179"/>
      <c r="AAU2" s="179"/>
      <c r="AAV2" s="179"/>
      <c r="AAW2" s="179"/>
      <c r="AAX2" s="179"/>
      <c r="AAY2" s="179"/>
      <c r="AAZ2" s="179"/>
      <c r="ABA2" s="179"/>
      <c r="ABB2" s="179"/>
      <c r="ABC2" s="179"/>
      <c r="ABD2" s="179"/>
      <c r="ABE2" s="179"/>
      <c r="ABF2" s="179"/>
      <c r="ABG2" s="179"/>
      <c r="ABH2" s="138"/>
      <c r="ABI2" s="137"/>
      <c r="ABJ2" s="179"/>
      <c r="ABK2" s="179"/>
      <c r="ABL2" s="179"/>
      <c r="ABM2" s="179"/>
      <c r="ABN2" s="179"/>
      <c r="ABO2" s="179"/>
      <c r="ABP2" s="179"/>
      <c r="ABQ2" s="138"/>
      <c r="ABR2" s="4"/>
      <c r="ABS2" s="137"/>
      <c r="ABT2" s="179"/>
      <c r="ABU2" s="179"/>
      <c r="ABV2" s="179"/>
      <c r="ABW2" s="179"/>
      <c r="ABX2" s="179"/>
      <c r="ABY2" s="179"/>
      <c r="ABZ2" s="179"/>
      <c r="ACA2" s="179"/>
      <c r="ACB2" s="179"/>
      <c r="ACC2" s="179"/>
      <c r="ACD2" s="179"/>
      <c r="ACE2" s="138"/>
      <c r="ACF2" s="137"/>
      <c r="ACG2" s="179"/>
      <c r="ACH2" s="179"/>
      <c r="ACI2" s="179"/>
      <c r="ACJ2" s="179"/>
      <c r="ACK2" s="179"/>
      <c r="ACL2" s="179"/>
      <c r="ACM2" s="179"/>
      <c r="ACN2" s="179"/>
      <c r="ACO2" s="179"/>
      <c r="ACP2" s="179"/>
      <c r="ACQ2" s="179"/>
      <c r="ACR2" s="179"/>
      <c r="ACS2" s="179"/>
      <c r="ACT2" s="179"/>
      <c r="ACU2" s="179"/>
      <c r="ACV2" s="179"/>
      <c r="ACW2" s="179"/>
      <c r="ACX2" s="179"/>
      <c r="ACY2" s="138"/>
      <c r="ACZ2" s="137"/>
      <c r="ADA2" s="179"/>
      <c r="ADB2" s="179"/>
      <c r="ADC2" s="179"/>
      <c r="ADD2" s="179"/>
      <c r="ADE2" s="179"/>
      <c r="ADF2" s="179"/>
      <c r="ADG2" s="179"/>
      <c r="ADH2" s="179"/>
      <c r="ADI2" s="179"/>
      <c r="ADJ2" s="179"/>
      <c r="ADK2" s="179"/>
      <c r="ADL2" s="179"/>
      <c r="ADM2" s="179"/>
      <c r="ADN2" s="179"/>
      <c r="ADO2" s="179"/>
      <c r="ADP2" s="179"/>
      <c r="ADQ2" s="179"/>
      <c r="ADR2" s="179"/>
      <c r="ADS2" s="179"/>
      <c r="ADT2" s="179"/>
      <c r="ADU2" s="179"/>
      <c r="ADV2" s="138"/>
      <c r="ADW2" s="137"/>
      <c r="ADX2" s="179"/>
      <c r="ADY2" s="179"/>
      <c r="ADZ2" s="179"/>
      <c r="AEA2" s="179"/>
      <c r="AEB2" s="179"/>
      <c r="AEC2" s="179"/>
      <c r="AED2" s="179"/>
      <c r="AEE2" s="179"/>
      <c r="AEF2" s="179"/>
      <c r="AEG2" s="179"/>
      <c r="AEH2" s="179"/>
      <c r="AEI2" s="179"/>
      <c r="AEJ2" s="179"/>
      <c r="AEK2" s="179"/>
      <c r="AEL2" s="179"/>
      <c r="AEM2" s="179"/>
      <c r="AEN2" s="179"/>
      <c r="AEO2" s="179"/>
      <c r="AEP2" s="179"/>
      <c r="AEQ2" s="179"/>
      <c r="AER2" s="179"/>
      <c r="AES2" s="179"/>
      <c r="AET2" s="179"/>
      <c r="AEU2" s="179"/>
      <c r="AEV2" s="179"/>
      <c r="AEW2" s="138"/>
    </row>
    <row r="3" spans="1:830" x14ac:dyDescent="0.25">
      <c r="A3" s="378" t="s">
        <v>192</v>
      </c>
      <c r="B3" s="61" t="s">
        <v>182</v>
      </c>
      <c r="C3" s="378" t="s">
        <v>145</v>
      </c>
      <c r="D3" s="378" t="s">
        <v>81</v>
      </c>
      <c r="E3" s="378" t="s">
        <v>82</v>
      </c>
      <c r="F3" s="380" t="s">
        <v>239</v>
      </c>
      <c r="G3" s="61" t="s">
        <v>182</v>
      </c>
      <c r="H3" s="61" t="s">
        <v>193</v>
      </c>
      <c r="I3" s="100" t="s">
        <v>326</v>
      </c>
      <c r="J3" s="61" t="s">
        <v>194</v>
      </c>
      <c r="K3" s="61" t="s">
        <v>195</v>
      </c>
      <c r="L3" s="61" t="s">
        <v>195</v>
      </c>
      <c r="M3" s="61" t="s">
        <v>196</v>
      </c>
      <c r="N3" s="180" t="s">
        <v>418</v>
      </c>
      <c r="O3" s="180" t="s">
        <v>418</v>
      </c>
      <c r="P3" s="180" t="s">
        <v>418</v>
      </c>
      <c r="Q3" s="180" t="s">
        <v>418</v>
      </c>
      <c r="R3" s="180" t="s">
        <v>418</v>
      </c>
      <c r="S3" s="180" t="s">
        <v>418</v>
      </c>
      <c r="T3" s="181" t="s">
        <v>343</v>
      </c>
      <c r="U3" s="181" t="s">
        <v>343</v>
      </c>
      <c r="V3" s="181" t="s">
        <v>343</v>
      </c>
      <c r="W3" s="181" t="s">
        <v>343</v>
      </c>
      <c r="X3" s="181" t="s">
        <v>343</v>
      </c>
      <c r="Y3" s="181" t="s">
        <v>343</v>
      </c>
      <c r="Z3" s="181" t="s">
        <v>86</v>
      </c>
      <c r="AA3" s="181" t="s">
        <v>86</v>
      </c>
      <c r="AB3" s="181" t="s">
        <v>86</v>
      </c>
      <c r="AC3" s="181" t="s">
        <v>86</v>
      </c>
      <c r="AD3" s="181" t="s">
        <v>86</v>
      </c>
      <c r="AE3" s="181" t="s">
        <v>86</v>
      </c>
      <c r="AF3" s="181" t="s">
        <v>18</v>
      </c>
      <c r="AG3" s="181" t="s">
        <v>18</v>
      </c>
      <c r="AH3" s="181" t="s">
        <v>18</v>
      </c>
      <c r="AI3" s="181" t="s">
        <v>18</v>
      </c>
      <c r="AJ3" s="181" t="s">
        <v>18</v>
      </c>
      <c r="AK3" s="181" t="s">
        <v>18</v>
      </c>
      <c r="AL3" s="181" t="s">
        <v>419</v>
      </c>
      <c r="AM3" s="181" t="s">
        <v>420</v>
      </c>
      <c r="AN3" s="181" t="s">
        <v>419</v>
      </c>
      <c r="AO3" s="181" t="s">
        <v>420</v>
      </c>
      <c r="AP3" s="181" t="s">
        <v>419</v>
      </c>
      <c r="AQ3" s="181" t="s">
        <v>420</v>
      </c>
      <c r="AR3" s="181" t="s">
        <v>419</v>
      </c>
      <c r="AS3" s="181" t="s">
        <v>420</v>
      </c>
      <c r="AT3" s="181" t="s">
        <v>87</v>
      </c>
      <c r="AU3" s="181" t="s">
        <v>87</v>
      </c>
      <c r="AV3" s="181" t="s">
        <v>87</v>
      </c>
      <c r="AW3" s="181" t="s">
        <v>87</v>
      </c>
      <c r="AX3" s="181" t="s">
        <v>87</v>
      </c>
      <c r="AY3" s="181" t="s">
        <v>87</v>
      </c>
      <c r="AZ3" s="181" t="s">
        <v>153</v>
      </c>
      <c r="BA3" s="181" t="s">
        <v>153</v>
      </c>
      <c r="BB3" s="181" t="s">
        <v>153</v>
      </c>
      <c r="BC3" s="181" t="s">
        <v>153</v>
      </c>
      <c r="BD3" s="181" t="s">
        <v>153</v>
      </c>
      <c r="BE3" s="181" t="s">
        <v>153</v>
      </c>
      <c r="BF3" s="181" t="s">
        <v>421</v>
      </c>
      <c r="BG3" s="181" t="s">
        <v>421</v>
      </c>
      <c r="BH3" s="181" t="s">
        <v>421</v>
      </c>
      <c r="BI3" s="181" t="s">
        <v>421</v>
      </c>
      <c r="BJ3" s="181" t="s">
        <v>421</v>
      </c>
      <c r="BK3" s="181" t="s">
        <v>421</v>
      </c>
      <c r="BL3" s="181" t="s">
        <v>155</v>
      </c>
      <c r="BM3" s="181" t="s">
        <v>155</v>
      </c>
      <c r="BN3" s="181" t="s">
        <v>155</v>
      </c>
      <c r="BO3" s="181" t="s">
        <v>155</v>
      </c>
      <c r="BP3" s="181" t="s">
        <v>155</v>
      </c>
      <c r="BQ3" s="181" t="s">
        <v>155</v>
      </c>
      <c r="BR3" s="181" t="s">
        <v>156</v>
      </c>
      <c r="BS3" s="181" t="s">
        <v>156</v>
      </c>
      <c r="BT3" s="181" t="s">
        <v>156</v>
      </c>
      <c r="BU3" s="181" t="s">
        <v>156</v>
      </c>
      <c r="BV3" s="181" t="s">
        <v>156</v>
      </c>
      <c r="BW3" s="181" t="s">
        <v>156</v>
      </c>
      <c r="BX3" s="181" t="s">
        <v>157</v>
      </c>
      <c r="BY3" s="181" t="s">
        <v>157</v>
      </c>
      <c r="BZ3" s="181" t="s">
        <v>157</v>
      </c>
      <c r="CA3" s="181" t="s">
        <v>157</v>
      </c>
      <c r="CB3" s="181" t="s">
        <v>157</v>
      </c>
      <c r="CC3" s="181" t="s">
        <v>157</v>
      </c>
      <c r="CD3" s="181" t="s">
        <v>89</v>
      </c>
      <c r="CE3" s="181" t="s">
        <v>89</v>
      </c>
      <c r="CF3" s="181" t="s">
        <v>89</v>
      </c>
      <c r="CG3" s="181" t="s">
        <v>89</v>
      </c>
      <c r="CH3" s="181" t="s">
        <v>89</v>
      </c>
      <c r="CI3" s="181" t="s">
        <v>89</v>
      </c>
      <c r="CJ3" s="182" t="s">
        <v>159</v>
      </c>
      <c r="CK3" s="182" t="s">
        <v>159</v>
      </c>
      <c r="CL3" s="182" t="s">
        <v>159</v>
      </c>
      <c r="CM3" s="182" t="s">
        <v>86</v>
      </c>
      <c r="CN3" s="182" t="s">
        <v>86</v>
      </c>
      <c r="CO3" s="182" t="s">
        <v>86</v>
      </c>
      <c r="CP3" s="182" t="s">
        <v>18</v>
      </c>
      <c r="CQ3" s="182" t="s">
        <v>18</v>
      </c>
      <c r="CR3" s="182" t="s">
        <v>18</v>
      </c>
      <c r="CS3" s="182" t="s">
        <v>70</v>
      </c>
      <c r="CT3" s="182" t="s">
        <v>70</v>
      </c>
      <c r="CU3" s="182" t="s">
        <v>70</v>
      </c>
      <c r="CV3" s="182" t="s">
        <v>71</v>
      </c>
      <c r="CW3" s="182" t="s">
        <v>71</v>
      </c>
      <c r="CX3" s="182" t="s">
        <v>71</v>
      </c>
      <c r="CY3" s="182" t="s">
        <v>87</v>
      </c>
      <c r="CZ3" s="182" t="s">
        <v>87</v>
      </c>
      <c r="DA3" s="182" t="s">
        <v>87</v>
      </c>
      <c r="DB3" s="182" t="s">
        <v>153</v>
      </c>
      <c r="DC3" s="182" t="s">
        <v>153</v>
      </c>
      <c r="DD3" s="182" t="s">
        <v>153</v>
      </c>
      <c r="DE3" s="182" t="s">
        <v>154</v>
      </c>
      <c r="DF3" s="182" t="s">
        <v>154</v>
      </c>
      <c r="DG3" s="182" t="s">
        <v>154</v>
      </c>
      <c r="DH3" s="182" t="s">
        <v>155</v>
      </c>
      <c r="DI3" s="182" t="s">
        <v>155</v>
      </c>
      <c r="DJ3" s="182" t="s">
        <v>155</v>
      </c>
      <c r="DK3" s="182" t="s">
        <v>156</v>
      </c>
      <c r="DL3" s="182" t="s">
        <v>156</v>
      </c>
      <c r="DM3" s="182" t="s">
        <v>156</v>
      </c>
      <c r="DN3" s="182" t="s">
        <v>157</v>
      </c>
      <c r="DO3" s="182" t="s">
        <v>157</v>
      </c>
      <c r="DP3" s="182" t="s">
        <v>157</v>
      </c>
      <c r="DQ3" s="182" t="s">
        <v>422</v>
      </c>
      <c r="DR3" s="182" t="s">
        <v>422</v>
      </c>
      <c r="DS3" s="182" t="s">
        <v>422</v>
      </c>
      <c r="DT3" s="182" t="s">
        <v>423</v>
      </c>
      <c r="DU3" s="182" t="s">
        <v>423</v>
      </c>
      <c r="DV3" s="182" t="s">
        <v>423</v>
      </c>
      <c r="DW3" s="182" t="s">
        <v>89</v>
      </c>
      <c r="DX3" s="182" t="s">
        <v>89</v>
      </c>
      <c r="DY3" s="182" t="s">
        <v>89</v>
      </c>
      <c r="DZ3" s="182" t="s">
        <v>139</v>
      </c>
      <c r="EA3" s="182" t="s">
        <v>139</v>
      </c>
      <c r="EB3" s="182" t="s">
        <v>139</v>
      </c>
      <c r="EC3" s="182" t="s">
        <v>424</v>
      </c>
      <c r="ED3" s="182" t="s">
        <v>424</v>
      </c>
      <c r="EE3" s="182" t="s">
        <v>424</v>
      </c>
      <c r="EF3" s="183" t="s">
        <v>425</v>
      </c>
      <c r="EG3" s="183" t="s">
        <v>425</v>
      </c>
      <c r="EH3" s="183" t="s">
        <v>425</v>
      </c>
      <c r="EI3" s="183" t="s">
        <v>230</v>
      </c>
      <c r="EJ3" s="183" t="s">
        <v>230</v>
      </c>
      <c r="EK3" s="183" t="s">
        <v>230</v>
      </c>
      <c r="EL3" s="183" t="s">
        <v>160</v>
      </c>
      <c r="EM3" s="183" t="s">
        <v>160</v>
      </c>
      <c r="EN3" s="183" t="s">
        <v>160</v>
      </c>
      <c r="EO3" s="183" t="s">
        <v>173</v>
      </c>
      <c r="EP3" s="183" t="s">
        <v>173</v>
      </c>
      <c r="EQ3" s="183" t="s">
        <v>174</v>
      </c>
      <c r="ER3" s="183" t="s">
        <v>174</v>
      </c>
      <c r="ES3" s="183" t="s">
        <v>174</v>
      </c>
      <c r="ET3" s="183" t="s">
        <v>175</v>
      </c>
      <c r="EU3" s="183" t="s">
        <v>175</v>
      </c>
      <c r="EV3" s="183" t="s">
        <v>175</v>
      </c>
      <c r="EW3" s="183" t="s">
        <v>199</v>
      </c>
      <c r="EX3" s="183" t="s">
        <v>199</v>
      </c>
      <c r="EY3" s="183" t="s">
        <v>199</v>
      </c>
      <c r="EZ3" s="183" t="s">
        <v>231</v>
      </c>
      <c r="FA3" s="183" t="s">
        <v>231</v>
      </c>
      <c r="FB3" s="183" t="s">
        <v>231</v>
      </c>
      <c r="FC3" s="183" t="s">
        <v>329</v>
      </c>
      <c r="FD3" s="183" t="s">
        <v>329</v>
      </c>
      <c r="FE3" s="183" t="s">
        <v>176</v>
      </c>
      <c r="FF3" s="183" t="s">
        <v>176</v>
      </c>
      <c r="FG3" s="183" t="s">
        <v>176</v>
      </c>
      <c r="FH3" s="183" t="s">
        <v>177</v>
      </c>
      <c r="FI3" s="183" t="s">
        <v>177</v>
      </c>
      <c r="FJ3" s="183" t="s">
        <v>177</v>
      </c>
      <c r="FK3" s="183" t="s">
        <v>178</v>
      </c>
      <c r="FL3" s="183" t="s">
        <v>178</v>
      </c>
      <c r="FM3" s="183" t="s">
        <v>178</v>
      </c>
      <c r="FN3" s="183" t="s">
        <v>426</v>
      </c>
      <c r="FO3" s="183" t="s">
        <v>426</v>
      </c>
      <c r="FP3" s="183" t="s">
        <v>426</v>
      </c>
      <c r="FQ3" s="183" t="s">
        <v>180</v>
      </c>
      <c r="FR3" s="183" t="s">
        <v>180</v>
      </c>
      <c r="FS3" s="183" t="s">
        <v>162</v>
      </c>
      <c r="FT3" s="183" t="s">
        <v>162</v>
      </c>
      <c r="FU3" s="183" t="s">
        <v>162</v>
      </c>
      <c r="FV3" s="183" t="s">
        <v>427</v>
      </c>
      <c r="FW3" s="183" t="s">
        <v>427</v>
      </c>
      <c r="FX3" s="183" t="s">
        <v>427</v>
      </c>
      <c r="FY3" s="183" t="s">
        <v>164</v>
      </c>
      <c r="FZ3" s="183" t="s">
        <v>232</v>
      </c>
      <c r="GA3" s="183" t="s">
        <v>232</v>
      </c>
      <c r="GB3" s="183" t="s">
        <v>165</v>
      </c>
      <c r="GC3" s="183" t="s">
        <v>233</v>
      </c>
      <c r="GD3" s="183" t="s">
        <v>233</v>
      </c>
      <c r="GE3" s="183" t="s">
        <v>166</v>
      </c>
      <c r="GF3" s="183" t="s">
        <v>234</v>
      </c>
      <c r="GG3" s="183" t="s">
        <v>234</v>
      </c>
      <c r="GH3" s="183" t="s">
        <v>422</v>
      </c>
      <c r="GI3" s="183" t="s">
        <v>225</v>
      </c>
      <c r="GJ3" s="183" t="s">
        <v>225</v>
      </c>
      <c r="GK3" s="183" t="s">
        <v>428</v>
      </c>
      <c r="GL3" s="183" t="s">
        <v>226</v>
      </c>
      <c r="GM3" s="183" t="s">
        <v>226</v>
      </c>
      <c r="GN3" s="183" t="s">
        <v>89</v>
      </c>
      <c r="GO3" s="183" t="s">
        <v>89</v>
      </c>
      <c r="GP3" s="183" t="s">
        <v>89</v>
      </c>
      <c r="GQ3" s="183" t="s">
        <v>168</v>
      </c>
      <c r="GR3" s="183" t="s">
        <v>168</v>
      </c>
      <c r="GS3" s="183" t="s">
        <v>168</v>
      </c>
      <c r="GT3" s="183" t="s">
        <v>424</v>
      </c>
      <c r="GU3" s="183" t="s">
        <v>424</v>
      </c>
      <c r="GV3" s="183" t="s">
        <v>424</v>
      </c>
      <c r="GW3" s="183" t="s">
        <v>429</v>
      </c>
      <c r="GX3" s="183" t="s">
        <v>430</v>
      </c>
      <c r="GY3" s="183" t="s">
        <v>360</v>
      </c>
      <c r="GZ3" s="183" t="s">
        <v>360</v>
      </c>
      <c r="HA3" s="183" t="s">
        <v>361</v>
      </c>
      <c r="HB3" s="183" t="s">
        <v>90</v>
      </c>
      <c r="HC3" s="183" t="s">
        <v>90</v>
      </c>
      <c r="HD3" s="183" t="s">
        <v>90</v>
      </c>
      <c r="HE3" s="183" t="s">
        <v>90</v>
      </c>
      <c r="HF3" s="183" t="s">
        <v>90</v>
      </c>
      <c r="HG3" s="183" t="s">
        <v>90</v>
      </c>
      <c r="HH3" s="183" t="s">
        <v>92</v>
      </c>
      <c r="HI3" s="183" t="s">
        <v>92</v>
      </c>
      <c r="HJ3" s="183" t="s">
        <v>92</v>
      </c>
      <c r="HK3" s="183" t="s">
        <v>92</v>
      </c>
      <c r="HL3" s="183" t="s">
        <v>92</v>
      </c>
      <c r="HM3" s="183" t="s">
        <v>92</v>
      </c>
      <c r="HN3" s="183" t="s">
        <v>93</v>
      </c>
      <c r="HO3" s="183" t="s">
        <v>93</v>
      </c>
      <c r="HP3" s="183" t="s">
        <v>93</v>
      </c>
      <c r="HQ3" s="183" t="s">
        <v>93</v>
      </c>
      <c r="HR3" s="183" t="s">
        <v>93</v>
      </c>
      <c r="HS3" s="183" t="s">
        <v>93</v>
      </c>
      <c r="HT3" s="183" t="s">
        <v>94</v>
      </c>
      <c r="HU3" s="183" t="s">
        <v>94</v>
      </c>
      <c r="HV3" s="183" t="s">
        <v>94</v>
      </c>
      <c r="HW3" s="184" t="s">
        <v>94</v>
      </c>
      <c r="HX3" s="183" t="s">
        <v>94</v>
      </c>
      <c r="HY3" s="183" t="s">
        <v>94</v>
      </c>
      <c r="HZ3" s="183" t="s">
        <v>95</v>
      </c>
      <c r="IA3" s="183" t="s">
        <v>95</v>
      </c>
      <c r="IB3" s="183" t="s">
        <v>95</v>
      </c>
      <c r="IC3" s="183" t="s">
        <v>95</v>
      </c>
      <c r="ID3" s="183" t="s">
        <v>96</v>
      </c>
      <c r="IE3" s="183" t="s">
        <v>96</v>
      </c>
      <c r="IF3" s="183" t="s">
        <v>96</v>
      </c>
      <c r="IG3" s="183" t="s">
        <v>96</v>
      </c>
      <c r="IH3" s="183" t="s">
        <v>96</v>
      </c>
      <c r="II3" s="183" t="s">
        <v>96</v>
      </c>
      <c r="IJ3" s="183" t="s">
        <v>97</v>
      </c>
      <c r="IK3" s="183" t="s">
        <v>97</v>
      </c>
      <c r="IL3" s="183" t="s">
        <v>97</v>
      </c>
      <c r="IM3" s="183" t="s">
        <v>99</v>
      </c>
      <c r="IN3" s="183" t="s">
        <v>99</v>
      </c>
      <c r="IO3" s="183" t="s">
        <v>99</v>
      </c>
      <c r="IP3" s="183" t="s">
        <v>100</v>
      </c>
      <c r="IQ3" s="183" t="s">
        <v>100</v>
      </c>
      <c r="IR3" s="183" t="s">
        <v>100</v>
      </c>
      <c r="IS3" s="183" t="s">
        <v>101</v>
      </c>
      <c r="IT3" s="183" t="s">
        <v>101</v>
      </c>
      <c r="IU3" s="183" t="s">
        <v>101</v>
      </c>
      <c r="IV3" s="183" t="s">
        <v>102</v>
      </c>
      <c r="IW3" s="183" t="s">
        <v>102</v>
      </c>
      <c r="IX3" s="183" t="s">
        <v>102</v>
      </c>
      <c r="IY3" s="183" t="s">
        <v>97</v>
      </c>
      <c r="IZ3" s="183" t="s">
        <v>97</v>
      </c>
      <c r="JA3" s="183" t="s">
        <v>97</v>
      </c>
      <c r="JB3" s="183" t="s">
        <v>99</v>
      </c>
      <c r="JC3" s="183" t="s">
        <v>99</v>
      </c>
      <c r="JD3" s="183" t="s">
        <v>99</v>
      </c>
      <c r="JE3" s="183" t="s">
        <v>100</v>
      </c>
      <c r="JF3" s="183" t="s">
        <v>100</v>
      </c>
      <c r="JG3" s="183" t="s">
        <v>100</v>
      </c>
      <c r="JH3" s="183" t="s">
        <v>101</v>
      </c>
      <c r="JI3" s="183" t="s">
        <v>101</v>
      </c>
      <c r="JJ3" s="183" t="s">
        <v>101</v>
      </c>
      <c r="JK3" s="183" t="s">
        <v>102</v>
      </c>
      <c r="JL3" s="183" t="s">
        <v>102</v>
      </c>
      <c r="JM3" s="183" t="s">
        <v>102</v>
      </c>
      <c r="JN3" s="183" t="s">
        <v>431</v>
      </c>
      <c r="JO3" s="183" t="s">
        <v>431</v>
      </c>
      <c r="JP3" s="183" t="s">
        <v>431</v>
      </c>
      <c r="JQ3" s="183" t="s">
        <v>431</v>
      </c>
      <c r="JR3" s="183" t="s">
        <v>431</v>
      </c>
      <c r="JS3" s="183" t="s">
        <v>431</v>
      </c>
      <c r="JT3" s="285" t="s">
        <v>431</v>
      </c>
      <c r="JU3" s="285" t="s">
        <v>431</v>
      </c>
      <c r="JV3" s="285" t="s">
        <v>431</v>
      </c>
      <c r="JW3" s="183" t="s">
        <v>431</v>
      </c>
      <c r="JX3" s="183" t="s">
        <v>431</v>
      </c>
      <c r="JY3" s="183" t="s">
        <v>431</v>
      </c>
      <c r="JZ3" s="256" t="s">
        <v>327</v>
      </c>
      <c r="KA3" s="256" t="s">
        <v>327</v>
      </c>
      <c r="KB3" s="256" t="s">
        <v>327</v>
      </c>
      <c r="KC3" s="256" t="s">
        <v>327</v>
      </c>
      <c r="KD3" s="256" t="s">
        <v>327</v>
      </c>
      <c r="KE3" s="256" t="s">
        <v>327</v>
      </c>
      <c r="KF3" s="256" t="s">
        <v>158</v>
      </c>
      <c r="KG3" s="256" t="s">
        <v>158</v>
      </c>
      <c r="KH3" s="256" t="s">
        <v>158</v>
      </c>
      <c r="KI3" s="256" t="s">
        <v>158</v>
      </c>
      <c r="KJ3" s="256" t="s">
        <v>158</v>
      </c>
      <c r="KK3" s="256" t="s">
        <v>158</v>
      </c>
      <c r="KL3" s="256" t="s">
        <v>403</v>
      </c>
      <c r="KM3" s="256" t="s">
        <v>403</v>
      </c>
      <c r="KN3" s="256" t="s">
        <v>403</v>
      </c>
      <c r="KO3" s="256" t="s">
        <v>403</v>
      </c>
      <c r="KP3" s="256" t="s">
        <v>403</v>
      </c>
      <c r="KQ3" s="256" t="s">
        <v>403</v>
      </c>
      <c r="KR3" s="256" t="s">
        <v>579</v>
      </c>
      <c r="KS3" s="256" t="s">
        <v>579</v>
      </c>
      <c r="KT3" s="256" t="s">
        <v>579</v>
      </c>
      <c r="KU3" s="256" t="s">
        <v>579</v>
      </c>
      <c r="KV3" s="257" t="s">
        <v>579</v>
      </c>
      <c r="KW3" s="257" t="s">
        <v>579</v>
      </c>
      <c r="KX3" s="257" t="s">
        <v>530</v>
      </c>
      <c r="KY3" s="257" t="s">
        <v>530</v>
      </c>
      <c r="KZ3" s="185" t="s">
        <v>158</v>
      </c>
      <c r="LA3" s="185" t="s">
        <v>158</v>
      </c>
      <c r="LB3" s="185" t="s">
        <v>158</v>
      </c>
      <c r="LC3" s="185" t="s">
        <v>432</v>
      </c>
      <c r="LD3" s="185" t="s">
        <v>432</v>
      </c>
      <c r="LE3" s="185" t="s">
        <v>432</v>
      </c>
      <c r="LF3" s="185" t="s">
        <v>433</v>
      </c>
      <c r="LG3" s="185" t="s">
        <v>433</v>
      </c>
      <c r="LH3" s="185" t="s">
        <v>433</v>
      </c>
      <c r="LI3" s="185" t="s">
        <v>547</v>
      </c>
      <c r="LJ3" s="185" t="s">
        <v>547</v>
      </c>
      <c r="LK3" s="185" t="s">
        <v>547</v>
      </c>
      <c r="LL3" s="185" t="s">
        <v>403</v>
      </c>
      <c r="LM3" s="185" t="s">
        <v>403</v>
      </c>
      <c r="LN3" s="185" t="s">
        <v>403</v>
      </c>
      <c r="LO3" s="185" t="s">
        <v>404</v>
      </c>
      <c r="LP3" s="185" t="s">
        <v>404</v>
      </c>
      <c r="LQ3" s="185" t="s">
        <v>404</v>
      </c>
      <c r="LR3" s="186" t="s">
        <v>172</v>
      </c>
      <c r="LS3" s="185" t="s">
        <v>172</v>
      </c>
      <c r="LT3" s="185" t="s">
        <v>179</v>
      </c>
      <c r="LU3" s="185" t="s">
        <v>179</v>
      </c>
      <c r="LV3" s="185" t="s">
        <v>434</v>
      </c>
      <c r="LW3" s="185" t="s">
        <v>235</v>
      </c>
      <c r="LX3" s="185" t="s">
        <v>235</v>
      </c>
      <c r="LY3" s="185" t="s">
        <v>432</v>
      </c>
      <c r="LZ3" s="185" t="s">
        <v>224</v>
      </c>
      <c r="MA3" s="185" t="s">
        <v>224</v>
      </c>
      <c r="MB3" s="187" t="s">
        <v>433</v>
      </c>
      <c r="MC3" s="187" t="s">
        <v>227</v>
      </c>
      <c r="MD3" s="187" t="s">
        <v>227</v>
      </c>
      <c r="ME3" s="185" t="s">
        <v>547</v>
      </c>
      <c r="MF3" s="185" t="s">
        <v>547</v>
      </c>
      <c r="MG3" s="185" t="s">
        <v>547</v>
      </c>
      <c r="MH3" s="185" t="s">
        <v>403</v>
      </c>
      <c r="MI3" s="185" t="s">
        <v>403</v>
      </c>
      <c r="MJ3" s="185" t="s">
        <v>403</v>
      </c>
      <c r="MK3" s="185" t="s">
        <v>404</v>
      </c>
      <c r="ML3" s="185" t="s">
        <v>404</v>
      </c>
      <c r="MM3" s="185" t="s">
        <v>404</v>
      </c>
      <c r="MN3" s="185" t="s">
        <v>580</v>
      </c>
      <c r="MO3" s="185" t="s">
        <v>580</v>
      </c>
      <c r="MP3" s="185" t="s">
        <v>580</v>
      </c>
      <c r="MQ3" s="185" t="s">
        <v>330</v>
      </c>
      <c r="MR3" s="185" t="s">
        <v>331</v>
      </c>
      <c r="MS3" s="185" t="s">
        <v>332</v>
      </c>
      <c r="MT3" s="185" t="s">
        <v>333</v>
      </c>
      <c r="MU3" s="185" t="s">
        <v>334</v>
      </c>
      <c r="MV3" s="185" t="s">
        <v>335</v>
      </c>
      <c r="MW3" s="185" t="s">
        <v>336</v>
      </c>
      <c r="MX3" s="185" t="s">
        <v>435</v>
      </c>
      <c r="MY3" s="185" t="s">
        <v>370</v>
      </c>
      <c r="MZ3" s="185" t="s">
        <v>338</v>
      </c>
      <c r="NA3" s="185" t="s">
        <v>339</v>
      </c>
      <c r="NB3" s="185" t="s">
        <v>340</v>
      </c>
      <c r="NC3" s="185" t="s">
        <v>341</v>
      </c>
      <c r="ND3" s="185" t="s">
        <v>371</v>
      </c>
      <c r="NE3" s="185" t="s">
        <v>372</v>
      </c>
      <c r="NF3" s="185" t="s">
        <v>342</v>
      </c>
      <c r="NG3" s="185" t="s">
        <v>373</v>
      </c>
      <c r="NH3" s="185" t="s">
        <v>362</v>
      </c>
      <c r="NI3" s="187" t="s">
        <v>363</v>
      </c>
      <c r="NJ3" s="187" t="s">
        <v>364</v>
      </c>
      <c r="NK3" s="187" t="s">
        <v>365</v>
      </c>
      <c r="NL3" s="187" t="s">
        <v>366</v>
      </c>
      <c r="NM3" s="187" t="s">
        <v>310</v>
      </c>
      <c r="NN3" s="187" t="s">
        <v>357</v>
      </c>
      <c r="NO3" s="187" t="s">
        <v>311</v>
      </c>
      <c r="NP3" s="187" t="s">
        <v>358</v>
      </c>
      <c r="NQ3" s="187" t="s">
        <v>367</v>
      </c>
      <c r="NR3" s="185" t="s">
        <v>237</v>
      </c>
      <c r="NS3" s="185" t="s">
        <v>312</v>
      </c>
      <c r="NT3" s="185" t="s">
        <v>368</v>
      </c>
      <c r="NU3" s="185" t="s">
        <v>110</v>
      </c>
      <c r="NV3" s="185" t="s">
        <v>151</v>
      </c>
      <c r="NW3" s="185" t="s">
        <v>247</v>
      </c>
      <c r="NX3" s="185" t="s">
        <v>152</v>
      </c>
      <c r="NY3" s="185" t="s">
        <v>248</v>
      </c>
      <c r="NZ3" s="185" t="s">
        <v>249</v>
      </c>
      <c r="OA3" s="185" t="s">
        <v>250</v>
      </c>
      <c r="OB3" s="185" t="s">
        <v>251</v>
      </c>
      <c r="OC3" s="185" t="s">
        <v>252</v>
      </c>
      <c r="OD3" s="185" t="s">
        <v>253</v>
      </c>
      <c r="OE3" s="185" t="s">
        <v>254</v>
      </c>
      <c r="OF3" s="185" t="s">
        <v>255</v>
      </c>
      <c r="OG3" s="185" t="s">
        <v>256</v>
      </c>
      <c r="OH3" s="185" t="s">
        <v>257</v>
      </c>
      <c r="OI3" s="185" t="s">
        <v>258</v>
      </c>
      <c r="OJ3" s="185" t="s">
        <v>259</v>
      </c>
      <c r="OK3" s="185" t="s">
        <v>260</v>
      </c>
      <c r="OL3" s="185" t="s">
        <v>261</v>
      </c>
      <c r="OM3" s="186" t="s">
        <v>262</v>
      </c>
      <c r="ON3" s="185" t="s">
        <v>263</v>
      </c>
      <c r="OO3" s="185" t="s">
        <v>150</v>
      </c>
      <c r="OP3" s="185" t="s">
        <v>68</v>
      </c>
      <c r="OQ3" s="185" t="s">
        <v>264</v>
      </c>
      <c r="OR3" s="185" t="s">
        <v>265</v>
      </c>
      <c r="OS3" s="185" t="s">
        <v>266</v>
      </c>
      <c r="OT3" s="185" t="s">
        <v>267</v>
      </c>
      <c r="OU3" s="185" t="s">
        <v>268</v>
      </c>
      <c r="OV3" s="185" t="s">
        <v>269</v>
      </c>
      <c r="OW3" s="185" t="s">
        <v>270</v>
      </c>
      <c r="OX3" s="185" t="s">
        <v>67</v>
      </c>
      <c r="OY3" s="185" t="s">
        <v>271</v>
      </c>
      <c r="OZ3" s="185" t="s">
        <v>272</v>
      </c>
      <c r="PA3" s="185" t="s">
        <v>273</v>
      </c>
      <c r="PB3" s="185" t="s">
        <v>274</v>
      </c>
      <c r="PC3" s="185" t="s">
        <v>356</v>
      </c>
      <c r="PD3" s="185" t="s">
        <v>275</v>
      </c>
      <c r="PE3" s="185" t="s">
        <v>276</v>
      </c>
      <c r="PF3" s="185" t="s">
        <v>277</v>
      </c>
      <c r="PG3" s="185" t="s">
        <v>278</v>
      </c>
      <c r="PH3" s="185" t="s">
        <v>279</v>
      </c>
      <c r="PI3" s="185" t="s">
        <v>280</v>
      </c>
      <c r="PJ3" s="185" t="s">
        <v>281</v>
      </c>
      <c r="PK3" s="185" t="s">
        <v>282</v>
      </c>
      <c r="PL3" s="185" t="s">
        <v>276</v>
      </c>
      <c r="PM3" s="185" t="s">
        <v>283</v>
      </c>
      <c r="PN3" s="185" t="s">
        <v>278</v>
      </c>
      <c r="PO3" s="185" t="s">
        <v>284</v>
      </c>
      <c r="PP3" s="185" t="s">
        <v>285</v>
      </c>
      <c r="PQ3" s="185" t="s">
        <v>286</v>
      </c>
      <c r="PR3" s="185" t="s">
        <v>287</v>
      </c>
      <c r="PS3" s="185" t="s">
        <v>288</v>
      </c>
      <c r="PT3" s="185" t="s">
        <v>289</v>
      </c>
      <c r="PU3" s="185" t="s">
        <v>290</v>
      </c>
      <c r="PV3" s="185" t="s">
        <v>291</v>
      </c>
      <c r="PW3" s="185" t="s">
        <v>292</v>
      </c>
      <c r="PX3" s="185" t="s">
        <v>293</v>
      </c>
      <c r="PY3" s="185" t="s">
        <v>294</v>
      </c>
      <c r="PZ3" s="185" t="s">
        <v>295</v>
      </c>
      <c r="QA3" s="185" t="s">
        <v>296</v>
      </c>
      <c r="QB3" s="185" t="s">
        <v>298</v>
      </c>
      <c r="QC3" s="185" t="s">
        <v>299</v>
      </c>
      <c r="QD3" s="185" t="s">
        <v>300</v>
      </c>
      <c r="QE3" s="185" t="s">
        <v>301</v>
      </c>
      <c r="QF3" s="185" t="s">
        <v>297</v>
      </c>
      <c r="QG3" s="185" t="s">
        <v>302</v>
      </c>
      <c r="QH3" s="185" t="s">
        <v>303</v>
      </c>
      <c r="QI3" s="185" t="s">
        <v>304</v>
      </c>
      <c r="QJ3" s="185" t="s">
        <v>305</v>
      </c>
      <c r="QK3" s="185" t="s">
        <v>306</v>
      </c>
      <c r="QL3" s="185" t="s">
        <v>307</v>
      </c>
      <c r="QM3" s="185" t="s">
        <v>308</v>
      </c>
      <c r="QN3" s="185" t="s">
        <v>309</v>
      </c>
      <c r="QO3" s="188" t="s">
        <v>183</v>
      </c>
      <c r="QP3" s="188" t="s">
        <v>184</v>
      </c>
      <c r="QQ3" s="188" t="s">
        <v>190</v>
      </c>
      <c r="QR3" s="189" t="s">
        <v>91</v>
      </c>
      <c r="QS3" s="189" t="s">
        <v>187</v>
      </c>
      <c r="QT3" s="189" t="s">
        <v>191</v>
      </c>
      <c r="QU3" s="190" t="s">
        <v>314</v>
      </c>
      <c r="QV3" s="191" t="s">
        <v>314</v>
      </c>
      <c r="QW3" s="61" t="s">
        <v>314</v>
      </c>
      <c r="QX3" s="61" t="s">
        <v>314</v>
      </c>
      <c r="QY3" s="61" t="s">
        <v>314</v>
      </c>
      <c r="QZ3" s="61" t="s">
        <v>314</v>
      </c>
      <c r="RA3" s="192" t="s">
        <v>315</v>
      </c>
      <c r="RB3" s="192" t="s">
        <v>315</v>
      </c>
      <c r="RC3" s="192" t="s">
        <v>315</v>
      </c>
      <c r="RD3" s="193" t="s">
        <v>316</v>
      </c>
      <c r="RE3" s="193" t="s">
        <v>316</v>
      </c>
      <c r="RF3" s="193" t="s">
        <v>316</v>
      </c>
      <c r="RG3" s="211" t="s">
        <v>466</v>
      </c>
      <c r="RH3" s="212" t="s">
        <v>441</v>
      </c>
      <c r="RI3" s="212" t="s">
        <v>442</v>
      </c>
      <c r="RJ3" s="212" t="s">
        <v>443</v>
      </c>
      <c r="RK3" s="212" t="s">
        <v>444</v>
      </c>
      <c r="RL3" s="212" t="s">
        <v>445</v>
      </c>
      <c r="RM3" s="212" t="s">
        <v>446</v>
      </c>
      <c r="RN3" s="212" t="s">
        <v>447</v>
      </c>
      <c r="RO3" s="212" t="s">
        <v>448</v>
      </c>
      <c r="RP3" s="212" t="s">
        <v>449</v>
      </c>
      <c r="RQ3" s="212" t="s">
        <v>450</v>
      </c>
      <c r="RR3" s="195" t="s">
        <v>451</v>
      </c>
      <c r="RS3" s="195" t="s">
        <v>452</v>
      </c>
      <c r="RT3" s="195" t="s">
        <v>453</v>
      </c>
      <c r="RU3" s="195" t="s">
        <v>454</v>
      </c>
      <c r="RV3" s="195" t="s">
        <v>455</v>
      </c>
      <c r="RW3" s="195" t="s">
        <v>456</v>
      </c>
      <c r="RX3" s="195" t="s">
        <v>457</v>
      </c>
      <c r="RY3" s="195" t="s">
        <v>458</v>
      </c>
      <c r="RZ3" s="195" t="s">
        <v>459</v>
      </c>
      <c r="SA3" s="195" t="s">
        <v>460</v>
      </c>
      <c r="SB3" s="194" t="s">
        <v>473</v>
      </c>
      <c r="SC3" s="194" t="s">
        <v>531</v>
      </c>
      <c r="SD3" s="194" t="s">
        <v>18</v>
      </c>
      <c r="SE3" s="220" t="s">
        <v>531</v>
      </c>
      <c r="SF3" s="220" t="s">
        <v>18</v>
      </c>
      <c r="SG3" s="195" t="s">
        <v>532</v>
      </c>
      <c r="SH3" s="195" t="s">
        <v>531</v>
      </c>
      <c r="SI3" s="195" t="s">
        <v>533</v>
      </c>
      <c r="SJ3" s="195" t="s">
        <v>18</v>
      </c>
      <c r="SK3" s="195" t="s">
        <v>534</v>
      </c>
      <c r="SL3" s="195" t="s">
        <v>535</v>
      </c>
      <c r="SM3" s="195" t="s">
        <v>536</v>
      </c>
      <c r="SN3" s="195" t="s">
        <v>537</v>
      </c>
      <c r="SO3" s="195" t="s">
        <v>538</v>
      </c>
      <c r="SP3" s="195" t="s">
        <v>539</v>
      </c>
      <c r="SQ3" s="195" t="s">
        <v>540</v>
      </c>
      <c r="SR3" s="195" t="s">
        <v>541</v>
      </c>
      <c r="SS3" s="195" t="s">
        <v>542</v>
      </c>
      <c r="ST3" s="195" t="s">
        <v>543</v>
      </c>
      <c r="SU3" s="195" t="s">
        <v>544</v>
      </c>
      <c r="SV3" s="194" t="s">
        <v>495</v>
      </c>
      <c r="SW3" s="194" t="s">
        <v>496</v>
      </c>
      <c r="SX3" s="221" t="s">
        <v>497</v>
      </c>
      <c r="SY3" s="221" t="s">
        <v>498</v>
      </c>
      <c r="SZ3" s="221" t="s">
        <v>499</v>
      </c>
      <c r="TA3" s="221" t="s">
        <v>500</v>
      </c>
      <c r="TB3" s="221" t="s">
        <v>501</v>
      </c>
      <c r="TC3" s="221" t="s">
        <v>502</v>
      </c>
      <c r="TD3" s="221" t="s">
        <v>503</v>
      </c>
      <c r="TE3" s="222" t="s">
        <v>504</v>
      </c>
      <c r="TF3" s="222" t="s">
        <v>505</v>
      </c>
      <c r="TG3" s="222" t="s">
        <v>506</v>
      </c>
      <c r="TH3" s="222" t="s">
        <v>507</v>
      </c>
      <c r="TI3" s="222" t="s">
        <v>508</v>
      </c>
      <c r="TJ3" s="222" t="s">
        <v>509</v>
      </c>
      <c r="TK3" s="222" t="s">
        <v>510</v>
      </c>
      <c r="TL3" s="222" t="s">
        <v>511</v>
      </c>
      <c r="TM3" s="222" t="s">
        <v>512</v>
      </c>
      <c r="TN3" s="222" t="s">
        <v>513</v>
      </c>
      <c r="TO3" s="222" t="s">
        <v>514</v>
      </c>
      <c r="TP3" s="222" t="s">
        <v>515</v>
      </c>
      <c r="TQ3" s="222" t="s">
        <v>516</v>
      </c>
      <c r="TR3" s="222" t="s">
        <v>517</v>
      </c>
      <c r="TS3" s="195" t="s">
        <v>518</v>
      </c>
      <c r="TT3" s="223" t="s">
        <v>519</v>
      </c>
      <c r="TU3" s="223" t="s">
        <v>520</v>
      </c>
      <c r="TV3" s="224" t="s">
        <v>521</v>
      </c>
      <c r="TW3" s="224" t="s">
        <v>522</v>
      </c>
      <c r="TX3" s="224" t="s">
        <v>523</v>
      </c>
      <c r="TY3" s="225" t="s">
        <v>519</v>
      </c>
      <c r="TZ3" s="225" t="s">
        <v>520</v>
      </c>
      <c r="UA3" s="225" t="s">
        <v>521</v>
      </c>
      <c r="UB3" s="225" t="s">
        <v>522</v>
      </c>
      <c r="UC3" s="225" t="s">
        <v>523</v>
      </c>
      <c r="UD3" s="132" t="s">
        <v>625</v>
      </c>
      <c r="UE3" s="132" t="s">
        <v>110</v>
      </c>
      <c r="UF3" s="132" t="s">
        <v>151</v>
      </c>
      <c r="UG3" s="132" t="s">
        <v>247</v>
      </c>
      <c r="UH3" s="132" t="s">
        <v>152</v>
      </c>
      <c r="UI3" s="132" t="s">
        <v>248</v>
      </c>
      <c r="UJ3" s="132" t="s">
        <v>553</v>
      </c>
      <c r="UK3" s="132" t="s">
        <v>554</v>
      </c>
      <c r="UL3" s="132" t="s">
        <v>555</v>
      </c>
      <c r="UM3" s="132" t="s">
        <v>556</v>
      </c>
      <c r="UN3" s="132" t="s">
        <v>557</v>
      </c>
      <c r="UO3" s="132" t="s">
        <v>558</v>
      </c>
      <c r="UP3" s="132" t="s">
        <v>626</v>
      </c>
      <c r="UQ3" s="132" t="s">
        <v>249</v>
      </c>
      <c r="UR3" s="132" t="s">
        <v>250</v>
      </c>
      <c r="US3" s="132" t="s">
        <v>251</v>
      </c>
      <c r="UT3" s="132" t="s">
        <v>252</v>
      </c>
      <c r="UU3" s="132" t="s">
        <v>253</v>
      </c>
      <c r="UV3" s="132" t="s">
        <v>254</v>
      </c>
      <c r="UW3" s="132" t="s">
        <v>255</v>
      </c>
      <c r="UX3" s="132" t="s">
        <v>256</v>
      </c>
      <c r="UY3" s="132" t="s">
        <v>560</v>
      </c>
      <c r="UZ3" s="132" t="s">
        <v>258</v>
      </c>
      <c r="VA3" s="132" t="s">
        <v>259</v>
      </c>
      <c r="VB3" s="132" t="s">
        <v>260</v>
      </c>
      <c r="VC3" s="132" t="s">
        <v>261</v>
      </c>
      <c r="VD3" s="132" t="s">
        <v>262</v>
      </c>
      <c r="VE3" s="132" t="s">
        <v>263</v>
      </c>
      <c r="VF3" s="132" t="s">
        <v>150</v>
      </c>
      <c r="VG3" s="132" t="s">
        <v>627</v>
      </c>
      <c r="VH3" s="132" t="s">
        <v>68</v>
      </c>
      <c r="VI3" s="132" t="s">
        <v>264</v>
      </c>
      <c r="VJ3" s="132" t="s">
        <v>265</v>
      </c>
      <c r="VK3" s="9" t="s">
        <v>266</v>
      </c>
      <c r="VL3" s="103" t="s">
        <v>628</v>
      </c>
      <c r="VM3" s="103" t="s">
        <v>267</v>
      </c>
      <c r="VN3" s="103" t="s">
        <v>268</v>
      </c>
      <c r="VO3" s="185" t="s">
        <v>269</v>
      </c>
      <c r="VP3" s="185" t="s">
        <v>270</v>
      </c>
      <c r="VQ3" s="185" t="s">
        <v>67</v>
      </c>
      <c r="VR3" s="185" t="s">
        <v>629</v>
      </c>
      <c r="VS3" s="185" t="s">
        <v>288</v>
      </c>
      <c r="VT3" s="185" t="s">
        <v>289</v>
      </c>
      <c r="VU3" s="185" t="s">
        <v>290</v>
      </c>
      <c r="VV3" s="185" t="s">
        <v>291</v>
      </c>
      <c r="VW3" s="185" t="s">
        <v>292</v>
      </c>
      <c r="VX3" s="185" t="s">
        <v>565</v>
      </c>
      <c r="VY3" s="132" t="s">
        <v>566</v>
      </c>
      <c r="VZ3" s="132" t="s">
        <v>567</v>
      </c>
      <c r="WA3" s="132" t="s">
        <v>568</v>
      </c>
      <c r="WB3" s="132" t="s">
        <v>569</v>
      </c>
      <c r="WC3" s="132" t="s">
        <v>630</v>
      </c>
      <c r="WD3" s="132" t="s">
        <v>298</v>
      </c>
      <c r="WE3" s="132" t="s">
        <v>299</v>
      </c>
      <c r="WF3" s="132" t="s">
        <v>300</v>
      </c>
      <c r="WG3" s="132" t="s">
        <v>301</v>
      </c>
      <c r="WH3" s="132" t="s">
        <v>297</v>
      </c>
      <c r="WI3" s="132" t="s">
        <v>631</v>
      </c>
      <c r="WJ3" s="132" t="s">
        <v>572</v>
      </c>
      <c r="WK3" s="132" t="s">
        <v>306</v>
      </c>
      <c r="WL3" s="132" t="s">
        <v>307</v>
      </c>
      <c r="WM3" s="132" t="s">
        <v>308</v>
      </c>
      <c r="WN3" s="132" t="s">
        <v>309</v>
      </c>
      <c r="WO3" s="132" t="s">
        <v>574</v>
      </c>
      <c r="WP3" s="132" t="s">
        <v>575</v>
      </c>
      <c r="WQ3" s="132" t="s">
        <v>576</v>
      </c>
      <c r="WR3" s="132" t="s">
        <v>577</v>
      </c>
      <c r="WS3" s="132" t="s">
        <v>578</v>
      </c>
      <c r="WT3" s="132"/>
      <c r="WU3" s="132"/>
      <c r="WV3" s="132"/>
      <c r="WW3" s="132"/>
      <c r="WX3" s="132"/>
      <c r="WY3" s="132"/>
      <c r="WZ3" s="132"/>
      <c r="XA3" s="132"/>
      <c r="XB3" s="132"/>
      <c r="XC3" s="132"/>
      <c r="XD3" s="132"/>
      <c r="XE3" s="132"/>
      <c r="XF3" s="132"/>
      <c r="XG3" s="132"/>
      <c r="XH3" s="132"/>
      <c r="XI3" s="132"/>
      <c r="XJ3" s="132"/>
      <c r="XK3" s="132"/>
      <c r="XL3" s="132"/>
      <c r="XM3" s="132"/>
      <c r="XN3" s="132"/>
      <c r="XO3" s="132"/>
      <c r="XP3" s="132"/>
      <c r="XQ3" s="132"/>
      <c r="XR3" s="132"/>
      <c r="XS3" s="132"/>
      <c r="XT3" s="132"/>
      <c r="XU3" s="132"/>
      <c r="XV3" s="132"/>
      <c r="XW3" s="132"/>
      <c r="XX3" s="132"/>
      <c r="XY3" s="132"/>
      <c r="XZ3" s="132"/>
      <c r="YA3" s="132"/>
      <c r="YB3" s="132"/>
      <c r="YC3" s="132"/>
      <c r="YD3" s="132"/>
      <c r="YE3" s="132"/>
      <c r="YF3" s="132"/>
      <c r="YG3" s="9"/>
      <c r="YH3" s="103"/>
      <c r="YI3" s="103"/>
      <c r="YJ3" s="103"/>
      <c r="YK3" s="103"/>
      <c r="YL3" s="103"/>
      <c r="YM3" s="103"/>
      <c r="YN3" s="103"/>
      <c r="YO3" s="103"/>
      <c r="YP3" s="103"/>
      <c r="YQ3" s="103"/>
      <c r="YR3" s="103"/>
      <c r="YS3" s="103"/>
      <c r="YT3" s="104"/>
      <c r="YU3" s="104"/>
      <c r="YV3" s="104"/>
      <c r="YW3" s="104"/>
      <c r="YX3" s="104"/>
      <c r="YY3" s="104"/>
      <c r="YZ3" s="104"/>
      <c r="ZA3" s="104"/>
      <c r="ZB3" s="104"/>
      <c r="ZC3" s="104"/>
      <c r="ZD3" s="104"/>
      <c r="ZE3" s="104"/>
      <c r="ZF3" s="105"/>
      <c r="ZG3" s="105"/>
      <c r="ZH3" s="105"/>
      <c r="ZI3" s="105"/>
      <c r="ZJ3" s="105"/>
      <c r="ZK3" s="105"/>
      <c r="ZL3" s="105"/>
      <c r="ZM3" s="105"/>
      <c r="ZN3" s="105"/>
      <c r="ZO3" s="105"/>
      <c r="ZP3" s="105"/>
      <c r="ZQ3" s="105"/>
      <c r="ZR3" s="105"/>
      <c r="ZS3" s="105"/>
      <c r="ZT3" s="105"/>
      <c r="ZU3" s="105"/>
      <c r="ZV3" s="105"/>
      <c r="ZW3" s="105"/>
      <c r="ZX3" s="102"/>
      <c r="ZY3" s="102"/>
      <c r="ZZ3" s="102"/>
      <c r="AAA3" s="102"/>
      <c r="AAB3" s="102"/>
      <c r="AAC3" s="102"/>
      <c r="AAD3" s="102"/>
      <c r="AAE3" s="102"/>
      <c r="AAF3" s="102"/>
      <c r="AAG3" s="102"/>
      <c r="AAH3" s="133"/>
      <c r="AAI3" s="105"/>
      <c r="AAJ3" s="105"/>
      <c r="AAK3" s="105"/>
      <c r="AAL3" s="105"/>
      <c r="AAM3" s="105"/>
      <c r="AAN3" s="105"/>
      <c r="AAO3" s="105"/>
      <c r="AAP3" s="105"/>
      <c r="AAQ3" s="105"/>
      <c r="AAR3" s="105"/>
      <c r="AAS3" s="105"/>
      <c r="AAT3" s="105"/>
      <c r="AAU3" s="106"/>
      <c r="AAV3" s="106"/>
      <c r="AAW3" s="106"/>
      <c r="AAX3" s="106"/>
      <c r="AAY3" s="106"/>
      <c r="AAZ3" s="106"/>
      <c r="ABA3" s="106"/>
      <c r="ABB3" s="106"/>
      <c r="ABC3" s="106"/>
      <c r="ABD3" s="106"/>
      <c r="ABE3" s="106"/>
      <c r="ABF3" s="106"/>
      <c r="ABG3" s="106"/>
      <c r="ABH3" s="106"/>
      <c r="ABI3" s="101"/>
      <c r="ABJ3" s="101"/>
      <c r="ABK3" s="101"/>
      <c r="ABL3" s="106"/>
      <c r="ABM3" s="106"/>
      <c r="ABN3" s="106"/>
      <c r="ABO3" s="134"/>
      <c r="ABP3" s="134"/>
      <c r="ABQ3" s="134"/>
      <c r="ABR3" s="134"/>
      <c r="ABS3" s="134"/>
      <c r="ABT3" s="134"/>
      <c r="ABU3" s="134"/>
      <c r="ABV3" s="134"/>
      <c r="ABW3" s="134"/>
      <c r="ABX3" s="134"/>
      <c r="ABY3" s="134"/>
      <c r="ABZ3" s="134"/>
      <c r="ACA3" s="134"/>
      <c r="ACB3" s="134"/>
      <c r="ACC3" s="134"/>
      <c r="ACD3" s="134"/>
      <c r="ACE3" s="134"/>
      <c r="ACF3" s="134"/>
      <c r="ACG3" s="134"/>
      <c r="ACH3" s="134"/>
      <c r="ACI3" s="134"/>
      <c r="ACJ3" s="134"/>
      <c r="ACK3" s="134"/>
      <c r="ACL3" s="134"/>
      <c r="ACM3" s="134"/>
      <c r="ACN3" s="134"/>
      <c r="ACO3" s="134"/>
      <c r="ACP3" s="134"/>
      <c r="ACQ3" s="134"/>
      <c r="ACR3" s="134"/>
      <c r="ACS3" s="134"/>
      <c r="ACT3" s="134"/>
      <c r="ACU3" s="134"/>
      <c r="ACV3" s="134"/>
      <c r="ACW3" s="134"/>
      <c r="ACX3" s="134"/>
      <c r="ACY3" s="134"/>
      <c r="ACZ3" s="134"/>
      <c r="ADA3" s="134"/>
      <c r="ADB3" s="134"/>
      <c r="ADC3" s="134"/>
      <c r="ADD3" s="134"/>
      <c r="ADE3" s="134"/>
      <c r="ADF3" s="134"/>
      <c r="ADG3" s="134"/>
      <c r="ADH3" s="134"/>
      <c r="ADI3" s="134"/>
      <c r="ADJ3" s="134"/>
      <c r="ADK3" s="9"/>
      <c r="ADL3" s="134"/>
      <c r="ADM3" s="134"/>
      <c r="ADN3" s="134"/>
      <c r="ADO3" s="134"/>
      <c r="ADP3" s="134"/>
      <c r="ADQ3" s="134"/>
      <c r="ADR3" s="134"/>
      <c r="ADS3" s="134"/>
      <c r="ADT3" s="134"/>
      <c r="ADU3" s="134"/>
      <c r="ADV3" s="134"/>
      <c r="ADW3" s="134"/>
      <c r="ADX3" s="134"/>
      <c r="ADY3" s="134"/>
      <c r="ADZ3" s="134"/>
      <c r="AEA3" s="134"/>
      <c r="AEB3" s="134"/>
      <c r="AEC3" s="134"/>
      <c r="AED3" s="134"/>
      <c r="AEE3" s="134"/>
      <c r="AEF3" s="134"/>
      <c r="AEG3" s="134"/>
      <c r="AEH3" s="134"/>
      <c r="AEI3" s="134"/>
      <c r="AEJ3" s="134"/>
      <c r="AEK3" s="134"/>
      <c r="AEL3" s="134"/>
      <c r="AEM3" s="134"/>
      <c r="AEN3" s="134"/>
      <c r="AEO3" s="134"/>
      <c r="AEP3" s="134"/>
      <c r="AEQ3" s="134"/>
      <c r="AER3" s="134"/>
      <c r="AES3" s="134"/>
      <c r="AET3" s="134"/>
      <c r="AEU3" s="134"/>
      <c r="AEV3" s="134"/>
      <c r="AEW3" s="134"/>
    </row>
    <row r="4" spans="1:830" x14ac:dyDescent="0.25">
      <c r="A4" s="379"/>
      <c r="B4" s="107" t="s">
        <v>78</v>
      </c>
      <c r="C4" s="379"/>
      <c r="D4" s="379"/>
      <c r="E4" s="379"/>
      <c r="F4" s="381"/>
      <c r="G4" s="107" t="s">
        <v>200</v>
      </c>
      <c r="H4" s="107" t="s">
        <v>201</v>
      </c>
      <c r="I4" s="108" t="s">
        <v>328</v>
      </c>
      <c r="J4" s="107" t="s">
        <v>202</v>
      </c>
      <c r="K4" s="107" t="s">
        <v>203</v>
      </c>
      <c r="L4" s="107" t="s">
        <v>204</v>
      </c>
      <c r="M4" s="107" t="s">
        <v>205</v>
      </c>
      <c r="N4" s="226">
        <v>1</v>
      </c>
      <c r="O4" s="226">
        <v>2</v>
      </c>
      <c r="P4" s="226">
        <v>3</v>
      </c>
      <c r="Q4" s="226">
        <v>4</v>
      </c>
      <c r="R4" s="226">
        <v>5</v>
      </c>
      <c r="S4" s="226">
        <v>6</v>
      </c>
      <c r="T4" s="227">
        <v>1</v>
      </c>
      <c r="U4" s="227">
        <v>2</v>
      </c>
      <c r="V4" s="227">
        <v>3</v>
      </c>
      <c r="W4" s="227">
        <v>4</v>
      </c>
      <c r="X4" s="227">
        <v>5</v>
      </c>
      <c r="Y4" s="227">
        <v>6</v>
      </c>
      <c r="Z4" s="227">
        <v>1</v>
      </c>
      <c r="AA4" s="227">
        <v>2</v>
      </c>
      <c r="AB4" s="227">
        <v>3</v>
      </c>
      <c r="AC4" s="227">
        <v>4</v>
      </c>
      <c r="AD4" s="227">
        <v>5</v>
      </c>
      <c r="AE4" s="227">
        <v>6</v>
      </c>
      <c r="AF4" s="227">
        <v>1</v>
      </c>
      <c r="AG4" s="227">
        <v>2</v>
      </c>
      <c r="AH4" s="227">
        <v>3</v>
      </c>
      <c r="AI4" s="227">
        <v>4</v>
      </c>
      <c r="AJ4" s="227">
        <v>5</v>
      </c>
      <c r="AK4" s="227">
        <v>6</v>
      </c>
      <c r="AL4" s="227">
        <v>3</v>
      </c>
      <c r="AM4" s="227">
        <v>3</v>
      </c>
      <c r="AN4" s="227">
        <v>4</v>
      </c>
      <c r="AO4" s="227">
        <v>4</v>
      </c>
      <c r="AP4" s="227">
        <v>5</v>
      </c>
      <c r="AQ4" s="227">
        <v>5</v>
      </c>
      <c r="AR4" s="227">
        <v>6</v>
      </c>
      <c r="AS4" s="227">
        <v>6</v>
      </c>
      <c r="AT4" s="227">
        <v>1</v>
      </c>
      <c r="AU4" s="227">
        <v>2</v>
      </c>
      <c r="AV4" s="227">
        <v>3</v>
      </c>
      <c r="AW4" s="227">
        <v>4</v>
      </c>
      <c r="AX4" s="227">
        <v>5</v>
      </c>
      <c r="AY4" s="227">
        <v>6</v>
      </c>
      <c r="AZ4" s="227">
        <v>1</v>
      </c>
      <c r="BA4" s="227">
        <v>2</v>
      </c>
      <c r="BB4" s="227">
        <v>3</v>
      </c>
      <c r="BC4" s="227">
        <v>4</v>
      </c>
      <c r="BD4" s="227">
        <v>5</v>
      </c>
      <c r="BE4" s="227">
        <v>6</v>
      </c>
      <c r="BF4" s="227">
        <v>1</v>
      </c>
      <c r="BG4" s="227">
        <v>2</v>
      </c>
      <c r="BH4" s="227">
        <v>3</v>
      </c>
      <c r="BI4" s="227">
        <v>4</v>
      </c>
      <c r="BJ4" s="227">
        <v>5</v>
      </c>
      <c r="BK4" s="227">
        <v>6</v>
      </c>
      <c r="BL4" s="227">
        <v>1</v>
      </c>
      <c r="BM4" s="227">
        <v>2</v>
      </c>
      <c r="BN4" s="227">
        <v>3</v>
      </c>
      <c r="BO4" s="227">
        <v>4</v>
      </c>
      <c r="BP4" s="227">
        <v>5</v>
      </c>
      <c r="BQ4" s="227">
        <v>6</v>
      </c>
      <c r="BR4" s="227">
        <v>1</v>
      </c>
      <c r="BS4" s="227">
        <v>2</v>
      </c>
      <c r="BT4" s="227">
        <v>3</v>
      </c>
      <c r="BU4" s="227">
        <v>4</v>
      </c>
      <c r="BV4" s="227">
        <v>5</v>
      </c>
      <c r="BW4" s="227">
        <v>6</v>
      </c>
      <c r="BX4" s="227">
        <v>1</v>
      </c>
      <c r="BY4" s="227">
        <v>2</v>
      </c>
      <c r="BZ4" s="227">
        <v>3</v>
      </c>
      <c r="CA4" s="227">
        <v>4</v>
      </c>
      <c r="CB4" s="227">
        <v>5</v>
      </c>
      <c r="CC4" s="227">
        <v>6</v>
      </c>
      <c r="CD4" s="227">
        <v>1</v>
      </c>
      <c r="CE4" s="227">
        <v>2</v>
      </c>
      <c r="CF4" s="227">
        <v>3</v>
      </c>
      <c r="CG4" s="227">
        <v>4</v>
      </c>
      <c r="CH4" s="227">
        <v>5</v>
      </c>
      <c r="CI4" s="227">
        <v>6</v>
      </c>
      <c r="CJ4" s="228">
        <v>7</v>
      </c>
      <c r="CK4" s="228">
        <v>8</v>
      </c>
      <c r="CL4" s="228">
        <v>9</v>
      </c>
      <c r="CM4" s="228">
        <v>7</v>
      </c>
      <c r="CN4" s="228">
        <v>8</v>
      </c>
      <c r="CO4" s="228">
        <v>9</v>
      </c>
      <c r="CP4" s="228">
        <v>7</v>
      </c>
      <c r="CQ4" s="228">
        <v>8</v>
      </c>
      <c r="CR4" s="228">
        <v>9</v>
      </c>
      <c r="CS4" s="228">
        <v>7</v>
      </c>
      <c r="CT4" s="228">
        <v>8</v>
      </c>
      <c r="CU4" s="228">
        <v>9</v>
      </c>
      <c r="CV4" s="228">
        <v>7</v>
      </c>
      <c r="CW4" s="228">
        <v>8</v>
      </c>
      <c r="CX4" s="228">
        <v>9</v>
      </c>
      <c r="CY4" s="228">
        <v>7</v>
      </c>
      <c r="CZ4" s="228">
        <v>8</v>
      </c>
      <c r="DA4" s="228">
        <v>9</v>
      </c>
      <c r="DB4" s="228">
        <v>7</v>
      </c>
      <c r="DC4" s="228">
        <v>8</v>
      </c>
      <c r="DD4" s="228">
        <v>9</v>
      </c>
      <c r="DE4" s="228">
        <v>7</v>
      </c>
      <c r="DF4" s="228">
        <v>8</v>
      </c>
      <c r="DG4" s="228">
        <v>9</v>
      </c>
      <c r="DH4" s="228">
        <v>7</v>
      </c>
      <c r="DI4" s="228">
        <v>8</v>
      </c>
      <c r="DJ4" s="228">
        <v>9</v>
      </c>
      <c r="DK4" s="228">
        <v>7</v>
      </c>
      <c r="DL4" s="228">
        <v>8</v>
      </c>
      <c r="DM4" s="228">
        <v>9</v>
      </c>
      <c r="DN4" s="228">
        <v>7</v>
      </c>
      <c r="DO4" s="228">
        <v>8</v>
      </c>
      <c r="DP4" s="228">
        <v>9</v>
      </c>
      <c r="DQ4" s="228">
        <v>7</v>
      </c>
      <c r="DR4" s="228">
        <v>8</v>
      </c>
      <c r="DS4" s="228">
        <v>9</v>
      </c>
      <c r="DT4" s="228">
        <v>7</v>
      </c>
      <c r="DU4" s="228">
        <v>8</v>
      </c>
      <c r="DV4" s="228">
        <v>9</v>
      </c>
      <c r="DW4" s="228">
        <v>7</v>
      </c>
      <c r="DX4" s="228">
        <v>8</v>
      </c>
      <c r="DY4" s="228">
        <v>9</v>
      </c>
      <c r="DZ4" s="228">
        <v>7</v>
      </c>
      <c r="EA4" s="228">
        <v>8</v>
      </c>
      <c r="EB4" s="228">
        <v>9</v>
      </c>
      <c r="EC4" s="228">
        <v>7</v>
      </c>
      <c r="ED4" s="228">
        <v>8</v>
      </c>
      <c r="EE4" s="228">
        <v>9</v>
      </c>
      <c r="EF4" s="226">
        <v>10</v>
      </c>
      <c r="EG4" s="226">
        <v>11</v>
      </c>
      <c r="EH4" s="226">
        <v>12</v>
      </c>
      <c r="EI4" s="226">
        <v>10</v>
      </c>
      <c r="EJ4" s="226">
        <v>11</v>
      </c>
      <c r="EK4" s="226">
        <v>12</v>
      </c>
      <c r="EL4" s="226">
        <v>10</v>
      </c>
      <c r="EM4" s="226">
        <v>11</v>
      </c>
      <c r="EN4" s="226">
        <v>12</v>
      </c>
      <c r="EO4" s="226">
        <v>11</v>
      </c>
      <c r="EP4" s="226">
        <v>12</v>
      </c>
      <c r="EQ4" s="226">
        <v>10</v>
      </c>
      <c r="ER4" s="226">
        <v>11</v>
      </c>
      <c r="ES4" s="226">
        <v>12</v>
      </c>
      <c r="ET4" s="226">
        <v>10</v>
      </c>
      <c r="EU4" s="226">
        <v>11</v>
      </c>
      <c r="EV4" s="226">
        <v>12</v>
      </c>
      <c r="EW4" s="226">
        <v>10</v>
      </c>
      <c r="EX4" s="226">
        <v>11</v>
      </c>
      <c r="EY4" s="226">
        <v>12</v>
      </c>
      <c r="EZ4" s="226">
        <v>10</v>
      </c>
      <c r="FA4" s="226">
        <v>11</v>
      </c>
      <c r="FB4" s="226">
        <v>12</v>
      </c>
      <c r="FC4" s="226">
        <v>11</v>
      </c>
      <c r="FD4" s="226">
        <v>12</v>
      </c>
      <c r="FE4" s="226">
        <v>10</v>
      </c>
      <c r="FF4" s="226">
        <v>11</v>
      </c>
      <c r="FG4" s="226">
        <v>12</v>
      </c>
      <c r="FH4" s="226">
        <v>10</v>
      </c>
      <c r="FI4" s="226">
        <v>11</v>
      </c>
      <c r="FJ4" s="226">
        <v>12</v>
      </c>
      <c r="FK4" s="226">
        <v>10</v>
      </c>
      <c r="FL4" s="226">
        <v>11</v>
      </c>
      <c r="FM4" s="226">
        <v>12</v>
      </c>
      <c r="FN4" s="226">
        <v>10</v>
      </c>
      <c r="FO4" s="226">
        <v>11</v>
      </c>
      <c r="FP4" s="226">
        <v>12</v>
      </c>
      <c r="FQ4" s="226">
        <v>11</v>
      </c>
      <c r="FR4" s="226">
        <v>12</v>
      </c>
      <c r="FS4" s="226">
        <v>10</v>
      </c>
      <c r="FT4" s="226">
        <v>11</v>
      </c>
      <c r="FU4" s="226">
        <v>12</v>
      </c>
      <c r="FV4" s="226">
        <v>10</v>
      </c>
      <c r="FW4" s="226">
        <v>11</v>
      </c>
      <c r="FX4" s="226">
        <v>12</v>
      </c>
      <c r="FY4" s="226">
        <v>10</v>
      </c>
      <c r="FZ4" s="226">
        <v>11</v>
      </c>
      <c r="GA4" s="226">
        <v>12</v>
      </c>
      <c r="GB4" s="226">
        <v>10</v>
      </c>
      <c r="GC4" s="226">
        <v>11</v>
      </c>
      <c r="GD4" s="226">
        <v>12</v>
      </c>
      <c r="GE4" s="226">
        <v>10</v>
      </c>
      <c r="GF4" s="226">
        <v>11</v>
      </c>
      <c r="GG4" s="226">
        <v>12</v>
      </c>
      <c r="GH4" s="226">
        <v>10</v>
      </c>
      <c r="GI4" s="226">
        <v>11</v>
      </c>
      <c r="GJ4" s="226">
        <v>12</v>
      </c>
      <c r="GK4" s="226">
        <v>10</v>
      </c>
      <c r="GL4" s="226">
        <v>11</v>
      </c>
      <c r="GM4" s="226">
        <v>12</v>
      </c>
      <c r="GN4" s="226">
        <v>10</v>
      </c>
      <c r="GO4" s="226">
        <v>11</v>
      </c>
      <c r="GP4" s="226">
        <v>12</v>
      </c>
      <c r="GQ4" s="226">
        <v>10</v>
      </c>
      <c r="GR4" s="226">
        <v>11</v>
      </c>
      <c r="GS4" s="226">
        <v>12</v>
      </c>
      <c r="GT4" s="226">
        <v>10</v>
      </c>
      <c r="GU4" s="226">
        <v>11</v>
      </c>
      <c r="GV4" s="226">
        <v>12</v>
      </c>
      <c r="GW4" s="226">
        <v>10</v>
      </c>
      <c r="GX4" s="226">
        <v>10</v>
      </c>
      <c r="GY4" s="226">
        <v>10</v>
      </c>
      <c r="GZ4" s="226">
        <v>11</v>
      </c>
      <c r="HA4" s="226">
        <v>12</v>
      </c>
      <c r="HB4" s="226">
        <v>1</v>
      </c>
      <c r="HC4" s="226">
        <v>2</v>
      </c>
      <c r="HD4" s="226">
        <v>3</v>
      </c>
      <c r="HE4" s="226">
        <v>4</v>
      </c>
      <c r="HF4" s="226">
        <v>5</v>
      </c>
      <c r="HG4" s="226">
        <v>6</v>
      </c>
      <c r="HH4" s="226">
        <v>1</v>
      </c>
      <c r="HI4" s="226">
        <v>2</v>
      </c>
      <c r="HJ4" s="226">
        <v>3</v>
      </c>
      <c r="HK4" s="226">
        <v>4</v>
      </c>
      <c r="HL4" s="226">
        <v>5</v>
      </c>
      <c r="HM4" s="226">
        <v>6</v>
      </c>
      <c r="HN4" s="226">
        <v>1</v>
      </c>
      <c r="HO4" s="226">
        <v>2</v>
      </c>
      <c r="HP4" s="226">
        <v>3</v>
      </c>
      <c r="HQ4" s="226">
        <v>4</v>
      </c>
      <c r="HR4" s="226">
        <v>5</v>
      </c>
      <c r="HS4" s="226">
        <v>6</v>
      </c>
      <c r="HT4" s="226">
        <v>1</v>
      </c>
      <c r="HU4" s="226">
        <v>2</v>
      </c>
      <c r="HV4" s="226">
        <v>3</v>
      </c>
      <c r="HW4" s="226">
        <v>4</v>
      </c>
      <c r="HX4" s="226">
        <v>5</v>
      </c>
      <c r="HY4" s="226">
        <v>6</v>
      </c>
      <c r="HZ4" s="226">
        <v>3</v>
      </c>
      <c r="IA4" s="226">
        <v>4</v>
      </c>
      <c r="IB4" s="226">
        <v>5</v>
      </c>
      <c r="IC4" s="226">
        <v>6</v>
      </c>
      <c r="ID4" s="226">
        <v>1</v>
      </c>
      <c r="IE4" s="226">
        <v>2</v>
      </c>
      <c r="IF4" s="226">
        <v>3</v>
      </c>
      <c r="IG4" s="226">
        <v>4</v>
      </c>
      <c r="IH4" s="226">
        <v>5</v>
      </c>
      <c r="II4" s="226">
        <v>6</v>
      </c>
      <c r="IJ4" s="226">
        <v>7</v>
      </c>
      <c r="IK4" s="226">
        <v>8</v>
      </c>
      <c r="IL4" s="226">
        <v>9</v>
      </c>
      <c r="IM4" s="226">
        <v>7</v>
      </c>
      <c r="IN4" s="226">
        <v>8</v>
      </c>
      <c r="IO4" s="226">
        <v>9</v>
      </c>
      <c r="IP4" s="226">
        <v>7</v>
      </c>
      <c r="IQ4" s="226">
        <v>8</v>
      </c>
      <c r="IR4" s="226">
        <v>9</v>
      </c>
      <c r="IS4" s="226">
        <v>7</v>
      </c>
      <c r="IT4" s="226">
        <v>8</v>
      </c>
      <c r="IU4" s="226">
        <v>9</v>
      </c>
      <c r="IV4" s="226">
        <v>7</v>
      </c>
      <c r="IW4" s="226">
        <v>8</v>
      </c>
      <c r="IX4" s="226">
        <v>9</v>
      </c>
      <c r="IY4" s="226">
        <v>10</v>
      </c>
      <c r="IZ4" s="226">
        <v>11</v>
      </c>
      <c r="JA4" s="226">
        <v>12</v>
      </c>
      <c r="JB4" s="226">
        <v>10</v>
      </c>
      <c r="JC4" s="226">
        <v>11</v>
      </c>
      <c r="JD4" s="226">
        <v>12</v>
      </c>
      <c r="JE4" s="226">
        <v>10</v>
      </c>
      <c r="JF4" s="226">
        <v>11</v>
      </c>
      <c r="JG4" s="226">
        <v>12</v>
      </c>
      <c r="JH4" s="226">
        <v>10</v>
      </c>
      <c r="JI4" s="226">
        <v>11</v>
      </c>
      <c r="JJ4" s="226">
        <v>12</v>
      </c>
      <c r="JK4" s="226">
        <v>10</v>
      </c>
      <c r="JL4" s="226">
        <v>11</v>
      </c>
      <c r="JM4" s="226">
        <v>12</v>
      </c>
      <c r="JN4" s="226" t="s">
        <v>4</v>
      </c>
      <c r="JO4" s="226" t="s">
        <v>6</v>
      </c>
      <c r="JP4" s="226" t="s">
        <v>7</v>
      </c>
      <c r="JQ4" s="226" t="s">
        <v>8</v>
      </c>
      <c r="JR4" s="226" t="s">
        <v>9</v>
      </c>
      <c r="JS4" s="226" t="s">
        <v>10</v>
      </c>
      <c r="JT4" s="226" t="s">
        <v>11</v>
      </c>
      <c r="JU4" s="226" t="s">
        <v>12</v>
      </c>
      <c r="JV4" s="226" t="s">
        <v>13</v>
      </c>
      <c r="JW4" s="226">
        <v>10</v>
      </c>
      <c r="JX4" s="226">
        <v>11</v>
      </c>
      <c r="JY4" s="226">
        <v>12</v>
      </c>
      <c r="JZ4" s="258">
        <v>1</v>
      </c>
      <c r="KA4" s="258">
        <v>2</v>
      </c>
      <c r="KB4" s="258">
        <v>3</v>
      </c>
      <c r="KC4" s="258">
        <v>4</v>
      </c>
      <c r="KD4" s="258">
        <v>5</v>
      </c>
      <c r="KE4" s="258">
        <v>6</v>
      </c>
      <c r="KF4" s="258">
        <v>1</v>
      </c>
      <c r="KG4" s="258">
        <v>2</v>
      </c>
      <c r="KH4" s="258">
        <v>3</v>
      </c>
      <c r="KI4" s="258">
        <v>4</v>
      </c>
      <c r="KJ4" s="258">
        <v>5</v>
      </c>
      <c r="KK4" s="258">
        <v>6</v>
      </c>
      <c r="KL4" s="258">
        <v>1</v>
      </c>
      <c r="KM4" s="258">
        <v>2</v>
      </c>
      <c r="KN4" s="258">
        <v>3</v>
      </c>
      <c r="KO4" s="258">
        <v>4</v>
      </c>
      <c r="KP4" s="258">
        <v>5</v>
      </c>
      <c r="KQ4" s="258">
        <v>6</v>
      </c>
      <c r="KR4" s="258">
        <v>1</v>
      </c>
      <c r="KS4" s="258">
        <v>2</v>
      </c>
      <c r="KT4" s="258">
        <v>3</v>
      </c>
      <c r="KU4" s="258">
        <v>4</v>
      </c>
      <c r="KV4" s="258">
        <v>5</v>
      </c>
      <c r="KW4" s="258">
        <v>6</v>
      </c>
      <c r="KX4" s="258">
        <v>5</v>
      </c>
      <c r="KY4" s="258">
        <v>6</v>
      </c>
      <c r="KZ4" s="226">
        <v>7</v>
      </c>
      <c r="LA4" s="226">
        <v>8</v>
      </c>
      <c r="LB4" s="226">
        <v>9</v>
      </c>
      <c r="LC4" s="226">
        <v>7</v>
      </c>
      <c r="LD4" s="226">
        <v>8</v>
      </c>
      <c r="LE4" s="226">
        <v>9</v>
      </c>
      <c r="LF4" s="226">
        <v>7</v>
      </c>
      <c r="LG4" s="226">
        <v>8</v>
      </c>
      <c r="LH4" s="226">
        <v>9</v>
      </c>
      <c r="LI4" s="226">
        <v>7</v>
      </c>
      <c r="LJ4" s="226">
        <v>8</v>
      </c>
      <c r="LK4" s="226">
        <v>9</v>
      </c>
      <c r="LL4" s="226">
        <v>7</v>
      </c>
      <c r="LM4" s="226">
        <v>8</v>
      </c>
      <c r="LN4" s="226">
        <v>9</v>
      </c>
      <c r="LO4" s="226">
        <v>7</v>
      </c>
      <c r="LP4" s="226">
        <v>8</v>
      </c>
      <c r="LQ4" s="226">
        <v>9</v>
      </c>
      <c r="LR4" s="226">
        <v>11</v>
      </c>
      <c r="LS4" s="226">
        <v>12</v>
      </c>
      <c r="LT4" s="226">
        <v>11</v>
      </c>
      <c r="LU4" s="226">
        <v>12</v>
      </c>
      <c r="LV4" s="226">
        <v>10</v>
      </c>
      <c r="LW4" s="226">
        <v>11</v>
      </c>
      <c r="LX4" s="226">
        <v>12</v>
      </c>
      <c r="LY4" s="226">
        <v>10</v>
      </c>
      <c r="LZ4" s="226">
        <v>11</v>
      </c>
      <c r="MA4" s="226">
        <v>12</v>
      </c>
      <c r="MB4" s="226">
        <v>10</v>
      </c>
      <c r="MC4" s="226">
        <v>11</v>
      </c>
      <c r="MD4" s="226">
        <v>12</v>
      </c>
      <c r="ME4" s="226">
        <v>10</v>
      </c>
      <c r="MF4" s="226">
        <v>11</v>
      </c>
      <c r="MG4" s="226">
        <v>12</v>
      </c>
      <c r="MH4" s="226">
        <v>10</v>
      </c>
      <c r="MI4" s="226">
        <v>11</v>
      </c>
      <c r="MJ4" s="226">
        <v>12</v>
      </c>
      <c r="MK4" s="226">
        <v>10</v>
      </c>
      <c r="ML4" s="226">
        <v>11</v>
      </c>
      <c r="MM4" s="226">
        <v>12</v>
      </c>
      <c r="MN4" s="226">
        <v>10</v>
      </c>
      <c r="MO4" s="226">
        <v>11</v>
      </c>
      <c r="MP4" s="226">
        <v>12</v>
      </c>
      <c r="MQ4" s="226">
        <v>12</v>
      </c>
      <c r="MR4" s="226">
        <v>12</v>
      </c>
      <c r="MS4" s="226">
        <v>12</v>
      </c>
      <c r="MT4" s="226">
        <v>12</v>
      </c>
      <c r="MU4" s="226">
        <v>12</v>
      </c>
      <c r="MV4" s="226">
        <v>12</v>
      </c>
      <c r="MW4" s="226">
        <v>12</v>
      </c>
      <c r="MX4" s="226">
        <v>12</v>
      </c>
      <c r="MY4" s="226">
        <v>12</v>
      </c>
      <c r="MZ4" s="226">
        <v>12</v>
      </c>
      <c r="NA4" s="226">
        <v>12</v>
      </c>
      <c r="NB4" s="226">
        <v>12</v>
      </c>
      <c r="NC4" s="226">
        <v>12</v>
      </c>
      <c r="ND4" s="226">
        <v>12</v>
      </c>
      <c r="NE4" s="226">
        <v>12</v>
      </c>
      <c r="NF4" s="226">
        <v>12</v>
      </c>
      <c r="NG4" s="226">
        <v>12</v>
      </c>
      <c r="NH4" s="226">
        <v>10</v>
      </c>
      <c r="NI4" s="226">
        <v>10</v>
      </c>
      <c r="NJ4" s="226">
        <v>10</v>
      </c>
      <c r="NK4" s="226">
        <v>10</v>
      </c>
      <c r="NL4" s="226">
        <v>10</v>
      </c>
      <c r="NM4" s="226">
        <v>10</v>
      </c>
      <c r="NN4" s="226">
        <v>10</v>
      </c>
      <c r="NO4" s="226">
        <v>10</v>
      </c>
      <c r="NP4" s="226">
        <v>10</v>
      </c>
      <c r="NQ4" s="226">
        <v>10</v>
      </c>
      <c r="NR4" s="226">
        <v>10</v>
      </c>
      <c r="NS4" s="226">
        <v>10</v>
      </c>
      <c r="NT4" s="226">
        <v>10</v>
      </c>
      <c r="NU4" s="226">
        <v>1</v>
      </c>
      <c r="NV4" s="226">
        <v>2</v>
      </c>
      <c r="NW4" s="226">
        <v>3</v>
      </c>
      <c r="NX4" s="226">
        <v>4</v>
      </c>
      <c r="NY4" s="226">
        <v>5</v>
      </c>
      <c r="NZ4" s="226">
        <v>6</v>
      </c>
      <c r="OA4" s="226">
        <v>7</v>
      </c>
      <c r="OB4" s="226">
        <v>8</v>
      </c>
      <c r="OC4" s="226">
        <v>9</v>
      </c>
      <c r="OD4" s="226">
        <v>10</v>
      </c>
      <c r="OE4" s="226">
        <v>11</v>
      </c>
      <c r="OF4" s="226">
        <v>12</v>
      </c>
      <c r="OG4" s="226">
        <v>13</v>
      </c>
      <c r="OH4" s="226">
        <v>14</v>
      </c>
      <c r="OI4" s="226">
        <v>15</v>
      </c>
      <c r="OJ4" s="226">
        <v>16</v>
      </c>
      <c r="OK4" s="226">
        <v>17</v>
      </c>
      <c r="OL4" s="226">
        <v>18</v>
      </c>
      <c r="OM4" s="226">
        <v>19</v>
      </c>
      <c r="ON4" s="226">
        <v>20</v>
      </c>
      <c r="OO4" s="226">
        <v>21</v>
      </c>
      <c r="OP4" s="226">
        <v>22</v>
      </c>
      <c r="OQ4" s="226">
        <v>23</v>
      </c>
      <c r="OR4" s="226">
        <v>24</v>
      </c>
      <c r="OS4" s="226">
        <v>25</v>
      </c>
      <c r="OT4" s="226">
        <v>26</v>
      </c>
      <c r="OU4" s="226">
        <v>27</v>
      </c>
      <c r="OV4" s="226">
        <v>28</v>
      </c>
      <c r="OW4" s="226">
        <v>29</v>
      </c>
      <c r="OX4" s="226">
        <v>30</v>
      </c>
      <c r="OY4" s="226">
        <v>31</v>
      </c>
      <c r="OZ4" s="226">
        <v>32</v>
      </c>
      <c r="PA4" s="226">
        <v>33</v>
      </c>
      <c r="PB4" s="226">
        <v>34</v>
      </c>
      <c r="PC4" s="226">
        <v>35</v>
      </c>
      <c r="PD4" s="226">
        <v>36</v>
      </c>
      <c r="PE4" s="226">
        <v>37</v>
      </c>
      <c r="PF4" s="226">
        <v>38</v>
      </c>
      <c r="PG4" s="226">
        <v>39</v>
      </c>
      <c r="PH4" s="226">
        <v>40</v>
      </c>
      <c r="PI4" s="226">
        <v>41</v>
      </c>
      <c r="PJ4" s="226">
        <v>42</v>
      </c>
      <c r="PK4" s="226">
        <v>43</v>
      </c>
      <c r="PL4" s="226">
        <v>44</v>
      </c>
      <c r="PM4" s="226">
        <v>45</v>
      </c>
      <c r="PN4" s="226">
        <v>46</v>
      </c>
      <c r="PO4" s="226">
        <v>47</v>
      </c>
      <c r="PP4" s="226">
        <v>48</v>
      </c>
      <c r="PQ4" s="226">
        <v>49</v>
      </c>
      <c r="PR4" s="226">
        <v>50</v>
      </c>
      <c r="PS4" s="226">
        <v>51</v>
      </c>
      <c r="PT4" s="226">
        <v>52</v>
      </c>
      <c r="PU4" s="226">
        <v>53</v>
      </c>
      <c r="PV4" s="226">
        <v>54</v>
      </c>
      <c r="PW4" s="226">
        <v>55</v>
      </c>
      <c r="PX4" s="226">
        <v>56</v>
      </c>
      <c r="PY4" s="226">
        <v>57</v>
      </c>
      <c r="PZ4" s="226">
        <v>58</v>
      </c>
      <c r="QA4" s="226">
        <v>59</v>
      </c>
      <c r="QB4" s="226">
        <v>60</v>
      </c>
      <c r="QC4" s="226">
        <v>61</v>
      </c>
      <c r="QD4" s="226">
        <v>62</v>
      </c>
      <c r="QE4" s="226">
        <v>63</v>
      </c>
      <c r="QF4" s="226">
        <v>64</v>
      </c>
      <c r="QG4" s="226">
        <v>65</v>
      </c>
      <c r="QH4" s="226">
        <v>66</v>
      </c>
      <c r="QI4" s="226">
        <v>67</v>
      </c>
      <c r="QJ4" s="226">
        <v>68</v>
      </c>
      <c r="QK4" s="226">
        <v>69</v>
      </c>
      <c r="QL4" s="226">
        <v>70</v>
      </c>
      <c r="QM4" s="226">
        <v>71</v>
      </c>
      <c r="QN4" s="226">
        <v>72</v>
      </c>
      <c r="QO4" s="135"/>
      <c r="QP4" s="135"/>
      <c r="QQ4" s="135"/>
      <c r="QR4" s="196"/>
      <c r="QS4" s="196"/>
      <c r="QT4" s="196"/>
      <c r="QU4" s="107">
        <v>1</v>
      </c>
      <c r="QV4" s="197">
        <v>2</v>
      </c>
      <c r="QW4" s="107">
        <v>3</v>
      </c>
      <c r="QX4" s="230">
        <v>4</v>
      </c>
      <c r="QY4" s="230">
        <v>5</v>
      </c>
      <c r="QZ4" s="230">
        <v>6</v>
      </c>
      <c r="RA4" s="231">
        <v>7</v>
      </c>
      <c r="RB4" s="231">
        <v>8</v>
      </c>
      <c r="RC4" s="231">
        <v>9</v>
      </c>
      <c r="RD4" s="232">
        <v>10</v>
      </c>
      <c r="RE4" s="232">
        <v>11</v>
      </c>
      <c r="RF4" s="232">
        <v>12</v>
      </c>
      <c r="RG4" s="213" t="s">
        <v>467</v>
      </c>
      <c r="RH4" s="214" t="s">
        <v>462</v>
      </c>
      <c r="RI4" s="214" t="s">
        <v>462</v>
      </c>
      <c r="RJ4" s="214" t="s">
        <v>462</v>
      </c>
      <c r="RK4" s="214" t="s">
        <v>462</v>
      </c>
      <c r="RL4" s="214" t="s">
        <v>462</v>
      </c>
      <c r="RM4" s="214" t="s">
        <v>462</v>
      </c>
      <c r="RN4" s="214" t="s">
        <v>462</v>
      </c>
      <c r="RO4" s="214" t="s">
        <v>462</v>
      </c>
      <c r="RP4" s="214" t="s">
        <v>462</v>
      </c>
      <c r="RQ4" s="214" t="s">
        <v>462</v>
      </c>
      <c r="RR4" s="215" t="s">
        <v>463</v>
      </c>
      <c r="RS4" s="215" t="s">
        <v>463</v>
      </c>
      <c r="RT4" s="215" t="s">
        <v>463</v>
      </c>
      <c r="RU4" s="215" t="s">
        <v>463</v>
      </c>
      <c r="RV4" s="215" t="s">
        <v>463</v>
      </c>
      <c r="RW4" s="215" t="s">
        <v>463</v>
      </c>
      <c r="RX4" s="215" t="s">
        <v>463</v>
      </c>
      <c r="RY4" s="215" t="s">
        <v>463</v>
      </c>
      <c r="RZ4" s="215" t="s">
        <v>463</v>
      </c>
      <c r="SA4" s="215" t="s">
        <v>463</v>
      </c>
      <c r="SB4" s="229">
        <v>6</v>
      </c>
      <c r="SC4" s="229">
        <v>6</v>
      </c>
      <c r="SD4" s="229">
        <v>6</v>
      </c>
      <c r="SE4" s="233">
        <v>9</v>
      </c>
      <c r="SF4" s="233">
        <v>9</v>
      </c>
      <c r="SG4" s="215">
        <v>12</v>
      </c>
      <c r="SH4" s="215">
        <v>12</v>
      </c>
      <c r="SI4" s="215">
        <v>12</v>
      </c>
      <c r="SJ4" s="215">
        <v>12</v>
      </c>
      <c r="SK4" s="215">
        <v>12</v>
      </c>
      <c r="SL4" s="215">
        <v>12</v>
      </c>
      <c r="SM4" s="215">
        <v>12</v>
      </c>
      <c r="SN4" s="215">
        <v>12</v>
      </c>
      <c r="SO4" s="215">
        <v>12</v>
      </c>
      <c r="SP4" s="215">
        <v>12</v>
      </c>
      <c r="SQ4" s="215">
        <v>12</v>
      </c>
      <c r="SR4" s="215">
        <v>12</v>
      </c>
      <c r="SS4" s="215">
        <v>12</v>
      </c>
      <c r="ST4" s="215">
        <v>12</v>
      </c>
      <c r="SU4" s="215">
        <v>12</v>
      </c>
      <c r="SV4" s="229">
        <v>6</v>
      </c>
      <c r="SW4" s="229">
        <v>6</v>
      </c>
      <c r="SX4" s="227">
        <v>9</v>
      </c>
      <c r="SY4" s="227">
        <v>9</v>
      </c>
      <c r="SZ4" s="227">
        <v>9</v>
      </c>
      <c r="TA4" s="227">
        <v>9</v>
      </c>
      <c r="TB4" s="227">
        <v>9</v>
      </c>
      <c r="TC4" s="227">
        <v>9</v>
      </c>
      <c r="TD4" s="227">
        <v>9</v>
      </c>
      <c r="TE4" s="234">
        <v>12</v>
      </c>
      <c r="TF4" s="234">
        <v>12</v>
      </c>
      <c r="TG4" s="234">
        <v>12</v>
      </c>
      <c r="TH4" s="234">
        <v>12</v>
      </c>
      <c r="TI4" s="234">
        <v>12</v>
      </c>
      <c r="TJ4" s="234">
        <v>12</v>
      </c>
      <c r="TK4" s="234">
        <v>12</v>
      </c>
      <c r="TL4" s="234">
        <v>12</v>
      </c>
      <c r="TM4" s="234">
        <v>12</v>
      </c>
      <c r="TN4" s="234">
        <v>12</v>
      </c>
      <c r="TO4" s="234">
        <v>12</v>
      </c>
      <c r="TP4" s="234">
        <v>12</v>
      </c>
      <c r="TQ4" s="234">
        <v>12</v>
      </c>
      <c r="TR4" s="234">
        <v>12</v>
      </c>
      <c r="TS4" s="215">
        <v>6</v>
      </c>
      <c r="TT4" s="235">
        <v>9</v>
      </c>
      <c r="TU4" s="235">
        <v>9</v>
      </c>
      <c r="TV4" s="236">
        <v>9</v>
      </c>
      <c r="TW4" s="236">
        <v>9</v>
      </c>
      <c r="TX4" s="236">
        <v>9</v>
      </c>
      <c r="TY4" s="237">
        <v>12</v>
      </c>
      <c r="TZ4" s="237">
        <v>12</v>
      </c>
      <c r="UA4" s="237">
        <v>12</v>
      </c>
      <c r="UB4" s="237">
        <v>12</v>
      </c>
      <c r="UC4" s="237">
        <v>12</v>
      </c>
      <c r="UD4" s="114" t="s">
        <v>4</v>
      </c>
      <c r="UE4" s="114" t="s">
        <v>6</v>
      </c>
      <c r="UF4" s="114" t="s">
        <v>7</v>
      </c>
      <c r="UG4" s="114" t="s">
        <v>8</v>
      </c>
      <c r="UH4" s="114" t="s">
        <v>9</v>
      </c>
      <c r="UI4" s="114" t="s">
        <v>10</v>
      </c>
      <c r="UJ4" s="114" t="s">
        <v>11</v>
      </c>
      <c r="UK4" s="114" t="s">
        <v>12</v>
      </c>
      <c r="UL4" s="114" t="s">
        <v>13</v>
      </c>
      <c r="UM4" s="114" t="s">
        <v>14</v>
      </c>
      <c r="UN4" s="114" t="s">
        <v>15</v>
      </c>
      <c r="UO4" s="114" t="s">
        <v>16</v>
      </c>
      <c r="UP4" s="114" t="s">
        <v>17</v>
      </c>
      <c r="UQ4" s="114" t="s">
        <v>19</v>
      </c>
      <c r="UR4" s="114" t="s">
        <v>20</v>
      </c>
      <c r="US4" s="114" t="s">
        <v>21</v>
      </c>
      <c r="UT4" s="114" t="s">
        <v>22</v>
      </c>
      <c r="UU4" s="114" t="s">
        <v>23</v>
      </c>
      <c r="UV4" s="114" t="s">
        <v>24</v>
      </c>
      <c r="UW4" s="114" t="s">
        <v>25</v>
      </c>
      <c r="UX4" s="114" t="s">
        <v>26</v>
      </c>
      <c r="UY4" s="114" t="s">
        <v>27</v>
      </c>
      <c r="UZ4" s="114" t="s">
        <v>28</v>
      </c>
      <c r="VA4" s="114" t="s">
        <v>29</v>
      </c>
      <c r="VB4" s="114" t="s">
        <v>30</v>
      </c>
      <c r="VC4" s="114" t="s">
        <v>31</v>
      </c>
      <c r="VD4" s="114" t="s">
        <v>32</v>
      </c>
      <c r="VE4" s="114" t="s">
        <v>33</v>
      </c>
      <c r="VF4" s="114" t="s">
        <v>34</v>
      </c>
      <c r="VG4" s="114" t="s">
        <v>35</v>
      </c>
      <c r="VH4" s="114" t="s">
        <v>36</v>
      </c>
      <c r="VI4" s="114" t="s">
        <v>37</v>
      </c>
      <c r="VJ4" s="114" t="s">
        <v>38</v>
      </c>
      <c r="VK4" s="114" t="s">
        <v>39</v>
      </c>
      <c r="VL4" s="114" t="s">
        <v>40</v>
      </c>
      <c r="VM4" s="114" t="s">
        <v>41</v>
      </c>
      <c r="VN4" s="114" t="s">
        <v>42</v>
      </c>
      <c r="VO4" s="114" t="s">
        <v>44</v>
      </c>
      <c r="VP4" s="114" t="s">
        <v>45</v>
      </c>
      <c r="VQ4" s="114" t="s">
        <v>46</v>
      </c>
      <c r="VR4" s="114" t="s">
        <v>47</v>
      </c>
      <c r="VS4" s="114" t="s">
        <v>48</v>
      </c>
      <c r="VT4" s="114" t="s">
        <v>49</v>
      </c>
      <c r="VU4" s="114" t="s">
        <v>50</v>
      </c>
      <c r="VV4" s="114" t="s">
        <v>51</v>
      </c>
      <c r="VW4" s="114" t="s">
        <v>52</v>
      </c>
      <c r="VX4" s="114" t="s">
        <v>53</v>
      </c>
      <c r="VY4" s="114" t="s">
        <v>54</v>
      </c>
      <c r="VZ4" s="114" t="s">
        <v>55</v>
      </c>
      <c r="WA4" s="114" t="s">
        <v>56</v>
      </c>
      <c r="WB4" s="114" t="s">
        <v>57</v>
      </c>
      <c r="WC4" s="114" t="s">
        <v>58</v>
      </c>
      <c r="WD4" s="114" t="s">
        <v>59</v>
      </c>
      <c r="WE4" s="114" t="s">
        <v>60</v>
      </c>
      <c r="WF4" s="114" t="s">
        <v>61</v>
      </c>
      <c r="WG4" s="114" t="s">
        <v>62</v>
      </c>
      <c r="WH4" s="114" t="s">
        <v>63</v>
      </c>
      <c r="WI4" s="114" t="s">
        <v>64</v>
      </c>
      <c r="WJ4" s="114" t="s">
        <v>65</v>
      </c>
      <c r="WK4" s="114" t="s">
        <v>66</v>
      </c>
      <c r="WL4" s="114" t="s">
        <v>73</v>
      </c>
      <c r="WM4" s="114" t="s">
        <v>74</v>
      </c>
      <c r="WN4" s="114" t="s">
        <v>75</v>
      </c>
      <c r="WO4" s="114" t="s">
        <v>83</v>
      </c>
      <c r="WP4" s="114" t="s">
        <v>84</v>
      </c>
      <c r="WQ4" s="114" t="s">
        <v>85</v>
      </c>
      <c r="WR4" s="114" t="s">
        <v>111</v>
      </c>
      <c r="WS4" s="114" t="s">
        <v>112</v>
      </c>
      <c r="WT4" s="114"/>
      <c r="WU4" s="114"/>
      <c r="WV4" s="114"/>
      <c r="WW4" s="114"/>
      <c r="WX4" s="114"/>
      <c r="WY4" s="114"/>
      <c r="WZ4" s="114"/>
      <c r="XA4" s="114"/>
      <c r="XB4" s="114"/>
      <c r="XC4" s="114"/>
      <c r="XD4" s="114"/>
      <c r="XE4" s="114"/>
      <c r="XF4" s="114"/>
      <c r="XG4" s="114"/>
      <c r="XH4" s="114"/>
      <c r="XI4" s="114"/>
      <c r="XJ4" s="114"/>
      <c r="XK4" s="114"/>
      <c r="XL4" s="114"/>
      <c r="XM4" s="114"/>
      <c r="XN4" s="114"/>
      <c r="XO4" s="114"/>
      <c r="XP4" s="114"/>
      <c r="XQ4" s="114"/>
      <c r="XR4" s="114"/>
      <c r="XS4" s="114"/>
      <c r="XT4" s="114"/>
      <c r="XU4" s="114"/>
      <c r="XV4" s="114"/>
      <c r="XW4" s="114"/>
      <c r="XX4" s="114"/>
      <c r="XY4" s="114"/>
      <c r="XZ4" s="114"/>
      <c r="YA4" s="114"/>
      <c r="YB4" s="114"/>
      <c r="YC4" s="114"/>
      <c r="YD4" s="114"/>
      <c r="YE4" s="114"/>
      <c r="YF4" s="114"/>
      <c r="YG4" s="114"/>
      <c r="YH4" s="109"/>
      <c r="YI4" s="109"/>
      <c r="YJ4" s="109"/>
      <c r="YK4" s="109"/>
      <c r="YL4" s="109"/>
      <c r="YM4" s="109"/>
      <c r="YN4" s="109"/>
      <c r="YO4" s="109"/>
      <c r="YP4" s="109"/>
      <c r="YQ4" s="109"/>
      <c r="YR4" s="109"/>
      <c r="YS4" s="109"/>
      <c r="YT4" s="111"/>
      <c r="YU4" s="111"/>
      <c r="YV4" s="111"/>
      <c r="YW4" s="111"/>
      <c r="YX4" s="111"/>
      <c r="YY4" s="111"/>
      <c r="YZ4" s="111"/>
      <c r="ZA4" s="111"/>
      <c r="ZB4" s="111"/>
      <c r="ZC4" s="111"/>
      <c r="ZD4" s="111"/>
      <c r="ZE4" s="111"/>
      <c r="ZF4" s="110"/>
      <c r="ZG4" s="110"/>
      <c r="ZH4" s="110"/>
      <c r="ZI4" s="110"/>
      <c r="ZJ4" s="110"/>
      <c r="ZK4" s="110"/>
      <c r="ZL4" s="110"/>
      <c r="ZM4" s="110"/>
      <c r="ZN4" s="110"/>
      <c r="ZO4" s="110"/>
      <c r="ZP4" s="110"/>
      <c r="ZQ4" s="110"/>
      <c r="ZR4" s="110"/>
      <c r="ZS4" s="110"/>
      <c r="ZT4" s="110"/>
      <c r="ZU4" s="110"/>
      <c r="ZV4" s="110"/>
      <c r="ZW4" s="110"/>
      <c r="ZX4" s="113"/>
      <c r="ZY4" s="112"/>
      <c r="ZZ4" s="112"/>
      <c r="AAA4" s="112"/>
      <c r="AAB4" s="112"/>
      <c r="AAC4" s="112"/>
      <c r="AAD4" s="112"/>
      <c r="AAE4" s="112"/>
      <c r="AAF4" s="112"/>
      <c r="AAG4" s="112"/>
      <c r="AAH4" s="136"/>
      <c r="AAI4" s="110"/>
      <c r="AAJ4" s="110"/>
      <c r="AAK4" s="110"/>
      <c r="AAL4" s="110"/>
      <c r="AAM4" s="110"/>
      <c r="AAN4" s="110"/>
      <c r="AAO4" s="110"/>
      <c r="AAP4" s="110"/>
      <c r="AAQ4" s="110"/>
      <c r="AAR4" s="110"/>
      <c r="AAS4" s="110"/>
      <c r="AAT4" s="110"/>
      <c r="AAU4" s="115"/>
      <c r="AAV4" s="115"/>
      <c r="AAW4" s="115"/>
      <c r="AAX4" s="115"/>
      <c r="AAY4" s="115"/>
      <c r="AAZ4" s="115"/>
      <c r="ABA4" s="115"/>
      <c r="ABB4" s="99"/>
      <c r="ABC4" s="115"/>
      <c r="ABD4" s="115"/>
      <c r="ABE4" s="115"/>
      <c r="ABF4" s="115"/>
      <c r="ABG4" s="115"/>
      <c r="ABH4" s="115"/>
      <c r="ABI4" s="110"/>
      <c r="ABJ4" s="110"/>
      <c r="ABK4" s="110"/>
      <c r="ABL4" s="115"/>
      <c r="ABM4" s="115"/>
      <c r="ABN4" s="115"/>
      <c r="ABO4" s="116"/>
      <c r="ABP4" s="116"/>
      <c r="ABQ4" s="116"/>
      <c r="ABR4" s="116"/>
      <c r="ABS4" s="116"/>
      <c r="ABT4" s="116"/>
      <c r="ABU4" s="116"/>
      <c r="ABV4" s="116"/>
      <c r="ABW4" s="116"/>
      <c r="ABX4" s="116"/>
      <c r="ABY4" s="116"/>
      <c r="ABZ4" s="116"/>
      <c r="ACA4" s="116"/>
      <c r="ACB4" s="116"/>
      <c r="ACC4" s="116"/>
      <c r="ACD4" s="116"/>
      <c r="ACE4" s="116"/>
      <c r="ACF4" s="116"/>
      <c r="ACG4" s="116"/>
      <c r="ACH4" s="116"/>
      <c r="ACI4" s="116"/>
      <c r="ACJ4" s="116"/>
      <c r="ACK4" s="116"/>
      <c r="ACL4" s="116"/>
      <c r="ACM4" s="116"/>
      <c r="ACN4" s="116"/>
      <c r="ACO4" s="116"/>
      <c r="ACP4" s="116"/>
      <c r="ACQ4" s="116"/>
      <c r="ACR4" s="116"/>
      <c r="ACS4" s="116"/>
      <c r="ACT4" s="116"/>
      <c r="ACU4" s="116"/>
      <c r="ACV4" s="116"/>
      <c r="ACW4" s="116"/>
      <c r="ACX4" s="116"/>
      <c r="ACY4" s="116"/>
      <c r="ACZ4" s="116"/>
      <c r="ADA4" s="116"/>
      <c r="ADB4" s="116"/>
      <c r="ADC4" s="116"/>
      <c r="ADD4" s="116"/>
      <c r="ADE4" s="116"/>
      <c r="ADF4" s="116"/>
      <c r="ADG4" s="116"/>
      <c r="ADH4" s="116"/>
      <c r="ADI4" s="116"/>
      <c r="ADJ4" s="116"/>
      <c r="ADK4" s="116"/>
      <c r="ADL4" s="116"/>
      <c r="ADM4" s="116"/>
      <c r="ADN4" s="116"/>
      <c r="ADO4" s="116"/>
      <c r="ADP4" s="116"/>
      <c r="ADQ4" s="116"/>
      <c r="ADR4" s="116"/>
      <c r="ADS4" s="116"/>
      <c r="ADT4" s="116"/>
      <c r="ADU4" s="116"/>
      <c r="ADV4" s="116"/>
      <c r="ADW4" s="116"/>
      <c r="ADX4" s="116"/>
      <c r="ADY4" s="116"/>
      <c r="ADZ4" s="116"/>
      <c r="AEA4" s="116"/>
      <c r="AEB4" s="116"/>
      <c r="AEC4" s="116"/>
      <c r="AED4" s="116"/>
      <c r="AEE4" s="116"/>
      <c r="AEF4" s="116"/>
      <c r="AEG4" s="116"/>
      <c r="AEH4" s="116"/>
      <c r="AEI4" s="116"/>
      <c r="AEJ4" s="116"/>
      <c r="AEK4" s="116"/>
      <c r="AEL4" s="116"/>
      <c r="AEM4" s="116"/>
      <c r="AEN4" s="116"/>
      <c r="AEO4" s="116"/>
      <c r="AEP4" s="116"/>
      <c r="AEQ4" s="116"/>
      <c r="AER4" s="116"/>
      <c r="AES4" s="116"/>
      <c r="AET4" s="116"/>
      <c r="AEU4" s="116"/>
      <c r="AEV4" s="116"/>
      <c r="AEW4" s="116"/>
    </row>
    <row r="5" spans="1:830" ht="22.5" customHeight="1" x14ac:dyDescent="0.25">
      <c r="A5" s="36"/>
      <c r="B5" s="142" t="s">
        <v>183</v>
      </c>
      <c r="C5" s="160">
        <f>REKAP!$J$6</f>
        <v>0</v>
      </c>
      <c r="D5" s="124">
        <f>REKAP!$J$4</f>
        <v>0</v>
      </c>
      <c r="E5" s="159">
        <f>REKAP!$J$5</f>
        <v>0</v>
      </c>
      <c r="F5" s="36"/>
      <c r="G5" s="138" t="s">
        <v>218</v>
      </c>
      <c r="H5" s="4" t="s">
        <v>220</v>
      </c>
      <c r="I5" s="143"/>
      <c r="J5" s="141">
        <f t="shared" ref="J5:J39" si="0">SUM(N5:AEW5)</f>
        <v>0</v>
      </c>
      <c r="K5" s="7"/>
      <c r="L5" s="141"/>
      <c r="M5" s="130"/>
      <c r="N5" s="130"/>
      <c r="O5" s="130"/>
      <c r="P5" s="130"/>
      <c r="Q5" s="130"/>
      <c r="R5" s="130"/>
      <c r="S5" s="130"/>
      <c r="T5" s="130">
        <f>sd!$F$6</f>
        <v>0</v>
      </c>
      <c r="U5" s="130">
        <f>sd!$F$7</f>
        <v>0</v>
      </c>
      <c r="V5" s="130">
        <f>sd!$F$8</f>
        <v>0</v>
      </c>
      <c r="W5" s="130">
        <f>sd!$F$9</f>
        <v>0</v>
      </c>
      <c r="X5" s="130">
        <f>sd!$F$10</f>
        <v>0</v>
      </c>
      <c r="Y5" s="130">
        <f>sd!$F$11</f>
        <v>0</v>
      </c>
      <c r="Z5" s="130">
        <f>sd!$F$12</f>
        <v>0</v>
      </c>
      <c r="AA5" s="130">
        <f>sd!$F$13</f>
        <v>0</v>
      </c>
      <c r="AB5" s="130">
        <f>sd!$F$14</f>
        <v>0</v>
      </c>
      <c r="AC5" s="130">
        <f>sd!$F$15</f>
        <v>0</v>
      </c>
      <c r="AD5" s="130">
        <f>sd!$F$16</f>
        <v>0</v>
      </c>
      <c r="AE5" s="130">
        <f>sd!$F$17</f>
        <v>0</v>
      </c>
      <c r="AF5" s="130">
        <f>sd!$F$18</f>
        <v>0</v>
      </c>
      <c r="AG5" s="130">
        <f>sd!$F$19</f>
        <v>0</v>
      </c>
      <c r="AH5" s="130">
        <f>sd!$F$20</f>
        <v>0</v>
      </c>
      <c r="AI5" s="130">
        <f>sd!$F$21</f>
        <v>0</v>
      </c>
      <c r="AJ5" s="130">
        <f>sd!$F$22</f>
        <v>0</v>
      </c>
      <c r="AK5" s="130">
        <f>sd!$F$23</f>
        <v>0</v>
      </c>
      <c r="AL5" s="130">
        <f>sd!$F$24</f>
        <v>0</v>
      </c>
      <c r="AM5" s="130">
        <f>sd!$F$25</f>
        <v>0</v>
      </c>
      <c r="AN5" s="130">
        <f>sd!$F$26</f>
        <v>0</v>
      </c>
      <c r="AO5" s="130">
        <f>sd!$F$27</f>
        <v>0</v>
      </c>
      <c r="AP5" s="130">
        <f>sd!$F$28</f>
        <v>0</v>
      </c>
      <c r="AQ5" s="130">
        <f>sd!$F$29</f>
        <v>0</v>
      </c>
      <c r="AR5" s="130">
        <f>sd!$F$30</f>
        <v>0</v>
      </c>
      <c r="AS5" s="130">
        <f>sd!$F$31</f>
        <v>0</v>
      </c>
      <c r="AT5" s="130">
        <f>sd!$F$32</f>
        <v>0</v>
      </c>
      <c r="AU5" s="130">
        <f>sd!$F$33</f>
        <v>0</v>
      </c>
      <c r="AV5" s="130">
        <f>sd!$F$34</f>
        <v>0</v>
      </c>
      <c r="AW5" s="130">
        <f>sd!$F$35</f>
        <v>0</v>
      </c>
      <c r="AX5" s="130">
        <f>sd!$F$36</f>
        <v>0</v>
      </c>
      <c r="AY5" s="130">
        <f>sd!$F$37</f>
        <v>0</v>
      </c>
      <c r="AZ5" s="130">
        <f>sd!$F$38</f>
        <v>0</v>
      </c>
      <c r="BA5" s="130">
        <f>sd!$F$39</f>
        <v>0</v>
      </c>
      <c r="BB5" s="130">
        <f>sd!$F$40</f>
        <v>0</v>
      </c>
      <c r="BC5" s="130">
        <f>sd!$F$41</f>
        <v>0</v>
      </c>
      <c r="BD5" s="130">
        <f>sd!$F$42</f>
        <v>0</v>
      </c>
      <c r="BE5" s="130">
        <f>sd!$F$43</f>
        <v>0</v>
      </c>
      <c r="BF5" s="130">
        <f>sd!$F$44</f>
        <v>0</v>
      </c>
      <c r="BG5" s="130">
        <f>sd!$F$45</f>
        <v>0</v>
      </c>
      <c r="BH5" s="130">
        <f>sd!$F$46</f>
        <v>0</v>
      </c>
      <c r="BI5" s="130">
        <f>sd!$F$47</f>
        <v>0</v>
      </c>
      <c r="BJ5" s="130">
        <f>sd!$F$48</f>
        <v>0</v>
      </c>
      <c r="BK5" s="130">
        <f>sd!$F$49</f>
        <v>0</v>
      </c>
      <c r="BL5" s="130">
        <f>sd!$F$50</f>
        <v>0</v>
      </c>
      <c r="BM5" s="130">
        <f>sd!$F$51</f>
        <v>0</v>
      </c>
      <c r="BN5" s="130">
        <f>sd!$F$52</f>
        <v>0</v>
      </c>
      <c r="BO5" s="130">
        <f>sd!$F$53</f>
        <v>0</v>
      </c>
      <c r="BP5" s="130">
        <f>sd!$F$54</f>
        <v>0</v>
      </c>
      <c r="BQ5" s="130">
        <f>sd!$F$55</f>
        <v>0</v>
      </c>
      <c r="BR5" s="130">
        <f>sd!$F$56</f>
        <v>0</v>
      </c>
      <c r="BS5" s="130">
        <f>sd!$F$57</f>
        <v>0</v>
      </c>
      <c r="BT5" s="130">
        <f>sd!$F$58</f>
        <v>0</v>
      </c>
      <c r="BU5" s="130">
        <f>sd!$F$59</f>
        <v>0</v>
      </c>
      <c r="BV5" s="130">
        <f>sd!$F$60</f>
        <v>0</v>
      </c>
      <c r="BW5" s="130">
        <f>sd!$F$61</f>
        <v>0</v>
      </c>
      <c r="BX5" s="130">
        <f>sd!$F$62</f>
        <v>0</v>
      </c>
      <c r="BY5" s="130">
        <f>sd!$F$63</f>
        <v>0</v>
      </c>
      <c r="BZ5" s="130">
        <f>sd!$F$64</f>
        <v>0</v>
      </c>
      <c r="CA5" s="130">
        <f>sd!$F$65</f>
        <v>0</v>
      </c>
      <c r="CB5" s="130">
        <f>sd!$F$66</f>
        <v>0</v>
      </c>
      <c r="CC5" s="130">
        <f>sd!$F$67</f>
        <v>0</v>
      </c>
      <c r="CD5" s="130">
        <f>sd!$F$74</f>
        <v>0</v>
      </c>
      <c r="CE5" s="130">
        <f>sd!$F$75</f>
        <v>0</v>
      </c>
      <c r="CF5" s="130">
        <f>sd!$F$76</f>
        <v>0</v>
      </c>
      <c r="CG5" s="130">
        <f>sd!$F$77</f>
        <v>0</v>
      </c>
      <c r="CH5" s="130">
        <f>sd!$F$78</f>
        <v>0</v>
      </c>
      <c r="CI5" s="130">
        <f>sd!$F$79</f>
        <v>0</v>
      </c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4"/>
      <c r="HU5" s="4"/>
      <c r="HV5" s="4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36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36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36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36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4"/>
      <c r="ZW5" s="7"/>
      <c r="ZX5" s="7"/>
      <c r="ZY5" s="7"/>
      <c r="ZZ5" s="7"/>
      <c r="AAA5" s="7"/>
      <c r="AAB5" s="7"/>
      <c r="AAC5" s="7"/>
      <c r="AAD5" s="7"/>
      <c r="AAE5" s="7"/>
      <c r="AAF5" s="36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4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144" t="s">
        <v>221</v>
      </c>
    </row>
    <row r="6" spans="1:830" ht="22.5" customHeight="1" x14ac:dyDescent="0.25">
      <c r="A6" s="36"/>
      <c r="B6" s="142" t="s">
        <v>409</v>
      </c>
      <c r="C6" s="160">
        <f>REKAP!$J$6</f>
        <v>0</v>
      </c>
      <c r="D6" s="124">
        <f>REKAP!$J$4</f>
        <v>0</v>
      </c>
      <c r="E6" s="159">
        <f>REKAP!$J$5</f>
        <v>0</v>
      </c>
      <c r="F6" s="36"/>
      <c r="G6" s="138" t="s">
        <v>219</v>
      </c>
      <c r="H6" s="4" t="s">
        <v>193</v>
      </c>
      <c r="I6" s="143"/>
      <c r="J6" s="141">
        <f t="shared" si="0"/>
        <v>0</v>
      </c>
      <c r="K6" s="7"/>
      <c r="L6" s="141"/>
      <c r="M6" s="130"/>
      <c r="N6" s="130">
        <f>ROUND(N54,0)</f>
        <v>0</v>
      </c>
      <c r="O6" s="130">
        <f t="shared" ref="O6:BZ6" si="1">ROUND(O54,0)</f>
        <v>0</v>
      </c>
      <c r="P6" s="130">
        <f t="shared" si="1"/>
        <v>0</v>
      </c>
      <c r="Q6" s="130">
        <f t="shared" si="1"/>
        <v>0</v>
      </c>
      <c r="R6" s="130">
        <f t="shared" si="1"/>
        <v>0</v>
      </c>
      <c r="S6" s="130">
        <f t="shared" si="1"/>
        <v>0</v>
      </c>
      <c r="T6" s="130">
        <f t="shared" si="1"/>
        <v>0</v>
      </c>
      <c r="U6" s="130">
        <f t="shared" si="1"/>
        <v>0</v>
      </c>
      <c r="V6" s="130">
        <f t="shared" si="1"/>
        <v>0</v>
      </c>
      <c r="W6" s="130">
        <f t="shared" si="1"/>
        <v>0</v>
      </c>
      <c r="X6" s="130">
        <f t="shared" si="1"/>
        <v>0</v>
      </c>
      <c r="Y6" s="130">
        <f t="shared" si="1"/>
        <v>0</v>
      </c>
      <c r="Z6" s="130">
        <f t="shared" si="1"/>
        <v>0</v>
      </c>
      <c r="AA6" s="130">
        <f t="shared" si="1"/>
        <v>0</v>
      </c>
      <c r="AB6" s="130">
        <f t="shared" si="1"/>
        <v>0</v>
      </c>
      <c r="AC6" s="130">
        <f t="shared" si="1"/>
        <v>0</v>
      </c>
      <c r="AD6" s="130">
        <f t="shared" si="1"/>
        <v>0</v>
      </c>
      <c r="AE6" s="130">
        <f t="shared" si="1"/>
        <v>0</v>
      </c>
      <c r="AF6" s="130">
        <f t="shared" si="1"/>
        <v>0</v>
      </c>
      <c r="AG6" s="130">
        <f t="shared" si="1"/>
        <v>0</v>
      </c>
      <c r="AH6" s="130">
        <f t="shared" si="1"/>
        <v>0</v>
      </c>
      <c r="AI6" s="130">
        <f t="shared" si="1"/>
        <v>0</v>
      </c>
      <c r="AJ6" s="130">
        <f t="shared" si="1"/>
        <v>0</v>
      </c>
      <c r="AK6" s="130">
        <f t="shared" si="1"/>
        <v>0</v>
      </c>
      <c r="AL6" s="130">
        <f t="shared" si="1"/>
        <v>0</v>
      </c>
      <c r="AM6" s="130">
        <f t="shared" si="1"/>
        <v>0</v>
      </c>
      <c r="AN6" s="130">
        <f t="shared" si="1"/>
        <v>0</v>
      </c>
      <c r="AO6" s="130">
        <f t="shared" si="1"/>
        <v>0</v>
      </c>
      <c r="AP6" s="130">
        <f t="shared" si="1"/>
        <v>0</v>
      </c>
      <c r="AQ6" s="130">
        <f t="shared" si="1"/>
        <v>0</v>
      </c>
      <c r="AR6" s="130">
        <f t="shared" si="1"/>
        <v>0</v>
      </c>
      <c r="AS6" s="130">
        <f t="shared" si="1"/>
        <v>0</v>
      </c>
      <c r="AT6" s="130">
        <f t="shared" si="1"/>
        <v>0</v>
      </c>
      <c r="AU6" s="130">
        <f t="shared" si="1"/>
        <v>0</v>
      </c>
      <c r="AV6" s="130">
        <f t="shared" si="1"/>
        <v>0</v>
      </c>
      <c r="AW6" s="130">
        <f t="shared" si="1"/>
        <v>0</v>
      </c>
      <c r="AX6" s="130">
        <f t="shared" si="1"/>
        <v>0</v>
      </c>
      <c r="AY6" s="130">
        <f t="shared" si="1"/>
        <v>0</v>
      </c>
      <c r="AZ6" s="130">
        <f t="shared" si="1"/>
        <v>0</v>
      </c>
      <c r="BA6" s="130">
        <f t="shared" si="1"/>
        <v>0</v>
      </c>
      <c r="BB6" s="130">
        <f t="shared" si="1"/>
        <v>0</v>
      </c>
      <c r="BC6" s="130">
        <f t="shared" si="1"/>
        <v>0</v>
      </c>
      <c r="BD6" s="130">
        <f t="shared" si="1"/>
        <v>0</v>
      </c>
      <c r="BE6" s="130">
        <f t="shared" si="1"/>
        <v>0</v>
      </c>
      <c r="BF6" s="130">
        <f t="shared" si="1"/>
        <v>0</v>
      </c>
      <c r="BG6" s="130">
        <f t="shared" si="1"/>
        <v>0</v>
      </c>
      <c r="BH6" s="130">
        <f t="shared" si="1"/>
        <v>0</v>
      </c>
      <c r="BI6" s="130">
        <f t="shared" si="1"/>
        <v>0</v>
      </c>
      <c r="BJ6" s="130">
        <f t="shared" si="1"/>
        <v>0</v>
      </c>
      <c r="BK6" s="130">
        <f t="shared" si="1"/>
        <v>0</v>
      </c>
      <c r="BL6" s="130">
        <f t="shared" si="1"/>
        <v>0</v>
      </c>
      <c r="BM6" s="130">
        <f t="shared" si="1"/>
        <v>0</v>
      </c>
      <c r="BN6" s="130">
        <f t="shared" si="1"/>
        <v>0</v>
      </c>
      <c r="BO6" s="130">
        <f t="shared" si="1"/>
        <v>0</v>
      </c>
      <c r="BP6" s="130">
        <f t="shared" si="1"/>
        <v>0</v>
      </c>
      <c r="BQ6" s="130">
        <f t="shared" si="1"/>
        <v>0</v>
      </c>
      <c r="BR6" s="130">
        <f t="shared" si="1"/>
        <v>0</v>
      </c>
      <c r="BS6" s="130">
        <f t="shared" si="1"/>
        <v>0</v>
      </c>
      <c r="BT6" s="130">
        <f t="shared" si="1"/>
        <v>0</v>
      </c>
      <c r="BU6" s="130">
        <f t="shared" si="1"/>
        <v>0</v>
      </c>
      <c r="BV6" s="130">
        <f t="shared" si="1"/>
        <v>0</v>
      </c>
      <c r="BW6" s="130">
        <f t="shared" si="1"/>
        <v>0</v>
      </c>
      <c r="BX6" s="130">
        <f t="shared" si="1"/>
        <v>0</v>
      </c>
      <c r="BY6" s="130">
        <f t="shared" si="1"/>
        <v>0</v>
      </c>
      <c r="BZ6" s="130">
        <f t="shared" si="1"/>
        <v>0</v>
      </c>
      <c r="CA6" s="130">
        <f t="shared" ref="CA6:EL6" si="2">ROUND(CA54,0)</f>
        <v>0</v>
      </c>
      <c r="CB6" s="130">
        <f t="shared" si="2"/>
        <v>0</v>
      </c>
      <c r="CC6" s="130">
        <f t="shared" si="2"/>
        <v>0</v>
      </c>
      <c r="CD6" s="130">
        <f t="shared" si="2"/>
        <v>0</v>
      </c>
      <c r="CE6" s="130">
        <f t="shared" si="2"/>
        <v>0</v>
      </c>
      <c r="CF6" s="130">
        <f t="shared" si="2"/>
        <v>0</v>
      </c>
      <c r="CG6" s="130">
        <f t="shared" si="2"/>
        <v>0</v>
      </c>
      <c r="CH6" s="130">
        <f t="shared" si="2"/>
        <v>0</v>
      </c>
      <c r="CI6" s="130">
        <f t="shared" si="2"/>
        <v>0</v>
      </c>
      <c r="CJ6" s="130">
        <f t="shared" si="2"/>
        <v>0</v>
      </c>
      <c r="CK6" s="130">
        <f t="shared" si="2"/>
        <v>0</v>
      </c>
      <c r="CL6" s="130">
        <f t="shared" si="2"/>
        <v>0</v>
      </c>
      <c r="CM6" s="130">
        <f t="shared" si="2"/>
        <v>0</v>
      </c>
      <c r="CN6" s="130">
        <f t="shared" si="2"/>
        <v>0</v>
      </c>
      <c r="CO6" s="130">
        <f t="shared" si="2"/>
        <v>0</v>
      </c>
      <c r="CP6" s="130">
        <f t="shared" si="2"/>
        <v>0</v>
      </c>
      <c r="CQ6" s="130">
        <f t="shared" si="2"/>
        <v>0</v>
      </c>
      <c r="CR6" s="130">
        <f t="shared" si="2"/>
        <v>0</v>
      </c>
      <c r="CS6" s="130">
        <f t="shared" si="2"/>
        <v>0</v>
      </c>
      <c r="CT6" s="130">
        <f t="shared" si="2"/>
        <v>0</v>
      </c>
      <c r="CU6" s="130">
        <f t="shared" si="2"/>
        <v>0</v>
      </c>
      <c r="CV6" s="130">
        <f t="shared" si="2"/>
        <v>0</v>
      </c>
      <c r="CW6" s="130">
        <f t="shared" si="2"/>
        <v>0</v>
      </c>
      <c r="CX6" s="130">
        <f t="shared" si="2"/>
        <v>0</v>
      </c>
      <c r="CY6" s="130">
        <f t="shared" si="2"/>
        <v>0</v>
      </c>
      <c r="CZ6" s="130">
        <f t="shared" si="2"/>
        <v>0</v>
      </c>
      <c r="DA6" s="130">
        <f t="shared" si="2"/>
        <v>0</v>
      </c>
      <c r="DB6" s="130">
        <f t="shared" si="2"/>
        <v>0</v>
      </c>
      <c r="DC6" s="130">
        <f t="shared" si="2"/>
        <v>0</v>
      </c>
      <c r="DD6" s="130">
        <f t="shared" si="2"/>
        <v>0</v>
      </c>
      <c r="DE6" s="130">
        <f t="shared" si="2"/>
        <v>0</v>
      </c>
      <c r="DF6" s="130">
        <f t="shared" si="2"/>
        <v>0</v>
      </c>
      <c r="DG6" s="130">
        <f t="shared" si="2"/>
        <v>0</v>
      </c>
      <c r="DH6" s="130">
        <f t="shared" si="2"/>
        <v>0</v>
      </c>
      <c r="DI6" s="130">
        <f t="shared" si="2"/>
        <v>0</v>
      </c>
      <c r="DJ6" s="130">
        <f t="shared" si="2"/>
        <v>0</v>
      </c>
      <c r="DK6" s="130">
        <f t="shared" si="2"/>
        <v>0</v>
      </c>
      <c r="DL6" s="130">
        <f t="shared" si="2"/>
        <v>0</v>
      </c>
      <c r="DM6" s="130">
        <f t="shared" si="2"/>
        <v>0</v>
      </c>
      <c r="DN6" s="130">
        <f t="shared" si="2"/>
        <v>0</v>
      </c>
      <c r="DO6" s="130">
        <f t="shared" si="2"/>
        <v>0</v>
      </c>
      <c r="DP6" s="130">
        <f t="shared" si="2"/>
        <v>0</v>
      </c>
      <c r="DQ6" s="130">
        <f t="shared" si="2"/>
        <v>0</v>
      </c>
      <c r="DR6" s="130">
        <f t="shared" si="2"/>
        <v>0</v>
      </c>
      <c r="DS6" s="130">
        <f t="shared" si="2"/>
        <v>0</v>
      </c>
      <c r="DT6" s="130">
        <f t="shared" si="2"/>
        <v>0</v>
      </c>
      <c r="DU6" s="130">
        <f t="shared" si="2"/>
        <v>0</v>
      </c>
      <c r="DV6" s="130">
        <f t="shared" si="2"/>
        <v>0</v>
      </c>
      <c r="DW6" s="130">
        <f t="shared" si="2"/>
        <v>0</v>
      </c>
      <c r="DX6" s="130">
        <f t="shared" si="2"/>
        <v>0</v>
      </c>
      <c r="DY6" s="130">
        <f t="shared" si="2"/>
        <v>0</v>
      </c>
      <c r="DZ6" s="130">
        <f t="shared" si="2"/>
        <v>0</v>
      </c>
      <c r="EA6" s="130">
        <f t="shared" si="2"/>
        <v>0</v>
      </c>
      <c r="EB6" s="130">
        <f t="shared" si="2"/>
        <v>0</v>
      </c>
      <c r="EC6" s="130">
        <f t="shared" si="2"/>
        <v>0</v>
      </c>
      <c r="ED6" s="130">
        <f t="shared" si="2"/>
        <v>0</v>
      </c>
      <c r="EE6" s="130">
        <f t="shared" si="2"/>
        <v>0</v>
      </c>
      <c r="EF6" s="130">
        <f t="shared" si="2"/>
        <v>0</v>
      </c>
      <c r="EG6" s="130">
        <f t="shared" si="2"/>
        <v>0</v>
      </c>
      <c r="EH6" s="130">
        <f t="shared" si="2"/>
        <v>0</v>
      </c>
      <c r="EI6" s="130">
        <f t="shared" si="2"/>
        <v>0</v>
      </c>
      <c r="EJ6" s="130">
        <f t="shared" si="2"/>
        <v>0</v>
      </c>
      <c r="EK6" s="130">
        <f t="shared" si="2"/>
        <v>0</v>
      </c>
      <c r="EL6" s="130">
        <f t="shared" si="2"/>
        <v>0</v>
      </c>
      <c r="EM6" s="130">
        <f t="shared" ref="EM6:GX6" si="3">ROUND(EM54,0)</f>
        <v>0</v>
      </c>
      <c r="EN6" s="130">
        <f t="shared" si="3"/>
        <v>0</v>
      </c>
      <c r="EO6" s="130">
        <f t="shared" si="3"/>
        <v>0</v>
      </c>
      <c r="EP6" s="130">
        <f t="shared" si="3"/>
        <v>0</v>
      </c>
      <c r="EQ6" s="130">
        <f t="shared" si="3"/>
        <v>0</v>
      </c>
      <c r="ER6" s="130">
        <f t="shared" si="3"/>
        <v>0</v>
      </c>
      <c r="ES6" s="130">
        <f t="shared" si="3"/>
        <v>0</v>
      </c>
      <c r="ET6" s="130">
        <f t="shared" si="3"/>
        <v>0</v>
      </c>
      <c r="EU6" s="130">
        <f t="shared" si="3"/>
        <v>0</v>
      </c>
      <c r="EV6" s="130">
        <f t="shared" si="3"/>
        <v>0</v>
      </c>
      <c r="EW6" s="130">
        <f t="shared" si="3"/>
        <v>0</v>
      </c>
      <c r="EX6" s="130">
        <f t="shared" si="3"/>
        <v>0</v>
      </c>
      <c r="EY6" s="130">
        <f t="shared" si="3"/>
        <v>0</v>
      </c>
      <c r="EZ6" s="130">
        <f t="shared" si="3"/>
        <v>0</v>
      </c>
      <c r="FA6" s="130">
        <f t="shared" si="3"/>
        <v>0</v>
      </c>
      <c r="FB6" s="130">
        <f t="shared" si="3"/>
        <v>0</v>
      </c>
      <c r="FC6" s="130">
        <f t="shared" si="3"/>
        <v>0</v>
      </c>
      <c r="FD6" s="130">
        <f t="shared" si="3"/>
        <v>0</v>
      </c>
      <c r="FE6" s="130">
        <f t="shared" si="3"/>
        <v>0</v>
      </c>
      <c r="FF6" s="130">
        <f t="shared" si="3"/>
        <v>0</v>
      </c>
      <c r="FG6" s="130">
        <f t="shared" si="3"/>
        <v>0</v>
      </c>
      <c r="FH6" s="130">
        <f t="shared" si="3"/>
        <v>0</v>
      </c>
      <c r="FI6" s="130">
        <f t="shared" si="3"/>
        <v>0</v>
      </c>
      <c r="FJ6" s="130">
        <f t="shared" si="3"/>
        <v>0</v>
      </c>
      <c r="FK6" s="130">
        <f t="shared" si="3"/>
        <v>0</v>
      </c>
      <c r="FL6" s="130">
        <f t="shared" si="3"/>
        <v>0</v>
      </c>
      <c r="FM6" s="130">
        <f t="shared" si="3"/>
        <v>0</v>
      </c>
      <c r="FN6" s="130">
        <f t="shared" si="3"/>
        <v>0</v>
      </c>
      <c r="FO6" s="130">
        <f t="shared" si="3"/>
        <v>0</v>
      </c>
      <c r="FP6" s="130">
        <f t="shared" si="3"/>
        <v>0</v>
      </c>
      <c r="FQ6" s="130">
        <f t="shared" si="3"/>
        <v>0</v>
      </c>
      <c r="FR6" s="130">
        <f t="shared" si="3"/>
        <v>0</v>
      </c>
      <c r="FS6" s="130">
        <f t="shared" si="3"/>
        <v>0</v>
      </c>
      <c r="FT6" s="130">
        <f t="shared" si="3"/>
        <v>0</v>
      </c>
      <c r="FU6" s="130">
        <f t="shared" si="3"/>
        <v>0</v>
      </c>
      <c r="FV6" s="130">
        <f t="shared" si="3"/>
        <v>0</v>
      </c>
      <c r="FW6" s="130">
        <f t="shared" si="3"/>
        <v>0</v>
      </c>
      <c r="FX6" s="130">
        <f t="shared" si="3"/>
        <v>0</v>
      </c>
      <c r="FY6" s="130">
        <f t="shared" si="3"/>
        <v>0</v>
      </c>
      <c r="FZ6" s="130">
        <f t="shared" si="3"/>
        <v>0</v>
      </c>
      <c r="GA6" s="130">
        <f t="shared" si="3"/>
        <v>0</v>
      </c>
      <c r="GB6" s="130">
        <f t="shared" si="3"/>
        <v>0</v>
      </c>
      <c r="GC6" s="130">
        <f t="shared" si="3"/>
        <v>0</v>
      </c>
      <c r="GD6" s="130">
        <f t="shared" si="3"/>
        <v>0</v>
      </c>
      <c r="GE6" s="130">
        <f t="shared" si="3"/>
        <v>0</v>
      </c>
      <c r="GF6" s="130">
        <f t="shared" si="3"/>
        <v>0</v>
      </c>
      <c r="GG6" s="130">
        <f t="shared" si="3"/>
        <v>0</v>
      </c>
      <c r="GH6" s="130">
        <f t="shared" si="3"/>
        <v>0</v>
      </c>
      <c r="GI6" s="130">
        <f t="shared" si="3"/>
        <v>0</v>
      </c>
      <c r="GJ6" s="130">
        <f t="shared" si="3"/>
        <v>0</v>
      </c>
      <c r="GK6" s="130">
        <f t="shared" si="3"/>
        <v>0</v>
      </c>
      <c r="GL6" s="130">
        <f t="shared" si="3"/>
        <v>0</v>
      </c>
      <c r="GM6" s="130">
        <f t="shared" si="3"/>
        <v>0</v>
      </c>
      <c r="GN6" s="130">
        <f t="shared" si="3"/>
        <v>0</v>
      </c>
      <c r="GO6" s="130">
        <f t="shared" si="3"/>
        <v>0</v>
      </c>
      <c r="GP6" s="130">
        <f t="shared" si="3"/>
        <v>0</v>
      </c>
      <c r="GQ6" s="130">
        <f t="shared" si="3"/>
        <v>0</v>
      </c>
      <c r="GR6" s="130">
        <f t="shared" si="3"/>
        <v>0</v>
      </c>
      <c r="GS6" s="130">
        <f t="shared" si="3"/>
        <v>0</v>
      </c>
      <c r="GT6" s="130">
        <f t="shared" si="3"/>
        <v>0</v>
      </c>
      <c r="GU6" s="130">
        <f t="shared" si="3"/>
        <v>0</v>
      </c>
      <c r="GV6" s="130">
        <f t="shared" si="3"/>
        <v>0</v>
      </c>
      <c r="GW6" s="130">
        <f t="shared" si="3"/>
        <v>0</v>
      </c>
      <c r="GX6" s="130">
        <f t="shared" si="3"/>
        <v>0</v>
      </c>
      <c r="GY6" s="130">
        <f t="shared" ref="GY6:JJ6" si="4">ROUND(GY54,0)</f>
        <v>0</v>
      </c>
      <c r="GZ6" s="130">
        <f t="shared" si="4"/>
        <v>0</v>
      </c>
      <c r="HA6" s="130">
        <f t="shared" si="4"/>
        <v>0</v>
      </c>
      <c r="HB6" s="130">
        <f t="shared" si="4"/>
        <v>0</v>
      </c>
      <c r="HC6" s="130">
        <f t="shared" si="4"/>
        <v>0</v>
      </c>
      <c r="HD6" s="130">
        <f t="shared" si="4"/>
        <v>0</v>
      </c>
      <c r="HE6" s="130">
        <f t="shared" si="4"/>
        <v>0</v>
      </c>
      <c r="HF6" s="130">
        <f t="shared" si="4"/>
        <v>0</v>
      </c>
      <c r="HG6" s="130">
        <f t="shared" si="4"/>
        <v>0</v>
      </c>
      <c r="HH6" s="130">
        <f t="shared" si="4"/>
        <v>0</v>
      </c>
      <c r="HI6" s="130">
        <f t="shared" si="4"/>
        <v>0</v>
      </c>
      <c r="HJ6" s="130">
        <f t="shared" si="4"/>
        <v>0</v>
      </c>
      <c r="HK6" s="130">
        <f t="shared" si="4"/>
        <v>0</v>
      </c>
      <c r="HL6" s="130">
        <f t="shared" si="4"/>
        <v>0</v>
      </c>
      <c r="HM6" s="130">
        <f t="shared" si="4"/>
        <v>0</v>
      </c>
      <c r="HN6" s="130">
        <f t="shared" si="4"/>
        <v>0</v>
      </c>
      <c r="HO6" s="130">
        <f t="shared" si="4"/>
        <v>0</v>
      </c>
      <c r="HP6" s="130">
        <f t="shared" si="4"/>
        <v>0</v>
      </c>
      <c r="HQ6" s="130">
        <f t="shared" si="4"/>
        <v>0</v>
      </c>
      <c r="HR6" s="130">
        <f t="shared" si="4"/>
        <v>0</v>
      </c>
      <c r="HS6" s="130">
        <f t="shared" si="4"/>
        <v>0</v>
      </c>
      <c r="HT6" s="130">
        <f t="shared" si="4"/>
        <v>0</v>
      </c>
      <c r="HU6" s="130">
        <f t="shared" si="4"/>
        <v>0</v>
      </c>
      <c r="HV6" s="130">
        <f t="shared" si="4"/>
        <v>0</v>
      </c>
      <c r="HW6" s="130">
        <f t="shared" si="4"/>
        <v>0</v>
      </c>
      <c r="HX6" s="130">
        <f t="shared" si="4"/>
        <v>0</v>
      </c>
      <c r="HY6" s="130">
        <f t="shared" si="4"/>
        <v>0</v>
      </c>
      <c r="HZ6" s="130">
        <f t="shared" si="4"/>
        <v>0</v>
      </c>
      <c r="IA6" s="130">
        <f t="shared" si="4"/>
        <v>0</v>
      </c>
      <c r="IB6" s="130">
        <f t="shared" si="4"/>
        <v>0</v>
      </c>
      <c r="IC6" s="130">
        <f t="shared" si="4"/>
        <v>0</v>
      </c>
      <c r="ID6" s="130">
        <f t="shared" si="4"/>
        <v>0</v>
      </c>
      <c r="IE6" s="130">
        <f t="shared" si="4"/>
        <v>0</v>
      </c>
      <c r="IF6" s="130">
        <f t="shared" si="4"/>
        <v>0</v>
      </c>
      <c r="IG6" s="130">
        <f t="shared" si="4"/>
        <v>0</v>
      </c>
      <c r="IH6" s="130">
        <f t="shared" si="4"/>
        <v>0</v>
      </c>
      <c r="II6" s="130">
        <f t="shared" si="4"/>
        <v>0</v>
      </c>
      <c r="IJ6" s="130">
        <f t="shared" si="4"/>
        <v>0</v>
      </c>
      <c r="IK6" s="130">
        <f t="shared" si="4"/>
        <v>0</v>
      </c>
      <c r="IL6" s="130">
        <f t="shared" si="4"/>
        <v>0</v>
      </c>
      <c r="IM6" s="130">
        <f t="shared" si="4"/>
        <v>0</v>
      </c>
      <c r="IN6" s="130">
        <f t="shared" si="4"/>
        <v>0</v>
      </c>
      <c r="IO6" s="130">
        <f t="shared" si="4"/>
        <v>0</v>
      </c>
      <c r="IP6" s="130">
        <f t="shared" si="4"/>
        <v>0</v>
      </c>
      <c r="IQ6" s="130">
        <f t="shared" si="4"/>
        <v>0</v>
      </c>
      <c r="IR6" s="130">
        <f t="shared" si="4"/>
        <v>0</v>
      </c>
      <c r="IS6" s="130">
        <f t="shared" si="4"/>
        <v>0</v>
      </c>
      <c r="IT6" s="130">
        <f t="shared" si="4"/>
        <v>0</v>
      </c>
      <c r="IU6" s="130">
        <f t="shared" si="4"/>
        <v>0</v>
      </c>
      <c r="IV6" s="130">
        <f t="shared" si="4"/>
        <v>0</v>
      </c>
      <c r="IW6" s="130">
        <f t="shared" si="4"/>
        <v>0</v>
      </c>
      <c r="IX6" s="130">
        <f t="shared" si="4"/>
        <v>0</v>
      </c>
      <c r="IY6" s="130">
        <f t="shared" si="4"/>
        <v>0</v>
      </c>
      <c r="IZ6" s="130">
        <f t="shared" si="4"/>
        <v>0</v>
      </c>
      <c r="JA6" s="130">
        <f t="shared" si="4"/>
        <v>0</v>
      </c>
      <c r="JB6" s="130">
        <f t="shared" si="4"/>
        <v>0</v>
      </c>
      <c r="JC6" s="130">
        <f t="shared" si="4"/>
        <v>0</v>
      </c>
      <c r="JD6" s="130">
        <f t="shared" si="4"/>
        <v>0</v>
      </c>
      <c r="JE6" s="130">
        <f t="shared" si="4"/>
        <v>0</v>
      </c>
      <c r="JF6" s="130">
        <f t="shared" si="4"/>
        <v>0</v>
      </c>
      <c r="JG6" s="130">
        <f t="shared" si="4"/>
        <v>0</v>
      </c>
      <c r="JH6" s="130">
        <f t="shared" si="4"/>
        <v>0</v>
      </c>
      <c r="JI6" s="130">
        <f t="shared" si="4"/>
        <v>0</v>
      </c>
      <c r="JJ6" s="130">
        <f t="shared" si="4"/>
        <v>0</v>
      </c>
      <c r="JK6" s="130">
        <f t="shared" ref="JK6:LV6" si="5">ROUND(JK54,0)</f>
        <v>0</v>
      </c>
      <c r="JL6" s="130">
        <f t="shared" si="5"/>
        <v>0</v>
      </c>
      <c r="JM6" s="130">
        <f t="shared" si="5"/>
        <v>0</v>
      </c>
      <c r="JN6" s="130">
        <f t="shared" si="5"/>
        <v>0</v>
      </c>
      <c r="JO6" s="130">
        <f t="shared" si="5"/>
        <v>0</v>
      </c>
      <c r="JP6" s="130">
        <f t="shared" si="5"/>
        <v>0</v>
      </c>
      <c r="JQ6" s="130">
        <f t="shared" si="5"/>
        <v>0</v>
      </c>
      <c r="JR6" s="130">
        <f t="shared" si="5"/>
        <v>0</v>
      </c>
      <c r="JS6" s="130">
        <f t="shared" si="5"/>
        <v>0</v>
      </c>
      <c r="JT6" s="130">
        <f t="shared" si="5"/>
        <v>0</v>
      </c>
      <c r="JU6" s="130">
        <f t="shared" si="5"/>
        <v>0</v>
      </c>
      <c r="JV6" s="130">
        <f t="shared" si="5"/>
        <v>0</v>
      </c>
      <c r="JW6" s="130">
        <f t="shared" si="5"/>
        <v>0</v>
      </c>
      <c r="JX6" s="130">
        <f t="shared" si="5"/>
        <v>0</v>
      </c>
      <c r="JY6" s="130">
        <f t="shared" si="5"/>
        <v>0</v>
      </c>
      <c r="JZ6" s="130">
        <f t="shared" si="5"/>
        <v>0</v>
      </c>
      <c r="KA6" s="130">
        <f t="shared" si="5"/>
        <v>0</v>
      </c>
      <c r="KB6" s="130">
        <f t="shared" si="5"/>
        <v>0</v>
      </c>
      <c r="KC6" s="130">
        <f t="shared" si="5"/>
        <v>0</v>
      </c>
      <c r="KD6" s="130">
        <f t="shared" si="5"/>
        <v>0</v>
      </c>
      <c r="KE6" s="130">
        <f t="shared" si="5"/>
        <v>0</v>
      </c>
      <c r="KF6" s="130">
        <f t="shared" si="5"/>
        <v>0</v>
      </c>
      <c r="KG6" s="130">
        <f t="shared" si="5"/>
        <v>0</v>
      </c>
      <c r="KH6" s="130">
        <f t="shared" si="5"/>
        <v>0</v>
      </c>
      <c r="KI6" s="130">
        <f t="shared" si="5"/>
        <v>0</v>
      </c>
      <c r="KJ6" s="130">
        <f t="shared" si="5"/>
        <v>0</v>
      </c>
      <c r="KK6" s="130">
        <f t="shared" si="5"/>
        <v>0</v>
      </c>
      <c r="KL6" s="130">
        <f t="shared" si="5"/>
        <v>0</v>
      </c>
      <c r="KM6" s="130">
        <f t="shared" si="5"/>
        <v>0</v>
      </c>
      <c r="KN6" s="130">
        <f t="shared" si="5"/>
        <v>0</v>
      </c>
      <c r="KO6" s="130">
        <f t="shared" si="5"/>
        <v>0</v>
      </c>
      <c r="KP6" s="130">
        <f t="shared" si="5"/>
        <v>0</v>
      </c>
      <c r="KQ6" s="130">
        <f t="shared" si="5"/>
        <v>0</v>
      </c>
      <c r="KR6" s="130">
        <f t="shared" si="5"/>
        <v>0</v>
      </c>
      <c r="KS6" s="130">
        <f t="shared" si="5"/>
        <v>0</v>
      </c>
      <c r="KT6" s="130">
        <f t="shared" si="5"/>
        <v>0</v>
      </c>
      <c r="KU6" s="130">
        <f t="shared" si="5"/>
        <v>0</v>
      </c>
      <c r="KV6" s="130">
        <f t="shared" si="5"/>
        <v>0</v>
      </c>
      <c r="KW6" s="130">
        <f t="shared" si="5"/>
        <v>0</v>
      </c>
      <c r="KX6" s="130">
        <f t="shared" si="5"/>
        <v>0</v>
      </c>
      <c r="KY6" s="130">
        <f t="shared" si="5"/>
        <v>0</v>
      </c>
      <c r="KZ6" s="130">
        <f t="shared" si="5"/>
        <v>0</v>
      </c>
      <c r="LA6" s="130">
        <f t="shared" si="5"/>
        <v>0</v>
      </c>
      <c r="LB6" s="130">
        <f t="shared" si="5"/>
        <v>0</v>
      </c>
      <c r="LC6" s="130">
        <f t="shared" si="5"/>
        <v>0</v>
      </c>
      <c r="LD6" s="130">
        <f t="shared" si="5"/>
        <v>0</v>
      </c>
      <c r="LE6" s="130">
        <f t="shared" si="5"/>
        <v>0</v>
      </c>
      <c r="LF6" s="130">
        <f t="shared" si="5"/>
        <v>0</v>
      </c>
      <c r="LG6" s="130">
        <f t="shared" si="5"/>
        <v>0</v>
      </c>
      <c r="LH6" s="130">
        <f t="shared" si="5"/>
        <v>0</v>
      </c>
      <c r="LI6" s="130">
        <f t="shared" si="5"/>
        <v>0</v>
      </c>
      <c r="LJ6" s="130">
        <f t="shared" si="5"/>
        <v>0</v>
      </c>
      <c r="LK6" s="130">
        <f t="shared" si="5"/>
        <v>0</v>
      </c>
      <c r="LL6" s="130">
        <f t="shared" si="5"/>
        <v>0</v>
      </c>
      <c r="LM6" s="130">
        <f t="shared" si="5"/>
        <v>0</v>
      </c>
      <c r="LN6" s="130">
        <f t="shared" si="5"/>
        <v>0</v>
      </c>
      <c r="LO6" s="130">
        <f t="shared" si="5"/>
        <v>0</v>
      </c>
      <c r="LP6" s="130">
        <f t="shared" si="5"/>
        <v>0</v>
      </c>
      <c r="LQ6" s="130">
        <f t="shared" si="5"/>
        <v>0</v>
      </c>
      <c r="LR6" s="130">
        <f t="shared" si="5"/>
        <v>0</v>
      </c>
      <c r="LS6" s="130">
        <f t="shared" si="5"/>
        <v>0</v>
      </c>
      <c r="LT6" s="130">
        <f t="shared" si="5"/>
        <v>0</v>
      </c>
      <c r="LU6" s="130">
        <f t="shared" si="5"/>
        <v>0</v>
      </c>
      <c r="LV6" s="130">
        <f t="shared" si="5"/>
        <v>0</v>
      </c>
      <c r="LW6" s="130">
        <f t="shared" ref="LW6:OH6" si="6">ROUND(LW54,0)</f>
        <v>0</v>
      </c>
      <c r="LX6" s="130">
        <f t="shared" si="6"/>
        <v>0</v>
      </c>
      <c r="LY6" s="130">
        <f t="shared" si="6"/>
        <v>0</v>
      </c>
      <c r="LZ6" s="130">
        <f t="shared" si="6"/>
        <v>0</v>
      </c>
      <c r="MA6" s="130">
        <f t="shared" si="6"/>
        <v>0</v>
      </c>
      <c r="MB6" s="130">
        <f t="shared" si="6"/>
        <v>0</v>
      </c>
      <c r="MC6" s="130">
        <f t="shared" si="6"/>
        <v>0</v>
      </c>
      <c r="MD6" s="130">
        <f t="shared" si="6"/>
        <v>0</v>
      </c>
      <c r="ME6" s="130">
        <f t="shared" si="6"/>
        <v>0</v>
      </c>
      <c r="MF6" s="130">
        <f t="shared" si="6"/>
        <v>0</v>
      </c>
      <c r="MG6" s="130">
        <f t="shared" si="6"/>
        <v>0</v>
      </c>
      <c r="MH6" s="130">
        <f t="shared" si="6"/>
        <v>0</v>
      </c>
      <c r="MI6" s="130">
        <f t="shared" si="6"/>
        <v>0</v>
      </c>
      <c r="MJ6" s="130">
        <f t="shared" si="6"/>
        <v>0</v>
      </c>
      <c r="MK6" s="130">
        <f t="shared" si="6"/>
        <v>0</v>
      </c>
      <c r="ML6" s="130">
        <f t="shared" si="6"/>
        <v>0</v>
      </c>
      <c r="MM6" s="130">
        <f t="shared" si="6"/>
        <v>0</v>
      </c>
      <c r="MN6" s="130">
        <f t="shared" si="6"/>
        <v>0</v>
      </c>
      <c r="MO6" s="130">
        <f t="shared" si="6"/>
        <v>0</v>
      </c>
      <c r="MP6" s="130">
        <f t="shared" si="6"/>
        <v>0</v>
      </c>
      <c r="MQ6" s="130">
        <f t="shared" si="6"/>
        <v>0</v>
      </c>
      <c r="MR6" s="130">
        <f t="shared" si="6"/>
        <v>0</v>
      </c>
      <c r="MS6" s="130">
        <f t="shared" si="6"/>
        <v>0</v>
      </c>
      <c r="MT6" s="130">
        <f t="shared" si="6"/>
        <v>0</v>
      </c>
      <c r="MU6" s="130">
        <f t="shared" si="6"/>
        <v>0</v>
      </c>
      <c r="MV6" s="130">
        <f t="shared" si="6"/>
        <v>0</v>
      </c>
      <c r="MW6" s="130">
        <f t="shared" si="6"/>
        <v>0</v>
      </c>
      <c r="MX6" s="130">
        <f t="shared" si="6"/>
        <v>0</v>
      </c>
      <c r="MY6" s="130">
        <f t="shared" si="6"/>
        <v>0</v>
      </c>
      <c r="MZ6" s="130">
        <f t="shared" si="6"/>
        <v>0</v>
      </c>
      <c r="NA6" s="130">
        <f t="shared" si="6"/>
        <v>0</v>
      </c>
      <c r="NB6" s="130">
        <f t="shared" si="6"/>
        <v>0</v>
      </c>
      <c r="NC6" s="130">
        <f t="shared" si="6"/>
        <v>0</v>
      </c>
      <c r="ND6" s="130">
        <f t="shared" si="6"/>
        <v>0</v>
      </c>
      <c r="NE6" s="130">
        <f t="shared" si="6"/>
        <v>0</v>
      </c>
      <c r="NF6" s="130">
        <f t="shared" si="6"/>
        <v>0</v>
      </c>
      <c r="NG6" s="130">
        <f t="shared" si="6"/>
        <v>0</v>
      </c>
      <c r="NH6" s="130">
        <f t="shared" si="6"/>
        <v>0</v>
      </c>
      <c r="NI6" s="130">
        <f t="shared" si="6"/>
        <v>0</v>
      </c>
      <c r="NJ6" s="130">
        <f t="shared" si="6"/>
        <v>0</v>
      </c>
      <c r="NK6" s="130">
        <f t="shared" si="6"/>
        <v>0</v>
      </c>
      <c r="NL6" s="130">
        <f t="shared" si="6"/>
        <v>0</v>
      </c>
      <c r="NM6" s="130">
        <f t="shared" si="6"/>
        <v>0</v>
      </c>
      <c r="NN6" s="130">
        <f t="shared" si="6"/>
        <v>0</v>
      </c>
      <c r="NO6" s="130">
        <f t="shared" si="6"/>
        <v>0</v>
      </c>
      <c r="NP6" s="130">
        <f t="shared" si="6"/>
        <v>0</v>
      </c>
      <c r="NQ6" s="130">
        <f t="shared" si="6"/>
        <v>0</v>
      </c>
      <c r="NR6" s="130">
        <f t="shared" si="6"/>
        <v>0</v>
      </c>
      <c r="NS6" s="130">
        <f t="shared" si="6"/>
        <v>0</v>
      </c>
      <c r="NT6" s="130">
        <f t="shared" si="6"/>
        <v>0</v>
      </c>
      <c r="NU6" s="130">
        <f t="shared" si="6"/>
        <v>0</v>
      </c>
      <c r="NV6" s="130">
        <f t="shared" si="6"/>
        <v>0</v>
      </c>
      <c r="NW6" s="130">
        <f t="shared" si="6"/>
        <v>0</v>
      </c>
      <c r="NX6" s="130">
        <f t="shared" si="6"/>
        <v>0</v>
      </c>
      <c r="NY6" s="130">
        <f t="shared" si="6"/>
        <v>0</v>
      </c>
      <c r="NZ6" s="130">
        <f t="shared" si="6"/>
        <v>0</v>
      </c>
      <c r="OA6" s="130">
        <f t="shared" si="6"/>
        <v>0</v>
      </c>
      <c r="OB6" s="130">
        <f t="shared" si="6"/>
        <v>0</v>
      </c>
      <c r="OC6" s="130">
        <f t="shared" si="6"/>
        <v>0</v>
      </c>
      <c r="OD6" s="130">
        <f t="shared" si="6"/>
        <v>0</v>
      </c>
      <c r="OE6" s="130">
        <f t="shared" si="6"/>
        <v>0</v>
      </c>
      <c r="OF6" s="130">
        <f t="shared" si="6"/>
        <v>0</v>
      </c>
      <c r="OG6" s="130">
        <f t="shared" si="6"/>
        <v>0</v>
      </c>
      <c r="OH6" s="130">
        <f t="shared" si="6"/>
        <v>0</v>
      </c>
      <c r="OI6" s="130">
        <f t="shared" ref="OI6:QT6" si="7">ROUND(OI54,0)</f>
        <v>0</v>
      </c>
      <c r="OJ6" s="130">
        <f t="shared" si="7"/>
        <v>0</v>
      </c>
      <c r="OK6" s="130">
        <f t="shared" si="7"/>
        <v>0</v>
      </c>
      <c r="OL6" s="130">
        <f t="shared" si="7"/>
        <v>0</v>
      </c>
      <c r="OM6" s="130">
        <f t="shared" si="7"/>
        <v>0</v>
      </c>
      <c r="ON6" s="130">
        <f t="shared" si="7"/>
        <v>0</v>
      </c>
      <c r="OO6" s="130">
        <f t="shared" si="7"/>
        <v>0</v>
      </c>
      <c r="OP6" s="130">
        <f t="shared" si="7"/>
        <v>0</v>
      </c>
      <c r="OQ6" s="130">
        <f t="shared" si="7"/>
        <v>0</v>
      </c>
      <c r="OR6" s="130">
        <f t="shared" si="7"/>
        <v>0</v>
      </c>
      <c r="OS6" s="130">
        <f t="shared" si="7"/>
        <v>0</v>
      </c>
      <c r="OT6" s="130">
        <f t="shared" si="7"/>
        <v>0</v>
      </c>
      <c r="OU6" s="130">
        <f t="shared" si="7"/>
        <v>0</v>
      </c>
      <c r="OV6" s="130">
        <f t="shared" si="7"/>
        <v>0</v>
      </c>
      <c r="OW6" s="130">
        <f t="shared" si="7"/>
        <v>0</v>
      </c>
      <c r="OX6" s="130">
        <f t="shared" si="7"/>
        <v>0</v>
      </c>
      <c r="OY6" s="130">
        <f t="shared" si="7"/>
        <v>0</v>
      </c>
      <c r="OZ6" s="130">
        <f t="shared" si="7"/>
        <v>0</v>
      </c>
      <c r="PA6" s="130">
        <f t="shared" si="7"/>
        <v>0</v>
      </c>
      <c r="PB6" s="130">
        <f t="shared" si="7"/>
        <v>0</v>
      </c>
      <c r="PC6" s="130">
        <f t="shared" si="7"/>
        <v>0</v>
      </c>
      <c r="PD6" s="130">
        <f t="shared" si="7"/>
        <v>0</v>
      </c>
      <c r="PE6" s="130">
        <f t="shared" si="7"/>
        <v>0</v>
      </c>
      <c r="PF6" s="130">
        <f t="shared" si="7"/>
        <v>0</v>
      </c>
      <c r="PG6" s="130">
        <f t="shared" si="7"/>
        <v>0</v>
      </c>
      <c r="PH6" s="130">
        <f t="shared" si="7"/>
        <v>0</v>
      </c>
      <c r="PI6" s="130">
        <f t="shared" si="7"/>
        <v>0</v>
      </c>
      <c r="PJ6" s="130">
        <f t="shared" si="7"/>
        <v>0</v>
      </c>
      <c r="PK6" s="130">
        <f t="shared" si="7"/>
        <v>0</v>
      </c>
      <c r="PL6" s="130">
        <f t="shared" si="7"/>
        <v>0</v>
      </c>
      <c r="PM6" s="130">
        <f t="shared" si="7"/>
        <v>0</v>
      </c>
      <c r="PN6" s="130">
        <f t="shared" si="7"/>
        <v>0</v>
      </c>
      <c r="PO6" s="130">
        <f t="shared" si="7"/>
        <v>0</v>
      </c>
      <c r="PP6" s="130">
        <f t="shared" si="7"/>
        <v>0</v>
      </c>
      <c r="PQ6" s="130">
        <f t="shared" si="7"/>
        <v>0</v>
      </c>
      <c r="PR6" s="130">
        <f t="shared" si="7"/>
        <v>0</v>
      </c>
      <c r="PS6" s="130">
        <f t="shared" si="7"/>
        <v>0</v>
      </c>
      <c r="PT6" s="130">
        <f t="shared" si="7"/>
        <v>0</v>
      </c>
      <c r="PU6" s="130">
        <f t="shared" si="7"/>
        <v>0</v>
      </c>
      <c r="PV6" s="130">
        <f t="shared" si="7"/>
        <v>0</v>
      </c>
      <c r="PW6" s="130">
        <f t="shared" si="7"/>
        <v>0</v>
      </c>
      <c r="PX6" s="130">
        <f t="shared" si="7"/>
        <v>0</v>
      </c>
      <c r="PY6" s="130">
        <f t="shared" si="7"/>
        <v>0</v>
      </c>
      <c r="PZ6" s="130">
        <f t="shared" si="7"/>
        <v>0</v>
      </c>
      <c r="QA6" s="130">
        <f t="shared" si="7"/>
        <v>0</v>
      </c>
      <c r="QB6" s="130">
        <f t="shared" si="7"/>
        <v>0</v>
      </c>
      <c r="QC6" s="130">
        <f t="shared" si="7"/>
        <v>0</v>
      </c>
      <c r="QD6" s="130">
        <f t="shared" si="7"/>
        <v>0</v>
      </c>
      <c r="QE6" s="130">
        <f t="shared" si="7"/>
        <v>0</v>
      </c>
      <c r="QF6" s="130">
        <f t="shared" si="7"/>
        <v>0</v>
      </c>
      <c r="QG6" s="130">
        <f t="shared" si="7"/>
        <v>0</v>
      </c>
      <c r="QH6" s="130">
        <f t="shared" si="7"/>
        <v>0</v>
      </c>
      <c r="QI6" s="130">
        <f t="shared" si="7"/>
        <v>0</v>
      </c>
      <c r="QJ6" s="130">
        <f t="shared" si="7"/>
        <v>0</v>
      </c>
      <c r="QK6" s="130">
        <f t="shared" si="7"/>
        <v>0</v>
      </c>
      <c r="QL6" s="130">
        <f t="shared" si="7"/>
        <v>0</v>
      </c>
      <c r="QM6" s="130">
        <f t="shared" si="7"/>
        <v>0</v>
      </c>
      <c r="QN6" s="130">
        <f t="shared" si="7"/>
        <v>0</v>
      </c>
      <c r="QO6" s="130">
        <f t="shared" si="7"/>
        <v>0</v>
      </c>
      <c r="QP6" s="130">
        <f t="shared" si="7"/>
        <v>0</v>
      </c>
      <c r="QQ6" s="130">
        <f t="shared" si="7"/>
        <v>0</v>
      </c>
      <c r="QR6" s="130">
        <f t="shared" si="7"/>
        <v>0</v>
      </c>
      <c r="QS6" s="130">
        <f t="shared" si="7"/>
        <v>0</v>
      </c>
      <c r="QT6" s="130">
        <f t="shared" si="7"/>
        <v>0</v>
      </c>
      <c r="QU6" s="130">
        <f t="shared" ref="QU6:TF6" si="8">ROUND(QU54,0)</f>
        <v>0</v>
      </c>
      <c r="QV6" s="130">
        <f t="shared" si="8"/>
        <v>0</v>
      </c>
      <c r="QW6" s="130">
        <f t="shared" si="8"/>
        <v>0</v>
      </c>
      <c r="QX6" s="130">
        <f t="shared" si="8"/>
        <v>0</v>
      </c>
      <c r="QY6" s="130">
        <f t="shared" si="8"/>
        <v>0</v>
      </c>
      <c r="QZ6" s="130">
        <f t="shared" si="8"/>
        <v>0</v>
      </c>
      <c r="RA6" s="130">
        <f t="shared" si="8"/>
        <v>0</v>
      </c>
      <c r="RB6" s="130">
        <f t="shared" si="8"/>
        <v>0</v>
      </c>
      <c r="RC6" s="130">
        <f t="shared" si="8"/>
        <v>0</v>
      </c>
      <c r="RD6" s="130">
        <f t="shared" si="8"/>
        <v>0</v>
      </c>
      <c r="RE6" s="130">
        <f t="shared" si="8"/>
        <v>0</v>
      </c>
      <c r="RF6" s="130">
        <f t="shared" si="8"/>
        <v>0</v>
      </c>
      <c r="RG6" s="130">
        <f t="shared" si="8"/>
        <v>0</v>
      </c>
      <c r="RH6" s="130">
        <f t="shared" si="8"/>
        <v>0</v>
      </c>
      <c r="RI6" s="130">
        <f t="shared" si="8"/>
        <v>0</v>
      </c>
      <c r="RJ6" s="130">
        <f t="shared" si="8"/>
        <v>0</v>
      </c>
      <c r="RK6" s="130">
        <f t="shared" si="8"/>
        <v>0</v>
      </c>
      <c r="RL6" s="130">
        <f t="shared" si="8"/>
        <v>0</v>
      </c>
      <c r="RM6" s="130">
        <f t="shared" si="8"/>
        <v>0</v>
      </c>
      <c r="RN6" s="130">
        <f t="shared" si="8"/>
        <v>0</v>
      </c>
      <c r="RO6" s="130">
        <f t="shared" si="8"/>
        <v>0</v>
      </c>
      <c r="RP6" s="130">
        <f t="shared" si="8"/>
        <v>0</v>
      </c>
      <c r="RQ6" s="130">
        <f t="shared" si="8"/>
        <v>0</v>
      </c>
      <c r="RR6" s="130">
        <f t="shared" si="8"/>
        <v>0</v>
      </c>
      <c r="RS6" s="130">
        <f t="shared" si="8"/>
        <v>0</v>
      </c>
      <c r="RT6" s="130">
        <f t="shared" si="8"/>
        <v>0</v>
      </c>
      <c r="RU6" s="130">
        <f t="shared" si="8"/>
        <v>0</v>
      </c>
      <c r="RV6" s="130">
        <f t="shared" si="8"/>
        <v>0</v>
      </c>
      <c r="RW6" s="130">
        <f t="shared" si="8"/>
        <v>0</v>
      </c>
      <c r="RX6" s="130">
        <f t="shared" si="8"/>
        <v>0</v>
      </c>
      <c r="RY6" s="130">
        <f t="shared" si="8"/>
        <v>0</v>
      </c>
      <c r="RZ6" s="130">
        <f t="shared" si="8"/>
        <v>0</v>
      </c>
      <c r="SA6" s="130">
        <f t="shared" si="8"/>
        <v>0</v>
      </c>
      <c r="SB6" s="130">
        <f t="shared" si="8"/>
        <v>0</v>
      </c>
      <c r="SC6" s="130">
        <f t="shared" si="8"/>
        <v>0</v>
      </c>
      <c r="SD6" s="130">
        <f t="shared" si="8"/>
        <v>0</v>
      </c>
      <c r="SE6" s="130">
        <f t="shared" si="8"/>
        <v>0</v>
      </c>
      <c r="SF6" s="130">
        <f t="shared" si="8"/>
        <v>0</v>
      </c>
      <c r="SG6" s="130">
        <f t="shared" si="8"/>
        <v>0</v>
      </c>
      <c r="SH6" s="130">
        <f t="shared" si="8"/>
        <v>0</v>
      </c>
      <c r="SI6" s="130">
        <f t="shared" si="8"/>
        <v>0</v>
      </c>
      <c r="SJ6" s="130">
        <f t="shared" si="8"/>
        <v>0</v>
      </c>
      <c r="SK6" s="130">
        <f t="shared" si="8"/>
        <v>0</v>
      </c>
      <c r="SL6" s="130">
        <f t="shared" si="8"/>
        <v>0</v>
      </c>
      <c r="SM6" s="130">
        <f t="shared" si="8"/>
        <v>0</v>
      </c>
      <c r="SN6" s="130">
        <f t="shared" si="8"/>
        <v>0</v>
      </c>
      <c r="SO6" s="130">
        <f t="shared" si="8"/>
        <v>0</v>
      </c>
      <c r="SP6" s="130">
        <f t="shared" si="8"/>
        <v>0</v>
      </c>
      <c r="SQ6" s="130">
        <f t="shared" si="8"/>
        <v>0</v>
      </c>
      <c r="SR6" s="130">
        <f t="shared" si="8"/>
        <v>0</v>
      </c>
      <c r="SS6" s="130">
        <f t="shared" si="8"/>
        <v>0</v>
      </c>
      <c r="ST6" s="130">
        <f t="shared" si="8"/>
        <v>0</v>
      </c>
      <c r="SU6" s="130">
        <f t="shared" si="8"/>
        <v>0</v>
      </c>
      <c r="SV6" s="130">
        <f t="shared" si="8"/>
        <v>0</v>
      </c>
      <c r="SW6" s="130">
        <f t="shared" si="8"/>
        <v>0</v>
      </c>
      <c r="SX6" s="130">
        <f t="shared" si="8"/>
        <v>0</v>
      </c>
      <c r="SY6" s="130">
        <f t="shared" si="8"/>
        <v>0</v>
      </c>
      <c r="SZ6" s="130">
        <f t="shared" si="8"/>
        <v>0</v>
      </c>
      <c r="TA6" s="130">
        <f t="shared" si="8"/>
        <v>0</v>
      </c>
      <c r="TB6" s="130">
        <f t="shared" si="8"/>
        <v>0</v>
      </c>
      <c r="TC6" s="130">
        <f t="shared" si="8"/>
        <v>0</v>
      </c>
      <c r="TD6" s="130">
        <f t="shared" si="8"/>
        <v>0</v>
      </c>
      <c r="TE6" s="130">
        <f t="shared" si="8"/>
        <v>0</v>
      </c>
      <c r="TF6" s="130">
        <f t="shared" si="8"/>
        <v>0</v>
      </c>
      <c r="TG6" s="130">
        <f t="shared" ref="TG6:VR6" si="9">ROUND(TG54,0)</f>
        <v>0</v>
      </c>
      <c r="TH6" s="130">
        <f t="shared" si="9"/>
        <v>0</v>
      </c>
      <c r="TI6" s="130">
        <f t="shared" si="9"/>
        <v>0</v>
      </c>
      <c r="TJ6" s="130">
        <f t="shared" si="9"/>
        <v>0</v>
      </c>
      <c r="TK6" s="130">
        <f t="shared" si="9"/>
        <v>0</v>
      </c>
      <c r="TL6" s="130">
        <f t="shared" si="9"/>
        <v>0</v>
      </c>
      <c r="TM6" s="130">
        <f t="shared" si="9"/>
        <v>0</v>
      </c>
      <c r="TN6" s="130">
        <f t="shared" si="9"/>
        <v>0</v>
      </c>
      <c r="TO6" s="130">
        <f t="shared" si="9"/>
        <v>0</v>
      </c>
      <c r="TP6" s="130">
        <f t="shared" si="9"/>
        <v>0</v>
      </c>
      <c r="TQ6" s="130">
        <f t="shared" si="9"/>
        <v>0</v>
      </c>
      <c r="TR6" s="130">
        <f t="shared" si="9"/>
        <v>0</v>
      </c>
      <c r="TS6" s="130">
        <f t="shared" si="9"/>
        <v>0</v>
      </c>
      <c r="TT6" s="130">
        <f t="shared" si="9"/>
        <v>0</v>
      </c>
      <c r="TU6" s="130">
        <f t="shared" si="9"/>
        <v>0</v>
      </c>
      <c r="TV6" s="130">
        <f t="shared" si="9"/>
        <v>0</v>
      </c>
      <c r="TW6" s="130">
        <f t="shared" si="9"/>
        <v>0</v>
      </c>
      <c r="TX6" s="130">
        <f t="shared" si="9"/>
        <v>0</v>
      </c>
      <c r="TY6" s="130">
        <f t="shared" si="9"/>
        <v>0</v>
      </c>
      <c r="TZ6" s="130">
        <f t="shared" si="9"/>
        <v>0</v>
      </c>
      <c r="UA6" s="130">
        <f t="shared" si="9"/>
        <v>0</v>
      </c>
      <c r="UB6" s="130">
        <f t="shared" si="9"/>
        <v>0</v>
      </c>
      <c r="UC6" s="130">
        <f t="shared" si="9"/>
        <v>0</v>
      </c>
      <c r="UD6" s="130">
        <f t="shared" si="9"/>
        <v>0</v>
      </c>
      <c r="UE6" s="130">
        <f t="shared" si="9"/>
        <v>0</v>
      </c>
      <c r="UF6" s="130">
        <f t="shared" si="9"/>
        <v>0</v>
      </c>
      <c r="UG6" s="130">
        <f t="shared" si="9"/>
        <v>0</v>
      </c>
      <c r="UH6" s="130">
        <f t="shared" si="9"/>
        <v>0</v>
      </c>
      <c r="UI6" s="130">
        <f t="shared" si="9"/>
        <v>0</v>
      </c>
      <c r="UJ6" s="130">
        <f t="shared" si="9"/>
        <v>0</v>
      </c>
      <c r="UK6" s="130">
        <f t="shared" si="9"/>
        <v>0</v>
      </c>
      <c r="UL6" s="130">
        <f t="shared" si="9"/>
        <v>0</v>
      </c>
      <c r="UM6" s="130">
        <f t="shared" si="9"/>
        <v>0</v>
      </c>
      <c r="UN6" s="130">
        <f t="shared" si="9"/>
        <v>0</v>
      </c>
      <c r="UO6" s="130">
        <f t="shared" si="9"/>
        <v>0</v>
      </c>
      <c r="UP6" s="130">
        <f t="shared" si="9"/>
        <v>0</v>
      </c>
      <c r="UQ6" s="130">
        <f t="shared" si="9"/>
        <v>0</v>
      </c>
      <c r="UR6" s="130">
        <f t="shared" si="9"/>
        <v>0</v>
      </c>
      <c r="US6" s="130">
        <f t="shared" si="9"/>
        <v>0</v>
      </c>
      <c r="UT6" s="130">
        <f t="shared" si="9"/>
        <v>0</v>
      </c>
      <c r="UU6" s="130">
        <f t="shared" si="9"/>
        <v>0</v>
      </c>
      <c r="UV6" s="130">
        <f t="shared" si="9"/>
        <v>0</v>
      </c>
      <c r="UW6" s="130">
        <f t="shared" si="9"/>
        <v>0</v>
      </c>
      <c r="UX6" s="130">
        <f t="shared" si="9"/>
        <v>0</v>
      </c>
      <c r="UY6" s="130">
        <f t="shared" si="9"/>
        <v>0</v>
      </c>
      <c r="UZ6" s="130">
        <f t="shared" si="9"/>
        <v>0</v>
      </c>
      <c r="VA6" s="130">
        <f t="shared" si="9"/>
        <v>0</v>
      </c>
      <c r="VB6" s="130">
        <f t="shared" si="9"/>
        <v>0</v>
      </c>
      <c r="VC6" s="130">
        <f t="shared" si="9"/>
        <v>0</v>
      </c>
      <c r="VD6" s="130">
        <f t="shared" si="9"/>
        <v>0</v>
      </c>
      <c r="VE6" s="130">
        <f t="shared" si="9"/>
        <v>0</v>
      </c>
      <c r="VF6" s="130">
        <f t="shared" si="9"/>
        <v>0</v>
      </c>
      <c r="VG6" s="130">
        <f t="shared" si="9"/>
        <v>0</v>
      </c>
      <c r="VH6" s="130">
        <f t="shared" si="9"/>
        <v>0</v>
      </c>
      <c r="VI6" s="130">
        <f t="shared" si="9"/>
        <v>0</v>
      </c>
      <c r="VJ6" s="130">
        <f t="shared" si="9"/>
        <v>0</v>
      </c>
      <c r="VK6" s="130">
        <f t="shared" si="9"/>
        <v>0</v>
      </c>
      <c r="VL6" s="130">
        <f t="shared" si="9"/>
        <v>0</v>
      </c>
      <c r="VM6" s="130">
        <f t="shared" si="9"/>
        <v>0</v>
      </c>
      <c r="VN6" s="130">
        <f t="shared" si="9"/>
        <v>0</v>
      </c>
      <c r="VO6" s="130">
        <f t="shared" si="9"/>
        <v>0</v>
      </c>
      <c r="VP6" s="130">
        <f t="shared" si="9"/>
        <v>0</v>
      </c>
      <c r="VQ6" s="130">
        <f t="shared" si="9"/>
        <v>0</v>
      </c>
      <c r="VR6" s="130">
        <f t="shared" si="9"/>
        <v>0</v>
      </c>
      <c r="VS6" s="130">
        <f t="shared" ref="VS6:YD6" si="10">ROUND(VS54,0)</f>
        <v>0</v>
      </c>
      <c r="VT6" s="130">
        <f t="shared" si="10"/>
        <v>0</v>
      </c>
      <c r="VU6" s="130">
        <f t="shared" si="10"/>
        <v>0</v>
      </c>
      <c r="VV6" s="130">
        <f t="shared" si="10"/>
        <v>0</v>
      </c>
      <c r="VW6" s="130">
        <f t="shared" si="10"/>
        <v>0</v>
      </c>
      <c r="VX6" s="130">
        <f t="shared" si="10"/>
        <v>0</v>
      </c>
      <c r="VY6" s="130">
        <f t="shared" si="10"/>
        <v>0</v>
      </c>
      <c r="VZ6" s="130">
        <f t="shared" si="10"/>
        <v>0</v>
      </c>
      <c r="WA6" s="130">
        <f t="shared" si="10"/>
        <v>0</v>
      </c>
      <c r="WB6" s="130">
        <f t="shared" si="10"/>
        <v>0</v>
      </c>
      <c r="WC6" s="130">
        <f t="shared" si="10"/>
        <v>0</v>
      </c>
      <c r="WD6" s="130">
        <f t="shared" si="10"/>
        <v>0</v>
      </c>
      <c r="WE6" s="130">
        <f t="shared" si="10"/>
        <v>0</v>
      </c>
      <c r="WF6" s="130">
        <f t="shared" si="10"/>
        <v>0</v>
      </c>
      <c r="WG6" s="130">
        <f t="shared" si="10"/>
        <v>0</v>
      </c>
      <c r="WH6" s="130">
        <f t="shared" si="10"/>
        <v>0</v>
      </c>
      <c r="WI6" s="130">
        <f t="shared" si="10"/>
        <v>0</v>
      </c>
      <c r="WJ6" s="130">
        <f t="shared" si="10"/>
        <v>0</v>
      </c>
      <c r="WK6" s="130">
        <f t="shared" si="10"/>
        <v>0</v>
      </c>
      <c r="WL6" s="130">
        <f t="shared" si="10"/>
        <v>0</v>
      </c>
      <c r="WM6" s="130">
        <f t="shared" si="10"/>
        <v>0</v>
      </c>
      <c r="WN6" s="130">
        <f t="shared" si="10"/>
        <v>0</v>
      </c>
      <c r="WO6" s="130">
        <f t="shared" si="10"/>
        <v>0</v>
      </c>
      <c r="WP6" s="130">
        <f t="shared" si="10"/>
        <v>0</v>
      </c>
      <c r="WQ6" s="130">
        <f t="shared" si="10"/>
        <v>0</v>
      </c>
      <c r="WR6" s="130">
        <f t="shared" si="10"/>
        <v>0</v>
      </c>
      <c r="WS6" s="130">
        <f t="shared" si="10"/>
        <v>0</v>
      </c>
      <c r="WT6" s="130">
        <f t="shared" si="10"/>
        <v>0</v>
      </c>
      <c r="WU6" s="130">
        <f t="shared" si="10"/>
        <v>0</v>
      </c>
      <c r="WV6" s="130">
        <f t="shared" si="10"/>
        <v>0</v>
      </c>
      <c r="WW6" s="130">
        <f t="shared" si="10"/>
        <v>0</v>
      </c>
      <c r="WX6" s="130">
        <f t="shared" si="10"/>
        <v>0</v>
      </c>
      <c r="WY6" s="130">
        <f t="shared" si="10"/>
        <v>0</v>
      </c>
      <c r="WZ6" s="130">
        <f t="shared" si="10"/>
        <v>0</v>
      </c>
      <c r="XA6" s="130">
        <f t="shared" si="10"/>
        <v>0</v>
      </c>
      <c r="XB6" s="130">
        <f t="shared" si="10"/>
        <v>0</v>
      </c>
      <c r="XC6" s="130">
        <f t="shared" si="10"/>
        <v>0</v>
      </c>
      <c r="XD6" s="130">
        <f t="shared" si="10"/>
        <v>0</v>
      </c>
      <c r="XE6" s="130">
        <f t="shared" si="10"/>
        <v>0</v>
      </c>
      <c r="XF6" s="130">
        <f t="shared" si="10"/>
        <v>0</v>
      </c>
      <c r="XG6" s="130">
        <f t="shared" si="10"/>
        <v>0</v>
      </c>
      <c r="XH6" s="130">
        <f t="shared" si="10"/>
        <v>0</v>
      </c>
      <c r="XI6" s="130">
        <f t="shared" si="10"/>
        <v>0</v>
      </c>
      <c r="XJ6" s="130">
        <f t="shared" si="10"/>
        <v>0</v>
      </c>
      <c r="XK6" s="130">
        <f t="shared" si="10"/>
        <v>0</v>
      </c>
      <c r="XL6" s="130">
        <f t="shared" si="10"/>
        <v>0</v>
      </c>
      <c r="XM6" s="130">
        <f t="shared" si="10"/>
        <v>0</v>
      </c>
      <c r="XN6" s="130">
        <f t="shared" si="10"/>
        <v>0</v>
      </c>
      <c r="XO6" s="130">
        <f t="shared" si="10"/>
        <v>0</v>
      </c>
      <c r="XP6" s="130">
        <f t="shared" si="10"/>
        <v>0</v>
      </c>
      <c r="XQ6" s="130">
        <f t="shared" si="10"/>
        <v>0</v>
      </c>
      <c r="XR6" s="130">
        <f t="shared" si="10"/>
        <v>0</v>
      </c>
      <c r="XS6" s="130">
        <f t="shared" si="10"/>
        <v>0</v>
      </c>
      <c r="XT6" s="130">
        <f t="shared" si="10"/>
        <v>0</v>
      </c>
      <c r="XU6" s="130">
        <f t="shared" si="10"/>
        <v>0</v>
      </c>
      <c r="XV6" s="130">
        <f t="shared" si="10"/>
        <v>0</v>
      </c>
      <c r="XW6" s="130">
        <f t="shared" si="10"/>
        <v>0</v>
      </c>
      <c r="XX6" s="130">
        <f t="shared" si="10"/>
        <v>0</v>
      </c>
      <c r="XY6" s="130">
        <f t="shared" si="10"/>
        <v>0</v>
      </c>
      <c r="XZ6" s="130">
        <f t="shared" si="10"/>
        <v>0</v>
      </c>
      <c r="YA6" s="130">
        <f t="shared" si="10"/>
        <v>0</v>
      </c>
      <c r="YB6" s="130">
        <f t="shared" si="10"/>
        <v>0</v>
      </c>
      <c r="YC6" s="130">
        <f t="shared" si="10"/>
        <v>0</v>
      </c>
      <c r="YD6" s="130">
        <f t="shared" si="10"/>
        <v>0</v>
      </c>
      <c r="YE6" s="130">
        <f t="shared" ref="YE6:AAP6" si="11">ROUND(YE54,0)</f>
        <v>0</v>
      </c>
      <c r="YF6" s="130">
        <f t="shared" si="11"/>
        <v>0</v>
      </c>
      <c r="YG6" s="130">
        <f t="shared" si="11"/>
        <v>0</v>
      </c>
      <c r="YH6" s="130">
        <f t="shared" si="11"/>
        <v>0</v>
      </c>
      <c r="YI6" s="130">
        <f t="shared" si="11"/>
        <v>0</v>
      </c>
      <c r="YJ6" s="130">
        <f t="shared" si="11"/>
        <v>0</v>
      </c>
      <c r="YK6" s="130">
        <f t="shared" si="11"/>
        <v>0</v>
      </c>
      <c r="YL6" s="130">
        <f t="shared" si="11"/>
        <v>0</v>
      </c>
      <c r="YM6" s="130">
        <f t="shared" si="11"/>
        <v>0</v>
      </c>
      <c r="YN6" s="130">
        <f t="shared" si="11"/>
        <v>0</v>
      </c>
      <c r="YO6" s="130">
        <f t="shared" si="11"/>
        <v>0</v>
      </c>
      <c r="YP6" s="130">
        <f t="shared" si="11"/>
        <v>0</v>
      </c>
      <c r="YQ6" s="130">
        <f t="shared" si="11"/>
        <v>0</v>
      </c>
      <c r="YR6" s="130">
        <f t="shared" si="11"/>
        <v>0</v>
      </c>
      <c r="YS6" s="130">
        <f t="shared" si="11"/>
        <v>0</v>
      </c>
      <c r="YT6" s="130">
        <f t="shared" si="11"/>
        <v>0</v>
      </c>
      <c r="YU6" s="130">
        <f t="shared" si="11"/>
        <v>0</v>
      </c>
      <c r="YV6" s="130">
        <f t="shared" si="11"/>
        <v>0</v>
      </c>
      <c r="YW6" s="130">
        <f t="shared" si="11"/>
        <v>0</v>
      </c>
      <c r="YX6" s="130">
        <f t="shared" si="11"/>
        <v>0</v>
      </c>
      <c r="YY6" s="130">
        <f t="shared" si="11"/>
        <v>0</v>
      </c>
      <c r="YZ6" s="130">
        <f t="shared" si="11"/>
        <v>0</v>
      </c>
      <c r="ZA6" s="130">
        <f t="shared" si="11"/>
        <v>0</v>
      </c>
      <c r="ZB6" s="130">
        <f t="shared" si="11"/>
        <v>0</v>
      </c>
      <c r="ZC6" s="130">
        <f t="shared" si="11"/>
        <v>0</v>
      </c>
      <c r="ZD6" s="130">
        <f t="shared" si="11"/>
        <v>0</v>
      </c>
      <c r="ZE6" s="130">
        <f t="shared" si="11"/>
        <v>0</v>
      </c>
      <c r="ZF6" s="130">
        <f t="shared" si="11"/>
        <v>0</v>
      </c>
      <c r="ZG6" s="130">
        <f t="shared" si="11"/>
        <v>0</v>
      </c>
      <c r="ZH6" s="130">
        <f t="shared" si="11"/>
        <v>0</v>
      </c>
      <c r="ZI6" s="130">
        <f t="shared" si="11"/>
        <v>0</v>
      </c>
      <c r="ZJ6" s="130">
        <f t="shared" si="11"/>
        <v>0</v>
      </c>
      <c r="ZK6" s="130">
        <f t="shared" si="11"/>
        <v>0</v>
      </c>
      <c r="ZL6" s="130">
        <f t="shared" si="11"/>
        <v>0</v>
      </c>
      <c r="ZM6" s="130">
        <f t="shared" si="11"/>
        <v>0</v>
      </c>
      <c r="ZN6" s="130">
        <f t="shared" si="11"/>
        <v>0</v>
      </c>
      <c r="ZO6" s="130">
        <f t="shared" si="11"/>
        <v>0</v>
      </c>
      <c r="ZP6" s="130">
        <f t="shared" si="11"/>
        <v>0</v>
      </c>
      <c r="ZQ6" s="130">
        <f t="shared" si="11"/>
        <v>0</v>
      </c>
      <c r="ZR6" s="130">
        <f t="shared" si="11"/>
        <v>0</v>
      </c>
      <c r="ZS6" s="130">
        <f t="shared" si="11"/>
        <v>0</v>
      </c>
      <c r="ZT6" s="130">
        <f t="shared" si="11"/>
        <v>0</v>
      </c>
      <c r="ZU6" s="130">
        <f t="shared" si="11"/>
        <v>0</v>
      </c>
      <c r="ZV6" s="130">
        <f t="shared" si="11"/>
        <v>0</v>
      </c>
      <c r="ZW6" s="130">
        <f t="shared" si="11"/>
        <v>0</v>
      </c>
      <c r="ZX6" s="130">
        <f t="shared" si="11"/>
        <v>0</v>
      </c>
      <c r="ZY6" s="130">
        <f t="shared" si="11"/>
        <v>0</v>
      </c>
      <c r="ZZ6" s="130">
        <f t="shared" si="11"/>
        <v>0</v>
      </c>
      <c r="AAA6" s="130">
        <f t="shared" si="11"/>
        <v>0</v>
      </c>
      <c r="AAB6" s="130">
        <f t="shared" si="11"/>
        <v>0</v>
      </c>
      <c r="AAC6" s="130">
        <f t="shared" si="11"/>
        <v>0</v>
      </c>
      <c r="AAD6" s="130">
        <f t="shared" si="11"/>
        <v>0</v>
      </c>
      <c r="AAE6" s="130">
        <f t="shared" si="11"/>
        <v>0</v>
      </c>
      <c r="AAF6" s="130">
        <f t="shared" si="11"/>
        <v>0</v>
      </c>
      <c r="AAG6" s="130">
        <f t="shared" si="11"/>
        <v>0</v>
      </c>
      <c r="AAH6" s="130">
        <f t="shared" si="11"/>
        <v>0</v>
      </c>
      <c r="AAI6" s="130">
        <f t="shared" si="11"/>
        <v>0</v>
      </c>
      <c r="AAJ6" s="130">
        <f t="shared" si="11"/>
        <v>0</v>
      </c>
      <c r="AAK6" s="130">
        <f t="shared" si="11"/>
        <v>0</v>
      </c>
      <c r="AAL6" s="130">
        <f t="shared" si="11"/>
        <v>0</v>
      </c>
      <c r="AAM6" s="130">
        <f t="shared" si="11"/>
        <v>0</v>
      </c>
      <c r="AAN6" s="130">
        <f t="shared" si="11"/>
        <v>0</v>
      </c>
      <c r="AAO6" s="130">
        <f t="shared" si="11"/>
        <v>0</v>
      </c>
      <c r="AAP6" s="130">
        <f t="shared" si="11"/>
        <v>0</v>
      </c>
      <c r="AAQ6" s="130">
        <f t="shared" ref="AAQ6:ADB6" si="12">ROUND(AAQ54,0)</f>
        <v>0</v>
      </c>
      <c r="AAR6" s="130">
        <f t="shared" si="12"/>
        <v>0</v>
      </c>
      <c r="AAS6" s="130">
        <f t="shared" si="12"/>
        <v>0</v>
      </c>
      <c r="AAT6" s="130">
        <f t="shared" si="12"/>
        <v>0</v>
      </c>
      <c r="AAU6" s="130">
        <f t="shared" si="12"/>
        <v>0</v>
      </c>
      <c r="AAV6" s="130">
        <f t="shared" si="12"/>
        <v>0</v>
      </c>
      <c r="AAW6" s="130">
        <f t="shared" si="12"/>
        <v>0</v>
      </c>
      <c r="AAX6" s="130">
        <f t="shared" si="12"/>
        <v>0</v>
      </c>
      <c r="AAY6" s="130">
        <f t="shared" si="12"/>
        <v>0</v>
      </c>
      <c r="AAZ6" s="130">
        <f t="shared" si="12"/>
        <v>0</v>
      </c>
      <c r="ABA6" s="130">
        <f t="shared" si="12"/>
        <v>0</v>
      </c>
      <c r="ABB6" s="130">
        <f t="shared" si="12"/>
        <v>0</v>
      </c>
      <c r="ABC6" s="130">
        <f t="shared" si="12"/>
        <v>0</v>
      </c>
      <c r="ABD6" s="130">
        <f t="shared" si="12"/>
        <v>0</v>
      </c>
      <c r="ABE6" s="130">
        <f t="shared" si="12"/>
        <v>0</v>
      </c>
      <c r="ABF6" s="130">
        <f t="shared" si="12"/>
        <v>0</v>
      </c>
      <c r="ABG6" s="130">
        <f t="shared" si="12"/>
        <v>0</v>
      </c>
      <c r="ABH6" s="130">
        <f t="shared" si="12"/>
        <v>0</v>
      </c>
      <c r="ABI6" s="130">
        <f t="shared" si="12"/>
        <v>0</v>
      </c>
      <c r="ABJ6" s="130">
        <f t="shared" si="12"/>
        <v>0</v>
      </c>
      <c r="ABK6" s="130">
        <f t="shared" si="12"/>
        <v>0</v>
      </c>
      <c r="ABL6" s="130">
        <f t="shared" si="12"/>
        <v>0</v>
      </c>
      <c r="ABM6" s="130">
        <f t="shared" si="12"/>
        <v>0</v>
      </c>
      <c r="ABN6" s="130">
        <f t="shared" si="12"/>
        <v>0</v>
      </c>
      <c r="ABO6" s="130">
        <f t="shared" si="12"/>
        <v>0</v>
      </c>
      <c r="ABP6" s="130">
        <f t="shared" si="12"/>
        <v>0</v>
      </c>
      <c r="ABQ6" s="130">
        <f t="shared" si="12"/>
        <v>0</v>
      </c>
      <c r="ABR6" s="130">
        <f t="shared" si="12"/>
        <v>0</v>
      </c>
      <c r="ABS6" s="130">
        <f t="shared" si="12"/>
        <v>0</v>
      </c>
      <c r="ABT6" s="130">
        <f t="shared" si="12"/>
        <v>0</v>
      </c>
      <c r="ABU6" s="130">
        <f t="shared" si="12"/>
        <v>0</v>
      </c>
      <c r="ABV6" s="130">
        <f t="shared" si="12"/>
        <v>0</v>
      </c>
      <c r="ABW6" s="130">
        <f t="shared" si="12"/>
        <v>0</v>
      </c>
      <c r="ABX6" s="130">
        <f t="shared" si="12"/>
        <v>0</v>
      </c>
      <c r="ABY6" s="130">
        <f t="shared" si="12"/>
        <v>0</v>
      </c>
      <c r="ABZ6" s="130">
        <f t="shared" si="12"/>
        <v>0</v>
      </c>
      <c r="ACA6" s="130">
        <f t="shared" si="12"/>
        <v>0</v>
      </c>
      <c r="ACB6" s="130">
        <f t="shared" si="12"/>
        <v>0</v>
      </c>
      <c r="ACC6" s="130">
        <f t="shared" si="12"/>
        <v>0</v>
      </c>
      <c r="ACD6" s="130">
        <f t="shared" si="12"/>
        <v>0</v>
      </c>
      <c r="ACE6" s="130">
        <f t="shared" si="12"/>
        <v>0</v>
      </c>
      <c r="ACF6" s="130">
        <f t="shared" si="12"/>
        <v>0</v>
      </c>
      <c r="ACG6" s="130">
        <f t="shared" si="12"/>
        <v>0</v>
      </c>
      <c r="ACH6" s="130">
        <f t="shared" si="12"/>
        <v>0</v>
      </c>
      <c r="ACI6" s="130">
        <f t="shared" si="12"/>
        <v>0</v>
      </c>
      <c r="ACJ6" s="130">
        <f t="shared" si="12"/>
        <v>0</v>
      </c>
      <c r="ACK6" s="130">
        <f t="shared" si="12"/>
        <v>0</v>
      </c>
      <c r="ACL6" s="130">
        <f t="shared" si="12"/>
        <v>0</v>
      </c>
      <c r="ACM6" s="130">
        <f t="shared" si="12"/>
        <v>0</v>
      </c>
      <c r="ACN6" s="130">
        <f t="shared" si="12"/>
        <v>0</v>
      </c>
      <c r="ACO6" s="130">
        <f t="shared" si="12"/>
        <v>0</v>
      </c>
      <c r="ACP6" s="130">
        <f t="shared" si="12"/>
        <v>0</v>
      </c>
      <c r="ACQ6" s="130">
        <f t="shared" si="12"/>
        <v>0</v>
      </c>
      <c r="ACR6" s="130">
        <f t="shared" si="12"/>
        <v>0</v>
      </c>
      <c r="ACS6" s="130">
        <f t="shared" si="12"/>
        <v>0</v>
      </c>
      <c r="ACT6" s="130">
        <f t="shared" si="12"/>
        <v>0</v>
      </c>
      <c r="ACU6" s="130">
        <f t="shared" si="12"/>
        <v>0</v>
      </c>
      <c r="ACV6" s="130">
        <f t="shared" si="12"/>
        <v>0</v>
      </c>
      <c r="ACW6" s="130">
        <f t="shared" si="12"/>
        <v>0</v>
      </c>
      <c r="ACX6" s="130">
        <f t="shared" si="12"/>
        <v>0</v>
      </c>
      <c r="ACY6" s="130">
        <f t="shared" si="12"/>
        <v>0</v>
      </c>
      <c r="ACZ6" s="130">
        <f t="shared" si="12"/>
        <v>0</v>
      </c>
      <c r="ADA6" s="130">
        <f t="shared" si="12"/>
        <v>0</v>
      </c>
      <c r="ADB6" s="130">
        <f t="shared" si="12"/>
        <v>0</v>
      </c>
      <c r="ADC6" s="130">
        <f t="shared" ref="ADC6:AEW6" si="13">ROUND(ADC54,0)</f>
        <v>0</v>
      </c>
      <c r="ADD6" s="130">
        <f t="shared" si="13"/>
        <v>0</v>
      </c>
      <c r="ADE6" s="130">
        <f t="shared" si="13"/>
        <v>0</v>
      </c>
      <c r="ADF6" s="130">
        <f t="shared" si="13"/>
        <v>0</v>
      </c>
      <c r="ADG6" s="130">
        <f t="shared" si="13"/>
        <v>0</v>
      </c>
      <c r="ADH6" s="130">
        <f t="shared" si="13"/>
        <v>0</v>
      </c>
      <c r="ADI6" s="130">
        <f t="shared" si="13"/>
        <v>0</v>
      </c>
      <c r="ADJ6" s="130">
        <f t="shared" si="13"/>
        <v>0</v>
      </c>
      <c r="ADK6" s="130">
        <f t="shared" si="13"/>
        <v>0</v>
      </c>
      <c r="ADL6" s="130">
        <f t="shared" si="13"/>
        <v>0</v>
      </c>
      <c r="ADM6" s="130">
        <f t="shared" si="13"/>
        <v>0</v>
      </c>
      <c r="ADN6" s="130">
        <f t="shared" si="13"/>
        <v>0</v>
      </c>
      <c r="ADO6" s="130">
        <f t="shared" si="13"/>
        <v>0</v>
      </c>
      <c r="ADP6" s="130">
        <f t="shared" si="13"/>
        <v>0</v>
      </c>
      <c r="ADQ6" s="130">
        <f t="shared" si="13"/>
        <v>0</v>
      </c>
      <c r="ADR6" s="130">
        <f t="shared" si="13"/>
        <v>0</v>
      </c>
      <c r="ADS6" s="130">
        <f t="shared" si="13"/>
        <v>0</v>
      </c>
      <c r="ADT6" s="130">
        <f t="shared" si="13"/>
        <v>0</v>
      </c>
      <c r="ADU6" s="130">
        <f t="shared" si="13"/>
        <v>0</v>
      </c>
      <c r="ADV6" s="130">
        <f t="shared" si="13"/>
        <v>0</v>
      </c>
      <c r="ADW6" s="130">
        <f t="shared" si="13"/>
        <v>0</v>
      </c>
      <c r="ADX6" s="130">
        <f t="shared" si="13"/>
        <v>0</v>
      </c>
      <c r="ADY6" s="130">
        <f t="shared" si="13"/>
        <v>0</v>
      </c>
      <c r="ADZ6" s="130">
        <f t="shared" si="13"/>
        <v>0</v>
      </c>
      <c r="AEA6" s="130">
        <f t="shared" si="13"/>
        <v>0</v>
      </c>
      <c r="AEB6" s="130">
        <f t="shared" si="13"/>
        <v>0</v>
      </c>
      <c r="AEC6" s="130">
        <f t="shared" si="13"/>
        <v>0</v>
      </c>
      <c r="AED6" s="130">
        <f t="shared" si="13"/>
        <v>0</v>
      </c>
      <c r="AEE6" s="130">
        <f t="shared" si="13"/>
        <v>0</v>
      </c>
      <c r="AEF6" s="130">
        <f t="shared" si="13"/>
        <v>0</v>
      </c>
      <c r="AEG6" s="130">
        <f t="shared" si="13"/>
        <v>0</v>
      </c>
      <c r="AEH6" s="130">
        <f t="shared" si="13"/>
        <v>0</v>
      </c>
      <c r="AEI6" s="130">
        <f t="shared" si="13"/>
        <v>0</v>
      </c>
      <c r="AEJ6" s="130">
        <f t="shared" si="13"/>
        <v>0</v>
      </c>
      <c r="AEK6" s="130">
        <f t="shared" si="13"/>
        <v>0</v>
      </c>
      <c r="AEL6" s="130">
        <f t="shared" si="13"/>
        <v>0</v>
      </c>
      <c r="AEM6" s="130">
        <f t="shared" si="13"/>
        <v>0</v>
      </c>
      <c r="AEN6" s="130">
        <f t="shared" si="13"/>
        <v>0</v>
      </c>
      <c r="AEO6" s="130">
        <f t="shared" si="13"/>
        <v>0</v>
      </c>
      <c r="AEP6" s="130">
        <f t="shared" si="13"/>
        <v>0</v>
      </c>
      <c r="AEQ6" s="130">
        <f t="shared" si="13"/>
        <v>0</v>
      </c>
      <c r="AER6" s="130">
        <f t="shared" si="13"/>
        <v>0</v>
      </c>
      <c r="AES6" s="130">
        <f t="shared" si="13"/>
        <v>0</v>
      </c>
      <c r="AET6" s="130">
        <f t="shared" si="13"/>
        <v>0</v>
      </c>
      <c r="AEU6" s="130">
        <f t="shared" si="13"/>
        <v>0</v>
      </c>
      <c r="AEV6" s="130">
        <f t="shared" si="13"/>
        <v>0</v>
      </c>
      <c r="AEW6" s="130">
        <f t="shared" si="13"/>
        <v>0</v>
      </c>
      <c r="AEX6" s="144" t="s">
        <v>221</v>
      </c>
    </row>
    <row r="7" spans="1:830" ht="22.5" customHeight="1" x14ac:dyDescent="0.25">
      <c r="A7" s="36"/>
      <c r="B7" s="142" t="s">
        <v>409</v>
      </c>
      <c r="C7" s="160">
        <f>REKAP!$J$6</f>
        <v>0</v>
      </c>
      <c r="D7" s="124">
        <f>REKAP!$J$4</f>
        <v>0</v>
      </c>
      <c r="E7" s="159">
        <f>REKAP!$J$5</f>
        <v>0</v>
      </c>
      <c r="F7" s="36"/>
      <c r="G7" s="138" t="s">
        <v>219</v>
      </c>
      <c r="H7" s="4" t="s">
        <v>220</v>
      </c>
      <c r="I7" s="143"/>
      <c r="J7" s="141">
        <f t="shared" si="0"/>
        <v>0</v>
      </c>
      <c r="K7" s="7"/>
      <c r="L7" s="141"/>
      <c r="M7" s="130"/>
      <c r="N7" s="130"/>
      <c r="O7" s="130"/>
      <c r="P7" s="130"/>
      <c r="Q7" s="130"/>
      <c r="R7" s="130"/>
      <c r="S7" s="130"/>
      <c r="T7" s="130">
        <f>sd!$I$6</f>
        <v>0</v>
      </c>
      <c r="U7" s="130">
        <f>sd!$I$7</f>
        <v>0</v>
      </c>
      <c r="V7" s="130">
        <f>sd!$I$8</f>
        <v>0</v>
      </c>
      <c r="W7" s="130">
        <f>sd!$I$9</f>
        <v>0</v>
      </c>
      <c r="X7" s="130">
        <f>sd!$I$10</f>
        <v>0</v>
      </c>
      <c r="Y7" s="130">
        <f>sd!$I$11</f>
        <v>0</v>
      </c>
      <c r="Z7" s="130">
        <f>sd!$I$12</f>
        <v>0</v>
      </c>
      <c r="AA7" s="130">
        <f>sd!$I$13</f>
        <v>0</v>
      </c>
      <c r="AB7" s="130">
        <f>sd!$I$14</f>
        <v>0</v>
      </c>
      <c r="AC7" s="130">
        <f>sd!$I$15</f>
        <v>0</v>
      </c>
      <c r="AD7" s="130">
        <f>sd!$I$16</f>
        <v>0</v>
      </c>
      <c r="AE7" s="130">
        <f>sd!$I$17</f>
        <v>0</v>
      </c>
      <c r="AF7" s="130">
        <f>sd!$I$18</f>
        <v>0</v>
      </c>
      <c r="AG7" s="130">
        <f>sd!$I$19</f>
        <v>0</v>
      </c>
      <c r="AH7" s="130">
        <f>sd!$I$20</f>
        <v>0</v>
      </c>
      <c r="AI7" s="130">
        <f>sd!$I$21</f>
        <v>0</v>
      </c>
      <c r="AJ7" s="130">
        <f>sd!$I$22</f>
        <v>0</v>
      </c>
      <c r="AK7" s="130">
        <f>sd!$I$23</f>
        <v>0</v>
      </c>
      <c r="AL7" s="130">
        <f>sd!$I$24</f>
        <v>0</v>
      </c>
      <c r="AM7" s="130">
        <f>sd!$I$25</f>
        <v>0</v>
      </c>
      <c r="AN7" s="130">
        <f>sd!$I$26</f>
        <v>0</v>
      </c>
      <c r="AO7" s="130">
        <f>sd!$I$27</f>
        <v>0</v>
      </c>
      <c r="AP7" s="130">
        <f>sd!$I$28</f>
        <v>0</v>
      </c>
      <c r="AQ7" s="130">
        <f>sd!$I$29</f>
        <v>0</v>
      </c>
      <c r="AR7" s="130">
        <f>sd!$I$30</f>
        <v>0</v>
      </c>
      <c r="AS7" s="130">
        <f>sd!$I$31</f>
        <v>0</v>
      </c>
      <c r="AT7" s="130">
        <f>sd!$I$32</f>
        <v>0</v>
      </c>
      <c r="AU7" s="130">
        <f>sd!$I$33</f>
        <v>0</v>
      </c>
      <c r="AV7" s="130">
        <f>sd!$I$34</f>
        <v>0</v>
      </c>
      <c r="AW7" s="130">
        <f>sd!$I$35</f>
        <v>0</v>
      </c>
      <c r="AX7" s="130">
        <f>sd!$I$36</f>
        <v>0</v>
      </c>
      <c r="AY7" s="130">
        <f>sd!$I$37</f>
        <v>0</v>
      </c>
      <c r="AZ7" s="130">
        <f>sd!$I$38</f>
        <v>0</v>
      </c>
      <c r="BA7" s="130">
        <f>sd!$I$39</f>
        <v>0</v>
      </c>
      <c r="BB7" s="130">
        <f>sd!$I$40</f>
        <v>0</v>
      </c>
      <c r="BC7" s="130">
        <f>sd!$I$41</f>
        <v>0</v>
      </c>
      <c r="BD7" s="130">
        <f>sd!$I$42</f>
        <v>0</v>
      </c>
      <c r="BE7" s="130">
        <f>sd!$I$43</f>
        <v>0</v>
      </c>
      <c r="BF7" s="130">
        <f>sd!$I$44</f>
        <v>0</v>
      </c>
      <c r="BG7" s="130">
        <f>sd!$I$45</f>
        <v>0</v>
      </c>
      <c r="BH7" s="130">
        <f>sd!$I$46</f>
        <v>0</v>
      </c>
      <c r="BI7" s="130">
        <f>sd!$I$47</f>
        <v>0</v>
      </c>
      <c r="BJ7" s="130">
        <f>sd!$I$48</f>
        <v>0</v>
      </c>
      <c r="BK7" s="130">
        <f>sd!$I$49</f>
        <v>0</v>
      </c>
      <c r="BL7" s="130">
        <f>sd!$I$50</f>
        <v>0</v>
      </c>
      <c r="BM7" s="130">
        <f>sd!$I$51</f>
        <v>0</v>
      </c>
      <c r="BN7" s="130">
        <f>sd!$I$52</f>
        <v>0</v>
      </c>
      <c r="BO7" s="130">
        <f>sd!$I$53</f>
        <v>0</v>
      </c>
      <c r="BP7" s="130">
        <f>sd!$I$54</f>
        <v>0</v>
      </c>
      <c r="BQ7" s="130">
        <f>sd!$I$55</f>
        <v>0</v>
      </c>
      <c r="BR7" s="130">
        <f>sd!$I$56</f>
        <v>0</v>
      </c>
      <c r="BS7" s="130">
        <f>sd!$I$57</f>
        <v>0</v>
      </c>
      <c r="BT7" s="130">
        <f>sd!$I$58</f>
        <v>0</v>
      </c>
      <c r="BU7" s="130">
        <f>sd!$I$59</f>
        <v>0</v>
      </c>
      <c r="BV7" s="130">
        <f>sd!$I$60</f>
        <v>0</v>
      </c>
      <c r="BW7" s="130">
        <f>sd!$I$61</f>
        <v>0</v>
      </c>
      <c r="BX7" s="130">
        <f>sd!$I$62</f>
        <v>0</v>
      </c>
      <c r="BY7" s="130">
        <f>sd!$I$63</f>
        <v>0</v>
      </c>
      <c r="BZ7" s="130">
        <f>sd!$I$64</f>
        <v>0</v>
      </c>
      <c r="CA7" s="130">
        <f>sd!$I$65</f>
        <v>0</v>
      </c>
      <c r="CB7" s="130">
        <f>sd!$I$66</f>
        <v>0</v>
      </c>
      <c r="CC7" s="130">
        <f>sd!$I$67</f>
        <v>0</v>
      </c>
      <c r="CD7" s="130">
        <f>sd!$I$74</f>
        <v>0</v>
      </c>
      <c r="CE7" s="130">
        <f>sd!$I$75</f>
        <v>0</v>
      </c>
      <c r="CF7" s="130">
        <f>sd!$I$76</f>
        <v>0</v>
      </c>
      <c r="CG7" s="130">
        <f>sd!$I$77</f>
        <v>0</v>
      </c>
      <c r="CH7" s="130">
        <f>sd!$I$78</f>
        <v>0</v>
      </c>
      <c r="CI7" s="130">
        <f>sd!$I$79</f>
        <v>0</v>
      </c>
      <c r="CJ7" s="130"/>
      <c r="CK7" s="130"/>
      <c r="CL7" s="130"/>
      <c r="CM7" s="130"/>
      <c r="CN7" s="130"/>
      <c r="CO7" s="130"/>
      <c r="CP7" s="130"/>
      <c r="CQ7" s="130"/>
      <c r="CR7" s="130"/>
      <c r="CS7" s="130"/>
      <c r="CT7" s="130"/>
      <c r="CU7" s="130"/>
      <c r="CV7" s="130"/>
      <c r="CW7" s="130"/>
      <c r="CX7" s="130"/>
      <c r="CY7" s="130"/>
      <c r="CZ7" s="130"/>
      <c r="DA7" s="130"/>
      <c r="DB7" s="130"/>
      <c r="DC7" s="130"/>
      <c r="DD7" s="130"/>
      <c r="DE7" s="130"/>
      <c r="DF7" s="130"/>
      <c r="DG7" s="130"/>
      <c r="DH7" s="130"/>
      <c r="DI7" s="130"/>
      <c r="DJ7" s="130"/>
      <c r="DK7" s="130"/>
      <c r="DL7" s="130"/>
      <c r="DM7" s="130"/>
      <c r="DN7" s="130"/>
      <c r="DO7" s="130"/>
      <c r="DP7" s="130"/>
      <c r="DQ7" s="130"/>
      <c r="DR7" s="130"/>
      <c r="DS7" s="130"/>
      <c r="DT7" s="130"/>
      <c r="DU7" s="130"/>
      <c r="DV7" s="130"/>
      <c r="DW7" s="130"/>
      <c r="DX7" s="130"/>
      <c r="DY7" s="130"/>
      <c r="DZ7" s="130"/>
      <c r="EA7" s="130"/>
      <c r="EB7" s="130"/>
      <c r="EC7" s="130"/>
      <c r="ED7" s="130"/>
      <c r="EE7" s="130"/>
      <c r="EF7" s="130"/>
      <c r="EG7" s="130"/>
      <c r="EH7" s="130"/>
      <c r="EI7" s="130"/>
      <c r="EJ7" s="130"/>
      <c r="EK7" s="130"/>
      <c r="EL7" s="130"/>
      <c r="EM7" s="130"/>
      <c r="EN7" s="130"/>
      <c r="EO7" s="130"/>
      <c r="EP7" s="130"/>
      <c r="EQ7" s="130"/>
      <c r="ER7" s="130"/>
      <c r="ES7" s="130"/>
      <c r="ET7" s="130"/>
      <c r="EU7" s="130"/>
      <c r="EV7" s="130"/>
      <c r="EW7" s="130"/>
      <c r="EX7" s="130"/>
      <c r="EY7" s="130"/>
      <c r="EZ7" s="130"/>
      <c r="FA7" s="130"/>
      <c r="FB7" s="130"/>
      <c r="FC7" s="130"/>
      <c r="FD7" s="130"/>
      <c r="FE7" s="130"/>
      <c r="FF7" s="130"/>
      <c r="FG7" s="130"/>
      <c r="FH7" s="130"/>
      <c r="FI7" s="130"/>
      <c r="FJ7" s="130"/>
      <c r="FK7" s="130"/>
      <c r="FL7" s="130"/>
      <c r="FM7" s="130"/>
      <c r="FN7" s="130"/>
      <c r="FO7" s="130"/>
      <c r="FP7" s="130"/>
      <c r="FQ7" s="130"/>
      <c r="FR7" s="130"/>
      <c r="FS7" s="130"/>
      <c r="FT7" s="130"/>
      <c r="FU7" s="130"/>
      <c r="FV7" s="130"/>
      <c r="FW7" s="130"/>
      <c r="FX7" s="130"/>
      <c r="FY7" s="130"/>
      <c r="FZ7" s="130"/>
      <c r="GA7" s="130"/>
      <c r="GB7" s="130"/>
      <c r="GC7" s="130"/>
      <c r="GD7" s="130"/>
      <c r="GE7" s="130"/>
      <c r="GF7" s="130"/>
      <c r="GG7" s="130"/>
      <c r="GH7" s="130"/>
      <c r="GI7" s="130"/>
      <c r="GJ7" s="130"/>
      <c r="GK7" s="130"/>
      <c r="GL7" s="130"/>
      <c r="GM7" s="130"/>
      <c r="GN7" s="130"/>
      <c r="GO7" s="130"/>
      <c r="GP7" s="130"/>
      <c r="GQ7" s="130"/>
      <c r="GR7" s="130"/>
      <c r="GS7" s="130"/>
      <c r="GT7" s="130"/>
      <c r="GU7" s="130"/>
      <c r="GV7" s="130"/>
      <c r="GW7" s="130"/>
      <c r="GX7" s="130"/>
      <c r="GY7" s="130"/>
      <c r="GZ7" s="130"/>
      <c r="HA7" s="130"/>
      <c r="HB7" s="130"/>
      <c r="HC7" s="130"/>
      <c r="HD7" s="130"/>
      <c r="HE7" s="130"/>
      <c r="HF7" s="130"/>
      <c r="HG7" s="130"/>
      <c r="HH7" s="130"/>
      <c r="HI7" s="130"/>
      <c r="HJ7" s="130"/>
      <c r="HK7" s="130"/>
      <c r="HL7" s="130"/>
      <c r="HM7" s="130"/>
      <c r="HN7" s="130"/>
      <c r="HO7" s="130"/>
      <c r="HP7" s="130"/>
      <c r="HQ7" s="130"/>
      <c r="HR7" s="130"/>
      <c r="HS7" s="130"/>
      <c r="HT7" s="130"/>
      <c r="HU7" s="130"/>
      <c r="HV7" s="130"/>
      <c r="HW7" s="130"/>
      <c r="HX7" s="130"/>
      <c r="HY7" s="130"/>
      <c r="HZ7" s="130"/>
      <c r="IA7" s="130"/>
      <c r="IB7" s="130"/>
      <c r="IC7" s="130"/>
      <c r="ID7" s="130"/>
      <c r="IE7" s="130"/>
      <c r="IF7" s="130"/>
      <c r="IG7" s="130"/>
      <c r="IH7" s="130"/>
      <c r="II7" s="130"/>
      <c r="IJ7" s="130"/>
      <c r="IK7" s="130"/>
      <c r="IL7" s="130"/>
      <c r="IM7" s="130"/>
      <c r="IN7" s="130"/>
      <c r="IO7" s="130"/>
      <c r="IP7" s="130"/>
      <c r="IQ7" s="130"/>
      <c r="IR7" s="130"/>
      <c r="IS7" s="130"/>
      <c r="IT7" s="130"/>
      <c r="IU7" s="130"/>
      <c r="IV7" s="130"/>
      <c r="IW7" s="130"/>
      <c r="IX7" s="130"/>
      <c r="IY7" s="130"/>
      <c r="IZ7" s="130"/>
      <c r="JA7" s="130"/>
      <c r="JB7" s="130"/>
      <c r="JC7" s="130"/>
      <c r="JD7" s="130"/>
      <c r="JE7" s="130"/>
      <c r="JF7" s="130"/>
      <c r="JG7" s="130"/>
      <c r="JH7" s="130"/>
      <c r="JI7" s="130"/>
      <c r="JJ7" s="130"/>
      <c r="JK7" s="130"/>
      <c r="JL7" s="130"/>
      <c r="JM7" s="130"/>
      <c r="JN7" s="130"/>
      <c r="JO7" s="130"/>
      <c r="JP7" s="130"/>
      <c r="JQ7" s="130"/>
      <c r="JR7" s="130"/>
      <c r="JS7" s="130"/>
      <c r="JT7" s="130"/>
      <c r="JU7" s="130"/>
      <c r="JV7" s="130"/>
      <c r="JW7" s="130"/>
      <c r="JX7" s="130"/>
      <c r="JY7" s="130"/>
      <c r="JZ7" s="130"/>
      <c r="KA7" s="130"/>
      <c r="KB7" s="130"/>
      <c r="KC7" s="130"/>
      <c r="KD7" s="130"/>
      <c r="KE7" s="130"/>
      <c r="KF7" s="130"/>
      <c r="KG7" s="130"/>
      <c r="KH7" s="130"/>
      <c r="KI7" s="130"/>
      <c r="KJ7" s="130"/>
      <c r="KK7" s="130"/>
      <c r="KL7" s="130"/>
      <c r="KM7" s="130"/>
      <c r="KN7" s="130"/>
      <c r="KO7" s="130"/>
      <c r="KP7" s="130"/>
      <c r="KQ7" s="130"/>
      <c r="KR7" s="130"/>
      <c r="KS7" s="130"/>
      <c r="KT7" s="130"/>
      <c r="KU7" s="130"/>
      <c r="KV7" s="130"/>
      <c r="KW7" s="130"/>
      <c r="KX7" s="130"/>
      <c r="KY7" s="130"/>
      <c r="KZ7" s="130"/>
      <c r="LA7" s="130"/>
      <c r="LB7" s="130"/>
      <c r="LC7" s="130"/>
      <c r="LD7" s="130"/>
      <c r="LE7" s="130"/>
      <c r="LF7" s="130"/>
      <c r="LG7" s="130"/>
      <c r="LH7" s="130"/>
      <c r="LI7" s="130"/>
      <c r="LJ7" s="130"/>
      <c r="LK7" s="130"/>
      <c r="LL7" s="130"/>
      <c r="LM7" s="130"/>
      <c r="LN7" s="130"/>
      <c r="LO7" s="130"/>
      <c r="LP7" s="130"/>
      <c r="LQ7" s="130"/>
      <c r="LR7" s="130"/>
      <c r="LS7" s="130"/>
      <c r="LT7" s="130"/>
      <c r="LU7" s="130"/>
      <c r="LV7" s="130"/>
      <c r="LW7" s="130"/>
      <c r="LX7" s="130"/>
      <c r="LY7" s="130"/>
      <c r="LZ7" s="130"/>
      <c r="MA7" s="130"/>
      <c r="MB7" s="130"/>
      <c r="MC7" s="130"/>
      <c r="MD7" s="130"/>
      <c r="ME7" s="130"/>
      <c r="MF7" s="130"/>
      <c r="MG7" s="130"/>
      <c r="MH7" s="130"/>
      <c r="MI7" s="130"/>
      <c r="MJ7" s="130"/>
      <c r="MK7" s="130"/>
      <c r="ML7" s="130"/>
      <c r="MM7" s="130"/>
      <c r="MN7" s="130"/>
      <c r="MO7" s="130"/>
      <c r="MP7" s="130"/>
      <c r="MQ7" s="130"/>
      <c r="MR7" s="130"/>
      <c r="MS7" s="130"/>
      <c r="MT7" s="130"/>
      <c r="MU7" s="130"/>
      <c r="MV7" s="130"/>
      <c r="MW7" s="130"/>
      <c r="MX7" s="130"/>
      <c r="MY7" s="130"/>
      <c r="MZ7" s="130"/>
      <c r="NA7" s="130"/>
      <c r="NB7" s="130"/>
      <c r="NC7" s="130"/>
      <c r="ND7" s="130"/>
      <c r="NE7" s="130"/>
      <c r="NF7" s="130"/>
      <c r="NG7" s="130"/>
      <c r="NH7" s="130"/>
      <c r="NI7" s="130"/>
      <c r="NJ7" s="130"/>
      <c r="NK7" s="130"/>
      <c r="NL7" s="130"/>
      <c r="NM7" s="130"/>
      <c r="NN7" s="130"/>
      <c r="NO7" s="130"/>
      <c r="NP7" s="130"/>
      <c r="NQ7" s="130"/>
      <c r="NR7" s="130"/>
      <c r="NS7" s="130"/>
      <c r="NT7" s="130"/>
      <c r="NU7" s="130"/>
      <c r="NV7" s="130"/>
      <c r="NW7" s="130"/>
      <c r="NX7" s="130"/>
      <c r="NY7" s="130"/>
      <c r="NZ7" s="130"/>
      <c r="OA7" s="130"/>
      <c r="OB7" s="130"/>
      <c r="OC7" s="130"/>
      <c r="OD7" s="130"/>
      <c r="OE7" s="130"/>
      <c r="OF7" s="130"/>
      <c r="OG7" s="130"/>
      <c r="OH7" s="130"/>
      <c r="OI7" s="130"/>
      <c r="OJ7" s="130"/>
      <c r="OK7" s="130"/>
      <c r="OL7" s="130"/>
      <c r="OM7" s="130"/>
      <c r="ON7" s="130"/>
      <c r="OO7" s="130"/>
      <c r="OP7" s="130"/>
      <c r="OQ7" s="130"/>
      <c r="OR7" s="130"/>
      <c r="OS7" s="130"/>
      <c r="OT7" s="130"/>
      <c r="OU7" s="130"/>
      <c r="OV7" s="130"/>
      <c r="OW7" s="130"/>
      <c r="OX7" s="130"/>
      <c r="OY7" s="130"/>
      <c r="OZ7" s="130"/>
      <c r="PA7" s="130"/>
      <c r="PB7" s="130"/>
      <c r="PC7" s="130"/>
      <c r="PD7" s="130"/>
      <c r="PE7" s="130"/>
      <c r="PF7" s="130"/>
      <c r="PG7" s="130"/>
      <c r="PH7" s="130"/>
      <c r="PI7" s="130"/>
      <c r="PJ7" s="130"/>
      <c r="PK7" s="130"/>
      <c r="PL7" s="130"/>
      <c r="PM7" s="130"/>
      <c r="PN7" s="130"/>
      <c r="PO7" s="130"/>
      <c r="PP7" s="130"/>
      <c r="PQ7" s="130"/>
      <c r="PR7" s="130"/>
      <c r="PS7" s="130"/>
      <c r="PT7" s="130"/>
      <c r="PU7" s="130"/>
      <c r="PV7" s="130"/>
      <c r="PW7" s="130"/>
      <c r="PX7" s="130"/>
      <c r="PY7" s="130"/>
      <c r="PZ7" s="130"/>
      <c r="QA7" s="130"/>
      <c r="QB7" s="130"/>
      <c r="QC7" s="130"/>
      <c r="QD7" s="130"/>
      <c r="QE7" s="130"/>
      <c r="QF7" s="130"/>
      <c r="QG7" s="130"/>
      <c r="QH7" s="130"/>
      <c r="QI7" s="130"/>
      <c r="QJ7" s="130"/>
      <c r="QK7" s="130"/>
      <c r="QL7" s="130"/>
      <c r="QM7" s="130"/>
      <c r="QN7" s="130"/>
      <c r="QO7" s="130"/>
      <c r="QP7" s="130"/>
      <c r="QQ7" s="130"/>
      <c r="QR7" s="130"/>
      <c r="QS7" s="130"/>
      <c r="QT7" s="130"/>
      <c r="QU7" s="130"/>
      <c r="QV7" s="130"/>
      <c r="QW7" s="130"/>
      <c r="QX7" s="130"/>
      <c r="QY7" s="130"/>
      <c r="QZ7" s="130"/>
      <c r="RA7" s="130"/>
      <c r="RB7" s="130"/>
      <c r="RC7" s="130"/>
      <c r="RD7" s="130"/>
      <c r="RE7" s="130"/>
      <c r="RF7" s="130"/>
      <c r="RG7" s="130"/>
      <c r="RH7" s="130"/>
      <c r="RI7" s="130"/>
      <c r="RJ7" s="130"/>
      <c r="RK7" s="130"/>
      <c r="RL7" s="130"/>
      <c r="RM7" s="130"/>
      <c r="RN7" s="130"/>
      <c r="RO7" s="130"/>
      <c r="RP7" s="130"/>
      <c r="RQ7" s="130"/>
      <c r="RR7" s="130"/>
      <c r="RS7" s="130"/>
      <c r="RT7" s="130"/>
      <c r="RU7" s="130"/>
      <c r="RV7" s="130"/>
      <c r="RW7" s="130"/>
      <c r="RX7" s="130"/>
      <c r="RY7" s="130"/>
      <c r="RZ7" s="130"/>
      <c r="SA7" s="130"/>
      <c r="SB7" s="130"/>
      <c r="SC7" s="130"/>
      <c r="SD7" s="130"/>
      <c r="SE7" s="130"/>
      <c r="SF7" s="130"/>
      <c r="SG7" s="130"/>
      <c r="SH7" s="130"/>
      <c r="SI7" s="130"/>
      <c r="SJ7" s="130"/>
      <c r="SK7" s="130"/>
      <c r="SL7" s="130"/>
      <c r="SM7" s="130"/>
      <c r="SN7" s="130"/>
      <c r="SO7" s="130"/>
      <c r="SP7" s="130"/>
      <c r="SQ7" s="130"/>
      <c r="SR7" s="130"/>
      <c r="SS7" s="130"/>
      <c r="ST7" s="130"/>
      <c r="SU7" s="130"/>
      <c r="SV7" s="130"/>
      <c r="SW7" s="130"/>
      <c r="SX7" s="130"/>
      <c r="SY7" s="130"/>
      <c r="SZ7" s="130"/>
      <c r="TA7" s="130"/>
      <c r="TB7" s="130"/>
      <c r="TC7" s="130"/>
      <c r="TD7" s="130"/>
      <c r="TE7" s="130"/>
      <c r="TF7" s="130"/>
      <c r="TG7" s="130"/>
      <c r="TH7" s="130"/>
      <c r="TI7" s="130"/>
      <c r="TJ7" s="130"/>
      <c r="TK7" s="130"/>
      <c r="TL7" s="130"/>
      <c r="TM7" s="130"/>
      <c r="TN7" s="130"/>
      <c r="TO7" s="130"/>
      <c r="TP7" s="130"/>
      <c r="TQ7" s="130"/>
      <c r="TR7" s="130"/>
      <c r="TS7" s="130"/>
      <c r="TT7" s="130"/>
      <c r="TU7" s="130"/>
      <c r="TV7" s="130"/>
      <c r="TW7" s="130"/>
      <c r="TX7" s="130"/>
      <c r="TY7" s="130"/>
      <c r="TZ7" s="130"/>
      <c r="UA7" s="130"/>
      <c r="UB7" s="130"/>
      <c r="UC7" s="130"/>
      <c r="UD7" s="130"/>
      <c r="UE7" s="130"/>
      <c r="UF7" s="130"/>
      <c r="UG7" s="130"/>
      <c r="UH7" s="130"/>
      <c r="UI7" s="130"/>
      <c r="UJ7" s="130"/>
      <c r="UK7" s="130"/>
      <c r="UL7" s="130"/>
      <c r="UM7" s="130"/>
      <c r="UN7" s="130"/>
      <c r="UO7" s="130"/>
      <c r="UP7" s="130"/>
      <c r="UQ7" s="130"/>
      <c r="UR7" s="130"/>
      <c r="US7" s="130"/>
      <c r="UT7" s="130"/>
      <c r="UU7" s="130"/>
      <c r="UV7" s="130"/>
      <c r="UW7" s="130"/>
      <c r="UX7" s="130"/>
      <c r="UY7" s="130"/>
      <c r="UZ7" s="130"/>
      <c r="VA7" s="130"/>
      <c r="VB7" s="130"/>
      <c r="VC7" s="130"/>
      <c r="VD7" s="130"/>
      <c r="VE7" s="130"/>
      <c r="VF7" s="130"/>
      <c r="VG7" s="130"/>
      <c r="VH7" s="130"/>
      <c r="VI7" s="130"/>
      <c r="VJ7" s="130"/>
      <c r="VK7" s="130"/>
      <c r="VL7" s="130"/>
      <c r="VM7" s="130"/>
      <c r="VN7" s="130"/>
      <c r="VO7" s="130"/>
      <c r="VP7" s="130"/>
      <c r="VQ7" s="130"/>
      <c r="VR7" s="130"/>
      <c r="VS7" s="130"/>
      <c r="VT7" s="130"/>
      <c r="VU7" s="130"/>
      <c r="VV7" s="130"/>
      <c r="VW7" s="130"/>
      <c r="VX7" s="130"/>
      <c r="VY7" s="130"/>
      <c r="VZ7" s="130"/>
      <c r="WA7" s="130"/>
      <c r="WB7" s="130"/>
      <c r="WC7" s="130"/>
      <c r="WD7" s="130"/>
      <c r="WE7" s="130"/>
      <c r="WF7" s="130"/>
      <c r="WG7" s="130"/>
      <c r="WH7" s="130"/>
      <c r="WI7" s="130"/>
      <c r="WJ7" s="130"/>
      <c r="WK7" s="130"/>
      <c r="WL7" s="130"/>
      <c r="WM7" s="130"/>
      <c r="WN7" s="130"/>
      <c r="WO7" s="130"/>
      <c r="WP7" s="130"/>
      <c r="WQ7" s="130"/>
      <c r="WR7" s="130"/>
      <c r="WS7" s="130"/>
      <c r="WT7" s="130"/>
      <c r="WU7" s="130"/>
      <c r="WV7" s="130"/>
      <c r="WW7" s="130"/>
      <c r="WX7" s="130"/>
      <c r="WY7" s="130"/>
      <c r="WZ7" s="130"/>
      <c r="XA7" s="130"/>
      <c r="XB7" s="130"/>
      <c r="XC7" s="130"/>
      <c r="XD7" s="130"/>
      <c r="XE7" s="130"/>
      <c r="XF7" s="130"/>
      <c r="XG7" s="130"/>
      <c r="XH7" s="130"/>
      <c r="XI7" s="130"/>
      <c r="XJ7" s="130"/>
      <c r="XK7" s="130"/>
      <c r="XL7" s="130"/>
      <c r="XM7" s="130"/>
      <c r="XN7" s="130"/>
      <c r="XO7" s="130"/>
      <c r="XP7" s="130"/>
      <c r="XQ7" s="130"/>
      <c r="XR7" s="130"/>
      <c r="XS7" s="130"/>
      <c r="XT7" s="130"/>
      <c r="XU7" s="130"/>
      <c r="XV7" s="130"/>
      <c r="XW7" s="130"/>
      <c r="XX7" s="130"/>
      <c r="XY7" s="130"/>
      <c r="XZ7" s="130"/>
      <c r="YA7" s="130"/>
      <c r="YB7" s="130"/>
      <c r="YC7" s="130"/>
      <c r="YD7" s="130"/>
      <c r="YE7" s="130"/>
      <c r="YF7" s="130"/>
      <c r="YG7" s="130"/>
      <c r="YH7" s="130"/>
      <c r="YI7" s="130"/>
      <c r="YJ7" s="130"/>
      <c r="YK7" s="130"/>
      <c r="YL7" s="130"/>
      <c r="YM7" s="130"/>
      <c r="YN7" s="130"/>
      <c r="YO7" s="130"/>
      <c r="YP7" s="130"/>
      <c r="YQ7" s="130"/>
      <c r="YR7" s="130"/>
      <c r="YS7" s="130"/>
      <c r="YT7" s="130"/>
      <c r="YU7" s="130"/>
      <c r="YV7" s="130"/>
      <c r="YW7" s="130"/>
      <c r="YX7" s="130"/>
      <c r="YY7" s="130"/>
      <c r="YZ7" s="130"/>
      <c r="ZA7" s="130"/>
      <c r="ZB7" s="130"/>
      <c r="ZC7" s="130"/>
      <c r="ZD7" s="130"/>
      <c r="ZE7" s="130"/>
      <c r="ZF7" s="130"/>
      <c r="ZG7" s="130"/>
      <c r="ZH7" s="130"/>
      <c r="ZI7" s="130"/>
      <c r="ZJ7" s="130"/>
      <c r="ZK7" s="130"/>
      <c r="ZL7" s="130"/>
      <c r="ZM7" s="130"/>
      <c r="ZN7" s="130"/>
      <c r="ZO7" s="130"/>
      <c r="ZP7" s="130"/>
      <c r="ZQ7" s="130"/>
      <c r="ZR7" s="130"/>
      <c r="ZS7" s="130"/>
      <c r="ZT7" s="130"/>
      <c r="ZU7" s="130"/>
      <c r="ZV7" s="130"/>
      <c r="ZW7" s="130"/>
      <c r="ZX7" s="130"/>
      <c r="ZY7" s="130"/>
      <c r="ZZ7" s="130"/>
      <c r="AAA7" s="130"/>
      <c r="AAB7" s="130"/>
      <c r="AAC7" s="130"/>
      <c r="AAD7" s="130"/>
      <c r="AAE7" s="130"/>
      <c r="AAF7" s="130"/>
      <c r="AAG7" s="130"/>
      <c r="AAH7" s="130"/>
      <c r="AAI7" s="130"/>
      <c r="AAJ7" s="130"/>
      <c r="AAK7" s="130"/>
      <c r="AAL7" s="130"/>
      <c r="AAM7" s="130"/>
      <c r="AAN7" s="130"/>
      <c r="AAO7" s="130"/>
      <c r="AAP7" s="130"/>
      <c r="AAQ7" s="130"/>
      <c r="AAR7" s="130"/>
      <c r="AAS7" s="130"/>
      <c r="AAT7" s="130"/>
      <c r="AAU7" s="130"/>
      <c r="AAV7" s="130"/>
      <c r="AAW7" s="130"/>
      <c r="AAX7" s="130"/>
      <c r="AAY7" s="130"/>
      <c r="AAZ7" s="130"/>
      <c r="ABA7" s="130"/>
      <c r="ABB7" s="130"/>
      <c r="ABC7" s="130"/>
      <c r="ABD7" s="130"/>
      <c r="ABE7" s="130"/>
      <c r="ABF7" s="130"/>
      <c r="ABG7" s="130"/>
      <c r="ABH7" s="130"/>
      <c r="ABI7" s="130"/>
      <c r="ABJ7" s="130"/>
      <c r="ABK7" s="130"/>
      <c r="ABL7" s="130"/>
      <c r="ABM7" s="130"/>
      <c r="ABN7" s="130"/>
      <c r="ABO7" s="130"/>
      <c r="ABP7" s="130"/>
      <c r="ABQ7" s="130"/>
      <c r="ABR7" s="130"/>
      <c r="ABS7" s="130"/>
      <c r="ABT7" s="130"/>
      <c r="ABU7" s="130"/>
      <c r="ABV7" s="130"/>
      <c r="ABW7" s="130"/>
      <c r="ABX7" s="130"/>
      <c r="ABY7" s="130"/>
      <c r="ABZ7" s="130"/>
      <c r="ACA7" s="130"/>
      <c r="ACB7" s="130"/>
      <c r="ACC7" s="130"/>
      <c r="ACD7" s="130"/>
      <c r="ACE7" s="130"/>
      <c r="ACF7" s="130"/>
      <c r="ACG7" s="130"/>
      <c r="ACH7" s="130"/>
      <c r="ACI7" s="130"/>
      <c r="ACJ7" s="130"/>
      <c r="ACK7" s="130"/>
      <c r="ACL7" s="130"/>
      <c r="ACM7" s="130"/>
      <c r="ACN7" s="130"/>
      <c r="ACO7" s="130"/>
      <c r="ACP7" s="130"/>
      <c r="ACQ7" s="130"/>
      <c r="ACR7" s="130"/>
      <c r="ACS7" s="130"/>
      <c r="ACT7" s="130"/>
      <c r="ACU7" s="130"/>
      <c r="ACV7" s="130"/>
      <c r="ACW7" s="130"/>
      <c r="ACX7" s="130"/>
      <c r="ACY7" s="130"/>
      <c r="ACZ7" s="130"/>
      <c r="ADA7" s="130"/>
      <c r="ADB7" s="130"/>
      <c r="ADC7" s="130"/>
      <c r="ADD7" s="130"/>
      <c r="ADE7" s="130"/>
      <c r="ADF7" s="130"/>
      <c r="ADG7" s="130"/>
      <c r="ADH7" s="130"/>
      <c r="ADI7" s="130"/>
      <c r="ADJ7" s="130"/>
      <c r="ADK7" s="130"/>
      <c r="ADL7" s="130"/>
      <c r="ADM7" s="130"/>
      <c r="ADN7" s="130"/>
      <c r="ADO7" s="130"/>
      <c r="ADP7" s="130"/>
      <c r="ADQ7" s="130"/>
      <c r="ADR7" s="130"/>
      <c r="ADS7" s="130"/>
      <c r="ADT7" s="130"/>
      <c r="ADU7" s="130"/>
      <c r="ADV7" s="130"/>
      <c r="ADW7" s="130"/>
      <c r="ADX7" s="130"/>
      <c r="ADY7" s="130"/>
      <c r="ADZ7" s="130"/>
      <c r="AEA7" s="130"/>
      <c r="AEB7" s="130"/>
      <c r="AEC7" s="130"/>
      <c r="AED7" s="130"/>
      <c r="AEE7" s="130"/>
      <c r="AEF7" s="130"/>
      <c r="AEG7" s="130"/>
      <c r="AEH7" s="130"/>
      <c r="AEI7" s="130"/>
      <c r="AEJ7" s="130"/>
      <c r="AEK7" s="130"/>
      <c r="AEL7" s="130"/>
      <c r="AEM7" s="130"/>
      <c r="AEN7" s="130"/>
      <c r="AEO7" s="130"/>
      <c r="AEP7" s="130"/>
      <c r="AEQ7" s="130"/>
      <c r="AER7" s="130"/>
      <c r="AES7" s="130"/>
      <c r="AET7" s="130"/>
      <c r="AEU7" s="130"/>
      <c r="AEV7" s="130"/>
      <c r="AEW7" s="130"/>
    </row>
    <row r="8" spans="1:830" ht="22.5" customHeight="1" x14ac:dyDescent="0.25">
      <c r="A8" s="36"/>
      <c r="B8" s="142" t="s">
        <v>184</v>
      </c>
      <c r="C8" s="160">
        <f>REKAP!$J$6</f>
        <v>0</v>
      </c>
      <c r="D8" s="124">
        <f>REKAP!$J$4</f>
        <v>0</v>
      </c>
      <c r="E8" s="159">
        <f>REKAP!$J$5</f>
        <v>0</v>
      </c>
      <c r="F8" s="36"/>
      <c r="G8" s="138" t="s">
        <v>218</v>
      </c>
      <c r="H8" s="4" t="s">
        <v>220</v>
      </c>
      <c r="I8" s="143"/>
      <c r="J8" s="141">
        <f t="shared" si="0"/>
        <v>0</v>
      </c>
      <c r="K8" s="7"/>
      <c r="L8" s="7"/>
      <c r="M8" s="7"/>
      <c r="N8" s="130"/>
      <c r="O8" s="130"/>
      <c r="P8" s="130"/>
      <c r="Q8" s="130"/>
      <c r="R8" s="130"/>
      <c r="S8" s="130"/>
      <c r="T8" s="130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30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29"/>
      <c r="BD8" s="129"/>
      <c r="BE8" s="129"/>
      <c r="BF8" s="129"/>
      <c r="BG8" s="129"/>
      <c r="BH8" s="129"/>
      <c r="BI8" s="129"/>
      <c r="BJ8" s="129"/>
      <c r="BK8" s="130"/>
      <c r="BL8" s="129"/>
      <c r="BM8" s="129"/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129"/>
      <c r="BY8" s="129"/>
      <c r="BZ8" s="4"/>
      <c r="CA8" s="129"/>
      <c r="CB8" s="129"/>
      <c r="CC8" s="129"/>
      <c r="CD8" s="130"/>
      <c r="CE8" s="129"/>
      <c r="CF8" s="129"/>
      <c r="CG8" s="129"/>
      <c r="CH8" s="129"/>
      <c r="CI8" s="129"/>
      <c r="CJ8" s="129">
        <f>SMP!$F$6</f>
        <v>0</v>
      </c>
      <c r="CK8" s="129">
        <f>SMP!$F$7</f>
        <v>0</v>
      </c>
      <c r="CL8" s="129">
        <f>SMP!$F$8</f>
        <v>0</v>
      </c>
      <c r="CM8" s="129">
        <f>SMP!$F$9</f>
        <v>0</v>
      </c>
      <c r="CN8" s="129">
        <f>SMP!$F$10</f>
        <v>0</v>
      </c>
      <c r="CO8" s="129">
        <f>SMP!$F$11</f>
        <v>0</v>
      </c>
      <c r="CP8" s="129">
        <f>SMP!$F$12</f>
        <v>0</v>
      </c>
      <c r="CQ8" s="129">
        <f>SMP!$F$13</f>
        <v>0</v>
      </c>
      <c r="CR8" s="129">
        <f>SMP!$F$14</f>
        <v>0</v>
      </c>
      <c r="CS8" s="129">
        <f>SMP!$F$15</f>
        <v>0</v>
      </c>
      <c r="CT8" s="129">
        <f>SMP!$F$16</f>
        <v>0</v>
      </c>
      <c r="CU8" s="129">
        <f>SMP!$F$17</f>
        <v>0</v>
      </c>
      <c r="CV8" s="129">
        <f>SMP!$F$18</f>
        <v>0</v>
      </c>
      <c r="CW8" s="129">
        <f>SMP!$F$19</f>
        <v>0</v>
      </c>
      <c r="CX8" s="129">
        <f>SMP!$F$20</f>
        <v>0</v>
      </c>
      <c r="CY8" s="129">
        <f>SMP!$F$21</f>
        <v>0</v>
      </c>
      <c r="CZ8" s="129">
        <f>SMP!$F$22</f>
        <v>0</v>
      </c>
      <c r="DA8" s="129">
        <f>SMP!$F$23</f>
        <v>0</v>
      </c>
      <c r="DB8" s="129">
        <f>SMP!$F$24</f>
        <v>0</v>
      </c>
      <c r="DC8" s="129">
        <f>SMP!$F$25</f>
        <v>0</v>
      </c>
      <c r="DD8" s="129">
        <f>SMP!$F$26</f>
        <v>0</v>
      </c>
      <c r="DE8" s="130">
        <f>SMP!$F$27</f>
        <v>0</v>
      </c>
      <c r="DF8" s="130">
        <f>SMP!$F$28</f>
        <v>0</v>
      </c>
      <c r="DG8" s="130">
        <f>SMP!$F$29</f>
        <v>0</v>
      </c>
      <c r="DH8" s="130">
        <f>SMP!$F$30</f>
        <v>0</v>
      </c>
      <c r="DI8" s="130">
        <f>SMP!$F$31</f>
        <v>0</v>
      </c>
      <c r="DJ8" s="130">
        <f>SMP!$F$32</f>
        <v>0</v>
      </c>
      <c r="DK8" s="130">
        <f>SMP!$F$33</f>
        <v>0</v>
      </c>
      <c r="DL8" s="130">
        <f>SMP!$F$34</f>
        <v>0</v>
      </c>
      <c r="DM8" s="130">
        <f>SMP!$F$35</f>
        <v>0</v>
      </c>
      <c r="DN8" s="130">
        <f>SMP!$F$36</f>
        <v>0</v>
      </c>
      <c r="DO8" s="130">
        <f>SMP!$F$37</f>
        <v>0</v>
      </c>
      <c r="DP8" s="130">
        <f>SMP!$F$38</f>
        <v>0</v>
      </c>
      <c r="DQ8" s="130">
        <f>SMP!$F$45</f>
        <v>0</v>
      </c>
      <c r="DR8" s="130">
        <f>SMP!$F$46</f>
        <v>0</v>
      </c>
      <c r="DS8" s="130">
        <f>SMP!$F$47</f>
        <v>0</v>
      </c>
      <c r="DT8" s="130">
        <f>SMP!$F$48</f>
        <v>0</v>
      </c>
      <c r="DU8" s="130">
        <f>SMP!$F$49</f>
        <v>0</v>
      </c>
      <c r="DV8" s="130">
        <f>SMP!$F$50</f>
        <v>0</v>
      </c>
      <c r="DW8" s="130">
        <f>SMP!$F$54</f>
        <v>0</v>
      </c>
      <c r="DX8" s="130">
        <f>SMP!$F$55</f>
        <v>0</v>
      </c>
      <c r="DY8" s="130">
        <f>SMP!$F$56</f>
        <v>0</v>
      </c>
      <c r="DZ8" s="130">
        <f>SMP!$F$57</f>
        <v>0</v>
      </c>
      <c r="EA8" s="130">
        <f>SMP!$F$58</f>
        <v>0</v>
      </c>
      <c r="EB8" s="130">
        <f>SMP!$F$59</f>
        <v>0</v>
      </c>
      <c r="EC8" s="130">
        <f>SMP!$F$60</f>
        <v>0</v>
      </c>
      <c r="ED8" s="130">
        <f>SMP!$F$61</f>
        <v>0</v>
      </c>
      <c r="EE8" s="130">
        <f>SMP!$F$62</f>
        <v>0</v>
      </c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4"/>
      <c r="HU8" s="4"/>
      <c r="HV8" s="4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36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36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36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36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4"/>
      <c r="ZW8" s="7"/>
      <c r="ZX8" s="7"/>
      <c r="ZY8" s="7"/>
      <c r="ZZ8" s="7"/>
      <c r="AAA8" s="7"/>
      <c r="AAB8" s="7"/>
      <c r="AAC8" s="7"/>
      <c r="AAD8" s="7"/>
      <c r="AAE8" s="7"/>
      <c r="AAF8" s="36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4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144" t="s">
        <v>221</v>
      </c>
    </row>
    <row r="9" spans="1:830" ht="22.5" customHeight="1" x14ac:dyDescent="0.25">
      <c r="A9" s="36"/>
      <c r="B9" s="142" t="s">
        <v>410</v>
      </c>
      <c r="C9" s="160">
        <f>REKAP!$J$6</f>
        <v>0</v>
      </c>
      <c r="D9" s="124">
        <f>REKAP!$J$4</f>
        <v>0</v>
      </c>
      <c r="E9" s="159">
        <f>REKAP!$J$5</f>
        <v>0</v>
      </c>
      <c r="F9" s="36"/>
      <c r="G9" s="138" t="s">
        <v>219</v>
      </c>
      <c r="H9" s="4" t="s">
        <v>193</v>
      </c>
      <c r="I9" s="143"/>
      <c r="J9" s="141">
        <f t="shared" si="0"/>
        <v>0</v>
      </c>
      <c r="K9" s="7"/>
      <c r="L9" s="7"/>
      <c r="M9" s="7"/>
      <c r="N9" s="130">
        <f>ROUND(N55,0)</f>
        <v>0</v>
      </c>
      <c r="O9" s="130">
        <f t="shared" ref="O9:BZ9" si="14">ROUND(O55,0)</f>
        <v>0</v>
      </c>
      <c r="P9" s="130">
        <f t="shared" si="14"/>
        <v>0</v>
      </c>
      <c r="Q9" s="130">
        <f t="shared" si="14"/>
        <v>0</v>
      </c>
      <c r="R9" s="130">
        <f t="shared" si="14"/>
        <v>0</v>
      </c>
      <c r="S9" s="130">
        <f t="shared" si="14"/>
        <v>0</v>
      </c>
      <c r="T9" s="130">
        <f t="shared" si="14"/>
        <v>0</v>
      </c>
      <c r="U9" s="130">
        <f t="shared" si="14"/>
        <v>0</v>
      </c>
      <c r="V9" s="130">
        <f t="shared" si="14"/>
        <v>0</v>
      </c>
      <c r="W9" s="130">
        <f t="shared" si="14"/>
        <v>0</v>
      </c>
      <c r="X9" s="130">
        <f t="shared" si="14"/>
        <v>0</v>
      </c>
      <c r="Y9" s="130">
        <f t="shared" si="14"/>
        <v>0</v>
      </c>
      <c r="Z9" s="130">
        <f t="shared" si="14"/>
        <v>0</v>
      </c>
      <c r="AA9" s="130">
        <f t="shared" si="14"/>
        <v>0</v>
      </c>
      <c r="AB9" s="130">
        <f t="shared" si="14"/>
        <v>0</v>
      </c>
      <c r="AC9" s="130">
        <f t="shared" si="14"/>
        <v>0</v>
      </c>
      <c r="AD9" s="130">
        <f t="shared" si="14"/>
        <v>0</v>
      </c>
      <c r="AE9" s="130">
        <f t="shared" si="14"/>
        <v>0</v>
      </c>
      <c r="AF9" s="130">
        <f t="shared" si="14"/>
        <v>0</v>
      </c>
      <c r="AG9" s="130">
        <f t="shared" si="14"/>
        <v>0</v>
      </c>
      <c r="AH9" s="130">
        <f t="shared" si="14"/>
        <v>0</v>
      </c>
      <c r="AI9" s="130">
        <f t="shared" si="14"/>
        <v>0</v>
      </c>
      <c r="AJ9" s="130">
        <f t="shared" si="14"/>
        <v>0</v>
      </c>
      <c r="AK9" s="130">
        <f t="shared" si="14"/>
        <v>0</v>
      </c>
      <c r="AL9" s="130">
        <f t="shared" si="14"/>
        <v>0</v>
      </c>
      <c r="AM9" s="130">
        <f t="shared" si="14"/>
        <v>0</v>
      </c>
      <c r="AN9" s="130">
        <f t="shared" si="14"/>
        <v>0</v>
      </c>
      <c r="AO9" s="130">
        <f t="shared" si="14"/>
        <v>0</v>
      </c>
      <c r="AP9" s="130">
        <f t="shared" si="14"/>
        <v>0</v>
      </c>
      <c r="AQ9" s="130">
        <f t="shared" si="14"/>
        <v>0</v>
      </c>
      <c r="AR9" s="130">
        <f t="shared" si="14"/>
        <v>0</v>
      </c>
      <c r="AS9" s="130">
        <f t="shared" si="14"/>
        <v>0</v>
      </c>
      <c r="AT9" s="130">
        <f t="shared" si="14"/>
        <v>0</v>
      </c>
      <c r="AU9" s="130">
        <f t="shared" si="14"/>
        <v>0</v>
      </c>
      <c r="AV9" s="130">
        <f t="shared" si="14"/>
        <v>0</v>
      </c>
      <c r="AW9" s="130">
        <f t="shared" si="14"/>
        <v>0</v>
      </c>
      <c r="AX9" s="130">
        <f t="shared" si="14"/>
        <v>0</v>
      </c>
      <c r="AY9" s="130">
        <f t="shared" si="14"/>
        <v>0</v>
      </c>
      <c r="AZ9" s="130">
        <f t="shared" si="14"/>
        <v>0</v>
      </c>
      <c r="BA9" s="130">
        <f t="shared" si="14"/>
        <v>0</v>
      </c>
      <c r="BB9" s="130">
        <f t="shared" si="14"/>
        <v>0</v>
      </c>
      <c r="BC9" s="130">
        <f t="shared" si="14"/>
        <v>0</v>
      </c>
      <c r="BD9" s="130">
        <f t="shared" si="14"/>
        <v>0</v>
      </c>
      <c r="BE9" s="130">
        <f t="shared" si="14"/>
        <v>0</v>
      </c>
      <c r="BF9" s="130">
        <f t="shared" si="14"/>
        <v>0</v>
      </c>
      <c r="BG9" s="130">
        <f t="shared" si="14"/>
        <v>0</v>
      </c>
      <c r="BH9" s="130">
        <f t="shared" si="14"/>
        <v>0</v>
      </c>
      <c r="BI9" s="130">
        <f t="shared" si="14"/>
        <v>0</v>
      </c>
      <c r="BJ9" s="130">
        <f t="shared" si="14"/>
        <v>0</v>
      </c>
      <c r="BK9" s="130">
        <f t="shared" si="14"/>
        <v>0</v>
      </c>
      <c r="BL9" s="130">
        <f t="shared" si="14"/>
        <v>0</v>
      </c>
      <c r="BM9" s="130">
        <f t="shared" si="14"/>
        <v>0</v>
      </c>
      <c r="BN9" s="130">
        <f t="shared" si="14"/>
        <v>0</v>
      </c>
      <c r="BO9" s="130">
        <f t="shared" si="14"/>
        <v>0</v>
      </c>
      <c r="BP9" s="130">
        <f t="shared" si="14"/>
        <v>0</v>
      </c>
      <c r="BQ9" s="130">
        <f t="shared" si="14"/>
        <v>0</v>
      </c>
      <c r="BR9" s="130">
        <f t="shared" si="14"/>
        <v>0</v>
      </c>
      <c r="BS9" s="130">
        <f t="shared" si="14"/>
        <v>0</v>
      </c>
      <c r="BT9" s="130">
        <f t="shared" si="14"/>
        <v>0</v>
      </c>
      <c r="BU9" s="130">
        <f t="shared" si="14"/>
        <v>0</v>
      </c>
      <c r="BV9" s="130">
        <f t="shared" si="14"/>
        <v>0</v>
      </c>
      <c r="BW9" s="130">
        <f t="shared" si="14"/>
        <v>0</v>
      </c>
      <c r="BX9" s="130">
        <f t="shared" si="14"/>
        <v>0</v>
      </c>
      <c r="BY9" s="130">
        <f t="shared" si="14"/>
        <v>0</v>
      </c>
      <c r="BZ9" s="130">
        <f t="shared" si="14"/>
        <v>0</v>
      </c>
      <c r="CA9" s="130">
        <f t="shared" ref="CA9:EL9" si="15">ROUND(CA55,0)</f>
        <v>0</v>
      </c>
      <c r="CB9" s="130">
        <f t="shared" si="15"/>
        <v>0</v>
      </c>
      <c r="CC9" s="130">
        <f t="shared" si="15"/>
        <v>0</v>
      </c>
      <c r="CD9" s="130">
        <f t="shared" si="15"/>
        <v>0</v>
      </c>
      <c r="CE9" s="130">
        <f t="shared" si="15"/>
        <v>0</v>
      </c>
      <c r="CF9" s="130">
        <f t="shared" si="15"/>
        <v>0</v>
      </c>
      <c r="CG9" s="130">
        <f t="shared" si="15"/>
        <v>0</v>
      </c>
      <c r="CH9" s="130">
        <f t="shared" si="15"/>
        <v>0</v>
      </c>
      <c r="CI9" s="130">
        <f t="shared" si="15"/>
        <v>0</v>
      </c>
      <c r="CJ9" s="130">
        <f t="shared" si="15"/>
        <v>0</v>
      </c>
      <c r="CK9" s="130">
        <f t="shared" si="15"/>
        <v>0</v>
      </c>
      <c r="CL9" s="130">
        <f t="shared" si="15"/>
        <v>0</v>
      </c>
      <c r="CM9" s="130">
        <f t="shared" si="15"/>
        <v>0</v>
      </c>
      <c r="CN9" s="130">
        <f t="shared" si="15"/>
        <v>0</v>
      </c>
      <c r="CO9" s="130">
        <f t="shared" si="15"/>
        <v>0</v>
      </c>
      <c r="CP9" s="130">
        <f t="shared" si="15"/>
        <v>0</v>
      </c>
      <c r="CQ9" s="130">
        <f t="shared" si="15"/>
        <v>0</v>
      </c>
      <c r="CR9" s="130">
        <f t="shared" si="15"/>
        <v>0</v>
      </c>
      <c r="CS9" s="130">
        <f t="shared" si="15"/>
        <v>0</v>
      </c>
      <c r="CT9" s="130">
        <f t="shared" si="15"/>
        <v>0</v>
      </c>
      <c r="CU9" s="130">
        <f t="shared" si="15"/>
        <v>0</v>
      </c>
      <c r="CV9" s="130">
        <f t="shared" si="15"/>
        <v>0</v>
      </c>
      <c r="CW9" s="130">
        <f t="shared" si="15"/>
        <v>0</v>
      </c>
      <c r="CX9" s="130">
        <f t="shared" si="15"/>
        <v>0</v>
      </c>
      <c r="CY9" s="130">
        <f t="shared" si="15"/>
        <v>0</v>
      </c>
      <c r="CZ9" s="130">
        <f t="shared" si="15"/>
        <v>0</v>
      </c>
      <c r="DA9" s="130">
        <f t="shared" si="15"/>
        <v>0</v>
      </c>
      <c r="DB9" s="130">
        <f t="shared" si="15"/>
        <v>0</v>
      </c>
      <c r="DC9" s="130">
        <f t="shared" si="15"/>
        <v>0</v>
      </c>
      <c r="DD9" s="130">
        <f t="shared" si="15"/>
        <v>0</v>
      </c>
      <c r="DE9" s="130">
        <f t="shared" si="15"/>
        <v>0</v>
      </c>
      <c r="DF9" s="130">
        <f t="shared" si="15"/>
        <v>0</v>
      </c>
      <c r="DG9" s="130">
        <f t="shared" si="15"/>
        <v>0</v>
      </c>
      <c r="DH9" s="130">
        <f t="shared" si="15"/>
        <v>0</v>
      </c>
      <c r="DI9" s="130">
        <f t="shared" si="15"/>
        <v>0</v>
      </c>
      <c r="DJ9" s="130">
        <f t="shared" si="15"/>
        <v>0</v>
      </c>
      <c r="DK9" s="130">
        <f t="shared" si="15"/>
        <v>0</v>
      </c>
      <c r="DL9" s="130">
        <f t="shared" si="15"/>
        <v>0</v>
      </c>
      <c r="DM9" s="130">
        <f t="shared" si="15"/>
        <v>0</v>
      </c>
      <c r="DN9" s="130">
        <f t="shared" si="15"/>
        <v>0</v>
      </c>
      <c r="DO9" s="130">
        <f t="shared" si="15"/>
        <v>0</v>
      </c>
      <c r="DP9" s="130">
        <f t="shared" si="15"/>
        <v>0</v>
      </c>
      <c r="DQ9" s="130">
        <f t="shared" si="15"/>
        <v>0</v>
      </c>
      <c r="DR9" s="130">
        <f t="shared" si="15"/>
        <v>0</v>
      </c>
      <c r="DS9" s="130">
        <f t="shared" si="15"/>
        <v>0</v>
      </c>
      <c r="DT9" s="130">
        <f t="shared" si="15"/>
        <v>0</v>
      </c>
      <c r="DU9" s="130">
        <f t="shared" si="15"/>
        <v>0</v>
      </c>
      <c r="DV9" s="130">
        <f t="shared" si="15"/>
        <v>0</v>
      </c>
      <c r="DW9" s="130">
        <f t="shared" si="15"/>
        <v>0</v>
      </c>
      <c r="DX9" s="130">
        <f t="shared" si="15"/>
        <v>0</v>
      </c>
      <c r="DY9" s="130">
        <f t="shared" si="15"/>
        <v>0</v>
      </c>
      <c r="DZ9" s="130">
        <f t="shared" si="15"/>
        <v>0</v>
      </c>
      <c r="EA9" s="130">
        <f t="shared" si="15"/>
        <v>0</v>
      </c>
      <c r="EB9" s="130">
        <f t="shared" si="15"/>
        <v>0</v>
      </c>
      <c r="EC9" s="130">
        <f t="shared" si="15"/>
        <v>0</v>
      </c>
      <c r="ED9" s="130">
        <f t="shared" si="15"/>
        <v>0</v>
      </c>
      <c r="EE9" s="130">
        <f t="shared" si="15"/>
        <v>0</v>
      </c>
      <c r="EF9" s="130">
        <f t="shared" si="15"/>
        <v>0</v>
      </c>
      <c r="EG9" s="130">
        <f t="shared" si="15"/>
        <v>0</v>
      </c>
      <c r="EH9" s="130">
        <f t="shared" si="15"/>
        <v>0</v>
      </c>
      <c r="EI9" s="130">
        <f t="shared" si="15"/>
        <v>0</v>
      </c>
      <c r="EJ9" s="130">
        <f t="shared" si="15"/>
        <v>0</v>
      </c>
      <c r="EK9" s="130">
        <f t="shared" si="15"/>
        <v>0</v>
      </c>
      <c r="EL9" s="130">
        <f t="shared" si="15"/>
        <v>0</v>
      </c>
      <c r="EM9" s="130">
        <f t="shared" ref="EM9:GX9" si="16">ROUND(EM55,0)</f>
        <v>0</v>
      </c>
      <c r="EN9" s="130">
        <f t="shared" si="16"/>
        <v>0</v>
      </c>
      <c r="EO9" s="130">
        <f t="shared" si="16"/>
        <v>0</v>
      </c>
      <c r="EP9" s="130">
        <f t="shared" si="16"/>
        <v>0</v>
      </c>
      <c r="EQ9" s="130">
        <f t="shared" si="16"/>
        <v>0</v>
      </c>
      <c r="ER9" s="130">
        <f t="shared" si="16"/>
        <v>0</v>
      </c>
      <c r="ES9" s="130">
        <f t="shared" si="16"/>
        <v>0</v>
      </c>
      <c r="ET9" s="130">
        <f t="shared" si="16"/>
        <v>0</v>
      </c>
      <c r="EU9" s="130">
        <f t="shared" si="16"/>
        <v>0</v>
      </c>
      <c r="EV9" s="130">
        <f t="shared" si="16"/>
        <v>0</v>
      </c>
      <c r="EW9" s="130">
        <f t="shared" si="16"/>
        <v>0</v>
      </c>
      <c r="EX9" s="130">
        <f t="shared" si="16"/>
        <v>0</v>
      </c>
      <c r="EY9" s="130">
        <f t="shared" si="16"/>
        <v>0</v>
      </c>
      <c r="EZ9" s="130">
        <f t="shared" si="16"/>
        <v>0</v>
      </c>
      <c r="FA9" s="130">
        <f t="shared" si="16"/>
        <v>0</v>
      </c>
      <c r="FB9" s="130">
        <f t="shared" si="16"/>
        <v>0</v>
      </c>
      <c r="FC9" s="130">
        <f t="shared" si="16"/>
        <v>0</v>
      </c>
      <c r="FD9" s="130">
        <f t="shared" si="16"/>
        <v>0</v>
      </c>
      <c r="FE9" s="130">
        <f t="shared" si="16"/>
        <v>0</v>
      </c>
      <c r="FF9" s="130">
        <f t="shared" si="16"/>
        <v>0</v>
      </c>
      <c r="FG9" s="130">
        <f t="shared" si="16"/>
        <v>0</v>
      </c>
      <c r="FH9" s="130">
        <f t="shared" si="16"/>
        <v>0</v>
      </c>
      <c r="FI9" s="130">
        <f t="shared" si="16"/>
        <v>0</v>
      </c>
      <c r="FJ9" s="130">
        <f t="shared" si="16"/>
        <v>0</v>
      </c>
      <c r="FK9" s="130">
        <f t="shared" si="16"/>
        <v>0</v>
      </c>
      <c r="FL9" s="130">
        <f t="shared" si="16"/>
        <v>0</v>
      </c>
      <c r="FM9" s="130">
        <f t="shared" si="16"/>
        <v>0</v>
      </c>
      <c r="FN9" s="130">
        <f t="shared" si="16"/>
        <v>0</v>
      </c>
      <c r="FO9" s="130">
        <f t="shared" si="16"/>
        <v>0</v>
      </c>
      <c r="FP9" s="130">
        <f t="shared" si="16"/>
        <v>0</v>
      </c>
      <c r="FQ9" s="130">
        <f t="shared" si="16"/>
        <v>0</v>
      </c>
      <c r="FR9" s="130">
        <f t="shared" si="16"/>
        <v>0</v>
      </c>
      <c r="FS9" s="130">
        <f t="shared" si="16"/>
        <v>0</v>
      </c>
      <c r="FT9" s="130">
        <f t="shared" si="16"/>
        <v>0</v>
      </c>
      <c r="FU9" s="130">
        <f t="shared" si="16"/>
        <v>0</v>
      </c>
      <c r="FV9" s="130">
        <f t="shared" si="16"/>
        <v>0</v>
      </c>
      <c r="FW9" s="130">
        <f t="shared" si="16"/>
        <v>0</v>
      </c>
      <c r="FX9" s="130">
        <f t="shared" si="16"/>
        <v>0</v>
      </c>
      <c r="FY9" s="130">
        <f t="shared" si="16"/>
        <v>0</v>
      </c>
      <c r="FZ9" s="130">
        <f t="shared" si="16"/>
        <v>0</v>
      </c>
      <c r="GA9" s="130">
        <f t="shared" si="16"/>
        <v>0</v>
      </c>
      <c r="GB9" s="130">
        <f t="shared" si="16"/>
        <v>0</v>
      </c>
      <c r="GC9" s="130">
        <f t="shared" si="16"/>
        <v>0</v>
      </c>
      <c r="GD9" s="130">
        <f t="shared" si="16"/>
        <v>0</v>
      </c>
      <c r="GE9" s="130">
        <f t="shared" si="16"/>
        <v>0</v>
      </c>
      <c r="GF9" s="130">
        <f t="shared" si="16"/>
        <v>0</v>
      </c>
      <c r="GG9" s="130">
        <f t="shared" si="16"/>
        <v>0</v>
      </c>
      <c r="GH9" s="130">
        <f t="shared" si="16"/>
        <v>0</v>
      </c>
      <c r="GI9" s="130">
        <f t="shared" si="16"/>
        <v>0</v>
      </c>
      <c r="GJ9" s="130">
        <f t="shared" si="16"/>
        <v>0</v>
      </c>
      <c r="GK9" s="130">
        <f t="shared" si="16"/>
        <v>0</v>
      </c>
      <c r="GL9" s="130">
        <f t="shared" si="16"/>
        <v>0</v>
      </c>
      <c r="GM9" s="130">
        <f t="shared" si="16"/>
        <v>0</v>
      </c>
      <c r="GN9" s="130">
        <f t="shared" si="16"/>
        <v>0</v>
      </c>
      <c r="GO9" s="130">
        <f t="shared" si="16"/>
        <v>0</v>
      </c>
      <c r="GP9" s="130">
        <f t="shared" si="16"/>
        <v>0</v>
      </c>
      <c r="GQ9" s="130">
        <f t="shared" si="16"/>
        <v>0</v>
      </c>
      <c r="GR9" s="130">
        <f t="shared" si="16"/>
        <v>0</v>
      </c>
      <c r="GS9" s="130">
        <f t="shared" si="16"/>
        <v>0</v>
      </c>
      <c r="GT9" s="130">
        <f t="shared" si="16"/>
        <v>0</v>
      </c>
      <c r="GU9" s="130">
        <f t="shared" si="16"/>
        <v>0</v>
      </c>
      <c r="GV9" s="130">
        <f t="shared" si="16"/>
        <v>0</v>
      </c>
      <c r="GW9" s="130">
        <f t="shared" si="16"/>
        <v>0</v>
      </c>
      <c r="GX9" s="130">
        <f t="shared" si="16"/>
        <v>0</v>
      </c>
      <c r="GY9" s="130">
        <f t="shared" ref="GY9:JJ9" si="17">ROUND(GY55,0)</f>
        <v>0</v>
      </c>
      <c r="GZ9" s="130">
        <f t="shared" si="17"/>
        <v>0</v>
      </c>
      <c r="HA9" s="130">
        <f t="shared" si="17"/>
        <v>0</v>
      </c>
      <c r="HB9" s="130">
        <f t="shared" si="17"/>
        <v>0</v>
      </c>
      <c r="HC9" s="130">
        <f t="shared" si="17"/>
        <v>0</v>
      </c>
      <c r="HD9" s="130">
        <f t="shared" si="17"/>
        <v>0</v>
      </c>
      <c r="HE9" s="130">
        <f t="shared" si="17"/>
        <v>0</v>
      </c>
      <c r="HF9" s="130">
        <f t="shared" si="17"/>
        <v>0</v>
      </c>
      <c r="HG9" s="130">
        <f t="shared" si="17"/>
        <v>0</v>
      </c>
      <c r="HH9" s="130">
        <f t="shared" si="17"/>
        <v>0</v>
      </c>
      <c r="HI9" s="130">
        <f t="shared" si="17"/>
        <v>0</v>
      </c>
      <c r="HJ9" s="130">
        <f t="shared" si="17"/>
        <v>0</v>
      </c>
      <c r="HK9" s="130">
        <f t="shared" si="17"/>
        <v>0</v>
      </c>
      <c r="HL9" s="130">
        <f t="shared" si="17"/>
        <v>0</v>
      </c>
      <c r="HM9" s="130">
        <f t="shared" si="17"/>
        <v>0</v>
      </c>
      <c r="HN9" s="130">
        <f t="shared" si="17"/>
        <v>0</v>
      </c>
      <c r="HO9" s="130">
        <f t="shared" si="17"/>
        <v>0</v>
      </c>
      <c r="HP9" s="130">
        <f t="shared" si="17"/>
        <v>0</v>
      </c>
      <c r="HQ9" s="130">
        <f t="shared" si="17"/>
        <v>0</v>
      </c>
      <c r="HR9" s="130">
        <f t="shared" si="17"/>
        <v>0</v>
      </c>
      <c r="HS9" s="130">
        <f t="shared" si="17"/>
        <v>0</v>
      </c>
      <c r="HT9" s="130">
        <f t="shared" si="17"/>
        <v>0</v>
      </c>
      <c r="HU9" s="130">
        <f t="shared" si="17"/>
        <v>0</v>
      </c>
      <c r="HV9" s="130">
        <f t="shared" si="17"/>
        <v>0</v>
      </c>
      <c r="HW9" s="130">
        <f t="shared" si="17"/>
        <v>0</v>
      </c>
      <c r="HX9" s="130">
        <f t="shared" si="17"/>
        <v>0</v>
      </c>
      <c r="HY9" s="130">
        <f t="shared" si="17"/>
        <v>0</v>
      </c>
      <c r="HZ9" s="130">
        <f t="shared" si="17"/>
        <v>0</v>
      </c>
      <c r="IA9" s="130">
        <f t="shared" si="17"/>
        <v>0</v>
      </c>
      <c r="IB9" s="130">
        <f t="shared" si="17"/>
        <v>0</v>
      </c>
      <c r="IC9" s="130">
        <f t="shared" si="17"/>
        <v>0</v>
      </c>
      <c r="ID9" s="130">
        <f t="shared" si="17"/>
        <v>0</v>
      </c>
      <c r="IE9" s="130">
        <f t="shared" si="17"/>
        <v>0</v>
      </c>
      <c r="IF9" s="130">
        <f t="shared" si="17"/>
        <v>0</v>
      </c>
      <c r="IG9" s="130">
        <f t="shared" si="17"/>
        <v>0</v>
      </c>
      <c r="IH9" s="130">
        <f t="shared" si="17"/>
        <v>0</v>
      </c>
      <c r="II9" s="130">
        <f t="shared" si="17"/>
        <v>0</v>
      </c>
      <c r="IJ9" s="130">
        <f t="shared" si="17"/>
        <v>0</v>
      </c>
      <c r="IK9" s="130">
        <f t="shared" si="17"/>
        <v>0</v>
      </c>
      <c r="IL9" s="130">
        <f t="shared" si="17"/>
        <v>0</v>
      </c>
      <c r="IM9" s="130">
        <f t="shared" si="17"/>
        <v>0</v>
      </c>
      <c r="IN9" s="130">
        <f t="shared" si="17"/>
        <v>0</v>
      </c>
      <c r="IO9" s="130">
        <f t="shared" si="17"/>
        <v>0</v>
      </c>
      <c r="IP9" s="130">
        <f t="shared" si="17"/>
        <v>0</v>
      </c>
      <c r="IQ9" s="130">
        <f t="shared" si="17"/>
        <v>0</v>
      </c>
      <c r="IR9" s="130">
        <f t="shared" si="17"/>
        <v>0</v>
      </c>
      <c r="IS9" s="130">
        <f t="shared" si="17"/>
        <v>0</v>
      </c>
      <c r="IT9" s="130">
        <f t="shared" si="17"/>
        <v>0</v>
      </c>
      <c r="IU9" s="130">
        <f t="shared" si="17"/>
        <v>0</v>
      </c>
      <c r="IV9" s="130">
        <f t="shared" si="17"/>
        <v>0</v>
      </c>
      <c r="IW9" s="130">
        <f t="shared" si="17"/>
        <v>0</v>
      </c>
      <c r="IX9" s="130">
        <f t="shared" si="17"/>
        <v>0</v>
      </c>
      <c r="IY9" s="130">
        <f t="shared" si="17"/>
        <v>0</v>
      </c>
      <c r="IZ9" s="130">
        <f t="shared" si="17"/>
        <v>0</v>
      </c>
      <c r="JA9" s="130">
        <f t="shared" si="17"/>
        <v>0</v>
      </c>
      <c r="JB9" s="130">
        <f t="shared" si="17"/>
        <v>0</v>
      </c>
      <c r="JC9" s="130">
        <f t="shared" si="17"/>
        <v>0</v>
      </c>
      <c r="JD9" s="130">
        <f t="shared" si="17"/>
        <v>0</v>
      </c>
      <c r="JE9" s="130">
        <f t="shared" si="17"/>
        <v>0</v>
      </c>
      <c r="JF9" s="130">
        <f t="shared" si="17"/>
        <v>0</v>
      </c>
      <c r="JG9" s="130">
        <f t="shared" si="17"/>
        <v>0</v>
      </c>
      <c r="JH9" s="130">
        <f t="shared" si="17"/>
        <v>0</v>
      </c>
      <c r="JI9" s="130">
        <f t="shared" si="17"/>
        <v>0</v>
      </c>
      <c r="JJ9" s="130">
        <f t="shared" si="17"/>
        <v>0</v>
      </c>
      <c r="JK9" s="130">
        <f t="shared" ref="JK9:LV9" si="18">ROUND(JK55,0)</f>
        <v>0</v>
      </c>
      <c r="JL9" s="130">
        <f t="shared" si="18"/>
        <v>0</v>
      </c>
      <c r="JM9" s="130">
        <f t="shared" si="18"/>
        <v>0</v>
      </c>
      <c r="JN9" s="130">
        <f t="shared" si="18"/>
        <v>0</v>
      </c>
      <c r="JO9" s="130">
        <f t="shared" si="18"/>
        <v>0</v>
      </c>
      <c r="JP9" s="130">
        <f t="shared" si="18"/>
        <v>0</v>
      </c>
      <c r="JQ9" s="130">
        <f t="shared" si="18"/>
        <v>0</v>
      </c>
      <c r="JR9" s="130">
        <f t="shared" si="18"/>
        <v>0</v>
      </c>
      <c r="JS9" s="130">
        <f t="shared" si="18"/>
        <v>0</v>
      </c>
      <c r="JT9" s="130">
        <f t="shared" si="18"/>
        <v>0</v>
      </c>
      <c r="JU9" s="130">
        <f t="shared" si="18"/>
        <v>0</v>
      </c>
      <c r="JV9" s="130">
        <f t="shared" si="18"/>
        <v>0</v>
      </c>
      <c r="JW9" s="130">
        <f t="shared" si="18"/>
        <v>0</v>
      </c>
      <c r="JX9" s="130">
        <f t="shared" si="18"/>
        <v>0</v>
      </c>
      <c r="JY9" s="130">
        <f t="shared" si="18"/>
        <v>0</v>
      </c>
      <c r="JZ9" s="130">
        <f t="shared" si="18"/>
        <v>0</v>
      </c>
      <c r="KA9" s="130">
        <f t="shared" si="18"/>
        <v>0</v>
      </c>
      <c r="KB9" s="130">
        <f t="shared" si="18"/>
        <v>0</v>
      </c>
      <c r="KC9" s="130">
        <f t="shared" si="18"/>
        <v>0</v>
      </c>
      <c r="KD9" s="130">
        <f t="shared" si="18"/>
        <v>0</v>
      </c>
      <c r="KE9" s="130">
        <f t="shared" si="18"/>
        <v>0</v>
      </c>
      <c r="KF9" s="130">
        <f t="shared" si="18"/>
        <v>0</v>
      </c>
      <c r="KG9" s="130">
        <f t="shared" si="18"/>
        <v>0</v>
      </c>
      <c r="KH9" s="130">
        <f t="shared" si="18"/>
        <v>0</v>
      </c>
      <c r="KI9" s="130">
        <f t="shared" si="18"/>
        <v>0</v>
      </c>
      <c r="KJ9" s="130">
        <f t="shared" si="18"/>
        <v>0</v>
      </c>
      <c r="KK9" s="130">
        <f t="shared" si="18"/>
        <v>0</v>
      </c>
      <c r="KL9" s="130">
        <f t="shared" si="18"/>
        <v>0</v>
      </c>
      <c r="KM9" s="130">
        <f t="shared" si="18"/>
        <v>0</v>
      </c>
      <c r="KN9" s="130">
        <f t="shared" si="18"/>
        <v>0</v>
      </c>
      <c r="KO9" s="130">
        <f t="shared" si="18"/>
        <v>0</v>
      </c>
      <c r="KP9" s="130">
        <f t="shared" si="18"/>
        <v>0</v>
      </c>
      <c r="KQ9" s="130">
        <f t="shared" si="18"/>
        <v>0</v>
      </c>
      <c r="KR9" s="130">
        <f t="shared" si="18"/>
        <v>0</v>
      </c>
      <c r="KS9" s="130">
        <f t="shared" si="18"/>
        <v>0</v>
      </c>
      <c r="KT9" s="130">
        <f t="shared" si="18"/>
        <v>0</v>
      </c>
      <c r="KU9" s="130">
        <f t="shared" si="18"/>
        <v>0</v>
      </c>
      <c r="KV9" s="130">
        <f t="shared" si="18"/>
        <v>0</v>
      </c>
      <c r="KW9" s="130">
        <f t="shared" si="18"/>
        <v>0</v>
      </c>
      <c r="KX9" s="130">
        <f t="shared" si="18"/>
        <v>0</v>
      </c>
      <c r="KY9" s="130">
        <f t="shared" si="18"/>
        <v>0</v>
      </c>
      <c r="KZ9" s="130">
        <f t="shared" si="18"/>
        <v>0</v>
      </c>
      <c r="LA9" s="130">
        <f t="shared" si="18"/>
        <v>0</v>
      </c>
      <c r="LB9" s="130">
        <f t="shared" si="18"/>
        <v>0</v>
      </c>
      <c r="LC9" s="130">
        <f t="shared" si="18"/>
        <v>0</v>
      </c>
      <c r="LD9" s="130">
        <f t="shared" si="18"/>
        <v>0</v>
      </c>
      <c r="LE9" s="130">
        <f t="shared" si="18"/>
        <v>0</v>
      </c>
      <c r="LF9" s="130">
        <f t="shared" si="18"/>
        <v>0</v>
      </c>
      <c r="LG9" s="130">
        <f t="shared" si="18"/>
        <v>0</v>
      </c>
      <c r="LH9" s="130">
        <f t="shared" si="18"/>
        <v>0</v>
      </c>
      <c r="LI9" s="130">
        <f t="shared" si="18"/>
        <v>0</v>
      </c>
      <c r="LJ9" s="130">
        <f t="shared" si="18"/>
        <v>0</v>
      </c>
      <c r="LK9" s="130">
        <f t="shared" si="18"/>
        <v>0</v>
      </c>
      <c r="LL9" s="130">
        <f t="shared" si="18"/>
        <v>0</v>
      </c>
      <c r="LM9" s="130">
        <f t="shared" si="18"/>
        <v>0</v>
      </c>
      <c r="LN9" s="130">
        <f t="shared" si="18"/>
        <v>0</v>
      </c>
      <c r="LO9" s="130">
        <f t="shared" si="18"/>
        <v>0</v>
      </c>
      <c r="LP9" s="130">
        <f t="shared" si="18"/>
        <v>0</v>
      </c>
      <c r="LQ9" s="130">
        <f t="shared" si="18"/>
        <v>0</v>
      </c>
      <c r="LR9" s="130">
        <f t="shared" si="18"/>
        <v>0</v>
      </c>
      <c r="LS9" s="130">
        <f t="shared" si="18"/>
        <v>0</v>
      </c>
      <c r="LT9" s="130">
        <f t="shared" si="18"/>
        <v>0</v>
      </c>
      <c r="LU9" s="130">
        <f t="shared" si="18"/>
        <v>0</v>
      </c>
      <c r="LV9" s="130">
        <f t="shared" si="18"/>
        <v>0</v>
      </c>
      <c r="LW9" s="130">
        <f t="shared" ref="LW9:OH9" si="19">ROUND(LW55,0)</f>
        <v>0</v>
      </c>
      <c r="LX9" s="130">
        <f t="shared" si="19"/>
        <v>0</v>
      </c>
      <c r="LY9" s="130">
        <f t="shared" si="19"/>
        <v>0</v>
      </c>
      <c r="LZ9" s="130">
        <f t="shared" si="19"/>
        <v>0</v>
      </c>
      <c r="MA9" s="130">
        <f t="shared" si="19"/>
        <v>0</v>
      </c>
      <c r="MB9" s="130">
        <f t="shared" si="19"/>
        <v>0</v>
      </c>
      <c r="MC9" s="130">
        <f t="shared" si="19"/>
        <v>0</v>
      </c>
      <c r="MD9" s="130">
        <f t="shared" si="19"/>
        <v>0</v>
      </c>
      <c r="ME9" s="130">
        <f t="shared" si="19"/>
        <v>0</v>
      </c>
      <c r="MF9" s="130">
        <f t="shared" si="19"/>
        <v>0</v>
      </c>
      <c r="MG9" s="130">
        <f t="shared" si="19"/>
        <v>0</v>
      </c>
      <c r="MH9" s="130">
        <f t="shared" si="19"/>
        <v>0</v>
      </c>
      <c r="MI9" s="130">
        <f t="shared" si="19"/>
        <v>0</v>
      </c>
      <c r="MJ9" s="130">
        <f t="shared" si="19"/>
        <v>0</v>
      </c>
      <c r="MK9" s="130">
        <f t="shared" si="19"/>
        <v>0</v>
      </c>
      <c r="ML9" s="130">
        <f t="shared" si="19"/>
        <v>0</v>
      </c>
      <c r="MM9" s="130">
        <f t="shared" si="19"/>
        <v>0</v>
      </c>
      <c r="MN9" s="130">
        <f t="shared" si="19"/>
        <v>0</v>
      </c>
      <c r="MO9" s="130">
        <f t="shared" si="19"/>
        <v>0</v>
      </c>
      <c r="MP9" s="130">
        <f t="shared" si="19"/>
        <v>0</v>
      </c>
      <c r="MQ9" s="130">
        <f t="shared" si="19"/>
        <v>0</v>
      </c>
      <c r="MR9" s="130">
        <f t="shared" si="19"/>
        <v>0</v>
      </c>
      <c r="MS9" s="130">
        <f t="shared" si="19"/>
        <v>0</v>
      </c>
      <c r="MT9" s="130">
        <f t="shared" si="19"/>
        <v>0</v>
      </c>
      <c r="MU9" s="130">
        <f t="shared" si="19"/>
        <v>0</v>
      </c>
      <c r="MV9" s="130">
        <f t="shared" si="19"/>
        <v>0</v>
      </c>
      <c r="MW9" s="130">
        <f t="shared" si="19"/>
        <v>0</v>
      </c>
      <c r="MX9" s="130">
        <f t="shared" si="19"/>
        <v>0</v>
      </c>
      <c r="MY9" s="130">
        <f t="shared" si="19"/>
        <v>0</v>
      </c>
      <c r="MZ9" s="130">
        <f t="shared" si="19"/>
        <v>0</v>
      </c>
      <c r="NA9" s="130">
        <f t="shared" si="19"/>
        <v>0</v>
      </c>
      <c r="NB9" s="130">
        <f t="shared" si="19"/>
        <v>0</v>
      </c>
      <c r="NC9" s="130">
        <f t="shared" si="19"/>
        <v>0</v>
      </c>
      <c r="ND9" s="130">
        <f t="shared" si="19"/>
        <v>0</v>
      </c>
      <c r="NE9" s="130">
        <f t="shared" si="19"/>
        <v>0</v>
      </c>
      <c r="NF9" s="130">
        <f t="shared" si="19"/>
        <v>0</v>
      </c>
      <c r="NG9" s="130">
        <f t="shared" si="19"/>
        <v>0</v>
      </c>
      <c r="NH9" s="130">
        <f t="shared" si="19"/>
        <v>0</v>
      </c>
      <c r="NI9" s="130">
        <f t="shared" si="19"/>
        <v>0</v>
      </c>
      <c r="NJ9" s="130">
        <f t="shared" si="19"/>
        <v>0</v>
      </c>
      <c r="NK9" s="130">
        <f t="shared" si="19"/>
        <v>0</v>
      </c>
      <c r="NL9" s="130">
        <f t="shared" si="19"/>
        <v>0</v>
      </c>
      <c r="NM9" s="130">
        <f t="shared" si="19"/>
        <v>0</v>
      </c>
      <c r="NN9" s="130">
        <f t="shared" si="19"/>
        <v>0</v>
      </c>
      <c r="NO9" s="130">
        <f t="shared" si="19"/>
        <v>0</v>
      </c>
      <c r="NP9" s="130">
        <f t="shared" si="19"/>
        <v>0</v>
      </c>
      <c r="NQ9" s="130">
        <f t="shared" si="19"/>
        <v>0</v>
      </c>
      <c r="NR9" s="130">
        <f t="shared" si="19"/>
        <v>0</v>
      </c>
      <c r="NS9" s="130">
        <f t="shared" si="19"/>
        <v>0</v>
      </c>
      <c r="NT9" s="130">
        <f t="shared" si="19"/>
        <v>0</v>
      </c>
      <c r="NU9" s="130">
        <f t="shared" si="19"/>
        <v>0</v>
      </c>
      <c r="NV9" s="130">
        <f t="shared" si="19"/>
        <v>0</v>
      </c>
      <c r="NW9" s="130">
        <f t="shared" si="19"/>
        <v>0</v>
      </c>
      <c r="NX9" s="130">
        <f t="shared" si="19"/>
        <v>0</v>
      </c>
      <c r="NY9" s="130">
        <f t="shared" si="19"/>
        <v>0</v>
      </c>
      <c r="NZ9" s="130">
        <f t="shared" si="19"/>
        <v>0</v>
      </c>
      <c r="OA9" s="130">
        <f t="shared" si="19"/>
        <v>0</v>
      </c>
      <c r="OB9" s="130">
        <f t="shared" si="19"/>
        <v>0</v>
      </c>
      <c r="OC9" s="130">
        <f t="shared" si="19"/>
        <v>0</v>
      </c>
      <c r="OD9" s="130">
        <f t="shared" si="19"/>
        <v>0</v>
      </c>
      <c r="OE9" s="130">
        <f t="shared" si="19"/>
        <v>0</v>
      </c>
      <c r="OF9" s="130">
        <f t="shared" si="19"/>
        <v>0</v>
      </c>
      <c r="OG9" s="130">
        <f t="shared" si="19"/>
        <v>0</v>
      </c>
      <c r="OH9" s="130">
        <f t="shared" si="19"/>
        <v>0</v>
      </c>
      <c r="OI9" s="130">
        <f t="shared" ref="OI9:QT9" si="20">ROUND(OI55,0)</f>
        <v>0</v>
      </c>
      <c r="OJ9" s="130">
        <f t="shared" si="20"/>
        <v>0</v>
      </c>
      <c r="OK9" s="130">
        <f t="shared" si="20"/>
        <v>0</v>
      </c>
      <c r="OL9" s="130">
        <f t="shared" si="20"/>
        <v>0</v>
      </c>
      <c r="OM9" s="130">
        <f t="shared" si="20"/>
        <v>0</v>
      </c>
      <c r="ON9" s="130">
        <f t="shared" si="20"/>
        <v>0</v>
      </c>
      <c r="OO9" s="130">
        <f t="shared" si="20"/>
        <v>0</v>
      </c>
      <c r="OP9" s="130">
        <f t="shared" si="20"/>
        <v>0</v>
      </c>
      <c r="OQ9" s="130">
        <f t="shared" si="20"/>
        <v>0</v>
      </c>
      <c r="OR9" s="130">
        <f t="shared" si="20"/>
        <v>0</v>
      </c>
      <c r="OS9" s="130">
        <f t="shared" si="20"/>
        <v>0</v>
      </c>
      <c r="OT9" s="130">
        <f t="shared" si="20"/>
        <v>0</v>
      </c>
      <c r="OU9" s="130">
        <f t="shared" si="20"/>
        <v>0</v>
      </c>
      <c r="OV9" s="130">
        <f t="shared" si="20"/>
        <v>0</v>
      </c>
      <c r="OW9" s="130">
        <f t="shared" si="20"/>
        <v>0</v>
      </c>
      <c r="OX9" s="130">
        <f t="shared" si="20"/>
        <v>0</v>
      </c>
      <c r="OY9" s="130">
        <f t="shared" si="20"/>
        <v>0</v>
      </c>
      <c r="OZ9" s="130">
        <f t="shared" si="20"/>
        <v>0</v>
      </c>
      <c r="PA9" s="130">
        <f t="shared" si="20"/>
        <v>0</v>
      </c>
      <c r="PB9" s="130">
        <f t="shared" si="20"/>
        <v>0</v>
      </c>
      <c r="PC9" s="130">
        <f t="shared" si="20"/>
        <v>0</v>
      </c>
      <c r="PD9" s="130">
        <f t="shared" si="20"/>
        <v>0</v>
      </c>
      <c r="PE9" s="130">
        <f t="shared" si="20"/>
        <v>0</v>
      </c>
      <c r="PF9" s="130">
        <f t="shared" si="20"/>
        <v>0</v>
      </c>
      <c r="PG9" s="130">
        <f t="shared" si="20"/>
        <v>0</v>
      </c>
      <c r="PH9" s="130">
        <f t="shared" si="20"/>
        <v>0</v>
      </c>
      <c r="PI9" s="130">
        <f t="shared" si="20"/>
        <v>0</v>
      </c>
      <c r="PJ9" s="130">
        <f t="shared" si="20"/>
        <v>0</v>
      </c>
      <c r="PK9" s="130">
        <f t="shared" si="20"/>
        <v>0</v>
      </c>
      <c r="PL9" s="130">
        <f t="shared" si="20"/>
        <v>0</v>
      </c>
      <c r="PM9" s="130">
        <f t="shared" si="20"/>
        <v>0</v>
      </c>
      <c r="PN9" s="130">
        <f t="shared" si="20"/>
        <v>0</v>
      </c>
      <c r="PO9" s="130">
        <f t="shared" si="20"/>
        <v>0</v>
      </c>
      <c r="PP9" s="130">
        <f t="shared" si="20"/>
        <v>0</v>
      </c>
      <c r="PQ9" s="130">
        <f t="shared" si="20"/>
        <v>0</v>
      </c>
      <c r="PR9" s="130">
        <f t="shared" si="20"/>
        <v>0</v>
      </c>
      <c r="PS9" s="130">
        <f t="shared" si="20"/>
        <v>0</v>
      </c>
      <c r="PT9" s="130">
        <f t="shared" si="20"/>
        <v>0</v>
      </c>
      <c r="PU9" s="130">
        <f t="shared" si="20"/>
        <v>0</v>
      </c>
      <c r="PV9" s="130">
        <f t="shared" si="20"/>
        <v>0</v>
      </c>
      <c r="PW9" s="130">
        <f t="shared" si="20"/>
        <v>0</v>
      </c>
      <c r="PX9" s="130">
        <f t="shared" si="20"/>
        <v>0</v>
      </c>
      <c r="PY9" s="130">
        <f t="shared" si="20"/>
        <v>0</v>
      </c>
      <c r="PZ9" s="130">
        <f t="shared" si="20"/>
        <v>0</v>
      </c>
      <c r="QA9" s="130">
        <f t="shared" si="20"/>
        <v>0</v>
      </c>
      <c r="QB9" s="130">
        <f t="shared" si="20"/>
        <v>0</v>
      </c>
      <c r="QC9" s="130">
        <f t="shared" si="20"/>
        <v>0</v>
      </c>
      <c r="QD9" s="130">
        <f t="shared" si="20"/>
        <v>0</v>
      </c>
      <c r="QE9" s="130">
        <f t="shared" si="20"/>
        <v>0</v>
      </c>
      <c r="QF9" s="130">
        <f t="shared" si="20"/>
        <v>0</v>
      </c>
      <c r="QG9" s="130">
        <f t="shared" si="20"/>
        <v>0</v>
      </c>
      <c r="QH9" s="130">
        <f t="shared" si="20"/>
        <v>0</v>
      </c>
      <c r="QI9" s="130">
        <f t="shared" si="20"/>
        <v>0</v>
      </c>
      <c r="QJ9" s="130">
        <f t="shared" si="20"/>
        <v>0</v>
      </c>
      <c r="QK9" s="130">
        <f t="shared" si="20"/>
        <v>0</v>
      </c>
      <c r="QL9" s="130">
        <f t="shared" si="20"/>
        <v>0</v>
      </c>
      <c r="QM9" s="130">
        <f t="shared" si="20"/>
        <v>0</v>
      </c>
      <c r="QN9" s="130">
        <f t="shared" si="20"/>
        <v>0</v>
      </c>
      <c r="QO9" s="130">
        <f t="shared" si="20"/>
        <v>0</v>
      </c>
      <c r="QP9" s="130">
        <f t="shared" si="20"/>
        <v>0</v>
      </c>
      <c r="QQ9" s="130">
        <f t="shared" si="20"/>
        <v>0</v>
      </c>
      <c r="QR9" s="130">
        <f t="shared" si="20"/>
        <v>0</v>
      </c>
      <c r="QS9" s="130">
        <f t="shared" si="20"/>
        <v>0</v>
      </c>
      <c r="QT9" s="130">
        <f t="shared" si="20"/>
        <v>0</v>
      </c>
      <c r="QU9" s="130">
        <f t="shared" ref="QU9:TF9" si="21">ROUND(QU55,0)</f>
        <v>0</v>
      </c>
      <c r="QV9" s="130">
        <f t="shared" si="21"/>
        <v>0</v>
      </c>
      <c r="QW9" s="130">
        <f t="shared" si="21"/>
        <v>0</v>
      </c>
      <c r="QX9" s="130">
        <f t="shared" si="21"/>
        <v>0</v>
      </c>
      <c r="QY9" s="130">
        <f t="shared" si="21"/>
        <v>0</v>
      </c>
      <c r="QZ9" s="130">
        <f t="shared" si="21"/>
        <v>0</v>
      </c>
      <c r="RA9" s="130">
        <f t="shared" si="21"/>
        <v>0</v>
      </c>
      <c r="RB9" s="130">
        <f t="shared" si="21"/>
        <v>0</v>
      </c>
      <c r="RC9" s="130">
        <f t="shared" si="21"/>
        <v>0</v>
      </c>
      <c r="RD9" s="130">
        <f t="shared" si="21"/>
        <v>0</v>
      </c>
      <c r="RE9" s="130">
        <f t="shared" si="21"/>
        <v>0</v>
      </c>
      <c r="RF9" s="130">
        <f t="shared" si="21"/>
        <v>0</v>
      </c>
      <c r="RG9" s="130">
        <f t="shared" si="21"/>
        <v>0</v>
      </c>
      <c r="RH9" s="130">
        <f t="shared" si="21"/>
        <v>0</v>
      </c>
      <c r="RI9" s="130">
        <f t="shared" si="21"/>
        <v>0</v>
      </c>
      <c r="RJ9" s="130">
        <f t="shared" si="21"/>
        <v>0</v>
      </c>
      <c r="RK9" s="130">
        <f t="shared" si="21"/>
        <v>0</v>
      </c>
      <c r="RL9" s="130">
        <f t="shared" si="21"/>
        <v>0</v>
      </c>
      <c r="RM9" s="130">
        <f t="shared" si="21"/>
        <v>0</v>
      </c>
      <c r="RN9" s="130">
        <f t="shared" si="21"/>
        <v>0</v>
      </c>
      <c r="RO9" s="130">
        <f t="shared" si="21"/>
        <v>0</v>
      </c>
      <c r="RP9" s="130">
        <f t="shared" si="21"/>
        <v>0</v>
      </c>
      <c r="RQ9" s="130">
        <f t="shared" si="21"/>
        <v>0</v>
      </c>
      <c r="RR9" s="130">
        <f t="shared" si="21"/>
        <v>0</v>
      </c>
      <c r="RS9" s="130">
        <f t="shared" si="21"/>
        <v>0</v>
      </c>
      <c r="RT9" s="130">
        <f t="shared" si="21"/>
        <v>0</v>
      </c>
      <c r="RU9" s="130">
        <f t="shared" si="21"/>
        <v>0</v>
      </c>
      <c r="RV9" s="130">
        <f t="shared" si="21"/>
        <v>0</v>
      </c>
      <c r="RW9" s="130">
        <f t="shared" si="21"/>
        <v>0</v>
      </c>
      <c r="RX9" s="130">
        <f t="shared" si="21"/>
        <v>0</v>
      </c>
      <c r="RY9" s="130">
        <f t="shared" si="21"/>
        <v>0</v>
      </c>
      <c r="RZ9" s="130">
        <f t="shared" si="21"/>
        <v>0</v>
      </c>
      <c r="SA9" s="130">
        <f t="shared" si="21"/>
        <v>0</v>
      </c>
      <c r="SB9" s="130">
        <f t="shared" si="21"/>
        <v>0</v>
      </c>
      <c r="SC9" s="130">
        <f t="shared" si="21"/>
        <v>0</v>
      </c>
      <c r="SD9" s="130">
        <f t="shared" si="21"/>
        <v>0</v>
      </c>
      <c r="SE9" s="130">
        <f t="shared" si="21"/>
        <v>0</v>
      </c>
      <c r="SF9" s="130">
        <f t="shared" si="21"/>
        <v>0</v>
      </c>
      <c r="SG9" s="130">
        <f t="shared" si="21"/>
        <v>0</v>
      </c>
      <c r="SH9" s="130">
        <f t="shared" si="21"/>
        <v>0</v>
      </c>
      <c r="SI9" s="130">
        <f t="shared" si="21"/>
        <v>0</v>
      </c>
      <c r="SJ9" s="130">
        <f t="shared" si="21"/>
        <v>0</v>
      </c>
      <c r="SK9" s="130">
        <f t="shared" si="21"/>
        <v>0</v>
      </c>
      <c r="SL9" s="130">
        <f t="shared" si="21"/>
        <v>0</v>
      </c>
      <c r="SM9" s="130">
        <f t="shared" si="21"/>
        <v>0</v>
      </c>
      <c r="SN9" s="130">
        <f t="shared" si="21"/>
        <v>0</v>
      </c>
      <c r="SO9" s="130">
        <f t="shared" si="21"/>
        <v>0</v>
      </c>
      <c r="SP9" s="130">
        <f t="shared" si="21"/>
        <v>0</v>
      </c>
      <c r="SQ9" s="130">
        <f t="shared" si="21"/>
        <v>0</v>
      </c>
      <c r="SR9" s="130">
        <f t="shared" si="21"/>
        <v>0</v>
      </c>
      <c r="SS9" s="130">
        <f t="shared" si="21"/>
        <v>0</v>
      </c>
      <c r="ST9" s="130">
        <f t="shared" si="21"/>
        <v>0</v>
      </c>
      <c r="SU9" s="130">
        <f t="shared" si="21"/>
        <v>0</v>
      </c>
      <c r="SV9" s="130">
        <f t="shared" si="21"/>
        <v>0</v>
      </c>
      <c r="SW9" s="130">
        <f t="shared" si="21"/>
        <v>0</v>
      </c>
      <c r="SX9" s="130">
        <f t="shared" si="21"/>
        <v>0</v>
      </c>
      <c r="SY9" s="130">
        <f t="shared" si="21"/>
        <v>0</v>
      </c>
      <c r="SZ9" s="130">
        <f t="shared" si="21"/>
        <v>0</v>
      </c>
      <c r="TA9" s="130">
        <f t="shared" si="21"/>
        <v>0</v>
      </c>
      <c r="TB9" s="130">
        <f t="shared" si="21"/>
        <v>0</v>
      </c>
      <c r="TC9" s="130">
        <f t="shared" si="21"/>
        <v>0</v>
      </c>
      <c r="TD9" s="130">
        <f t="shared" si="21"/>
        <v>0</v>
      </c>
      <c r="TE9" s="130">
        <f t="shared" si="21"/>
        <v>0</v>
      </c>
      <c r="TF9" s="130">
        <f t="shared" si="21"/>
        <v>0</v>
      </c>
      <c r="TG9" s="130">
        <f t="shared" ref="TG9:VR9" si="22">ROUND(TG55,0)</f>
        <v>0</v>
      </c>
      <c r="TH9" s="130">
        <f t="shared" si="22"/>
        <v>0</v>
      </c>
      <c r="TI9" s="130">
        <f t="shared" si="22"/>
        <v>0</v>
      </c>
      <c r="TJ9" s="130">
        <f t="shared" si="22"/>
        <v>0</v>
      </c>
      <c r="TK9" s="130">
        <f t="shared" si="22"/>
        <v>0</v>
      </c>
      <c r="TL9" s="130">
        <f t="shared" si="22"/>
        <v>0</v>
      </c>
      <c r="TM9" s="130">
        <f t="shared" si="22"/>
        <v>0</v>
      </c>
      <c r="TN9" s="130">
        <f t="shared" si="22"/>
        <v>0</v>
      </c>
      <c r="TO9" s="130">
        <f t="shared" si="22"/>
        <v>0</v>
      </c>
      <c r="TP9" s="130">
        <f t="shared" si="22"/>
        <v>0</v>
      </c>
      <c r="TQ9" s="130">
        <f t="shared" si="22"/>
        <v>0</v>
      </c>
      <c r="TR9" s="130">
        <f t="shared" si="22"/>
        <v>0</v>
      </c>
      <c r="TS9" s="130">
        <f t="shared" si="22"/>
        <v>0</v>
      </c>
      <c r="TT9" s="130">
        <f t="shared" si="22"/>
        <v>0</v>
      </c>
      <c r="TU9" s="130">
        <f t="shared" si="22"/>
        <v>0</v>
      </c>
      <c r="TV9" s="130">
        <f t="shared" si="22"/>
        <v>0</v>
      </c>
      <c r="TW9" s="130">
        <f t="shared" si="22"/>
        <v>0</v>
      </c>
      <c r="TX9" s="130">
        <f t="shared" si="22"/>
        <v>0</v>
      </c>
      <c r="TY9" s="130">
        <f t="shared" si="22"/>
        <v>0</v>
      </c>
      <c r="TZ9" s="130">
        <f t="shared" si="22"/>
        <v>0</v>
      </c>
      <c r="UA9" s="130">
        <f t="shared" si="22"/>
        <v>0</v>
      </c>
      <c r="UB9" s="130">
        <f t="shared" si="22"/>
        <v>0</v>
      </c>
      <c r="UC9" s="130">
        <f t="shared" si="22"/>
        <v>0</v>
      </c>
      <c r="UD9" s="130">
        <f t="shared" si="22"/>
        <v>0</v>
      </c>
      <c r="UE9" s="130">
        <f t="shared" si="22"/>
        <v>0</v>
      </c>
      <c r="UF9" s="130">
        <f t="shared" si="22"/>
        <v>0</v>
      </c>
      <c r="UG9" s="130">
        <f t="shared" si="22"/>
        <v>0</v>
      </c>
      <c r="UH9" s="130">
        <f t="shared" si="22"/>
        <v>0</v>
      </c>
      <c r="UI9" s="130">
        <f t="shared" si="22"/>
        <v>0</v>
      </c>
      <c r="UJ9" s="130">
        <f t="shared" si="22"/>
        <v>0</v>
      </c>
      <c r="UK9" s="130">
        <f t="shared" si="22"/>
        <v>0</v>
      </c>
      <c r="UL9" s="130">
        <f t="shared" si="22"/>
        <v>0</v>
      </c>
      <c r="UM9" s="130">
        <f t="shared" si="22"/>
        <v>0</v>
      </c>
      <c r="UN9" s="130">
        <f t="shared" si="22"/>
        <v>0</v>
      </c>
      <c r="UO9" s="130">
        <f t="shared" si="22"/>
        <v>0</v>
      </c>
      <c r="UP9" s="130">
        <f t="shared" si="22"/>
        <v>0</v>
      </c>
      <c r="UQ9" s="130">
        <f t="shared" si="22"/>
        <v>0</v>
      </c>
      <c r="UR9" s="130">
        <f t="shared" si="22"/>
        <v>0</v>
      </c>
      <c r="US9" s="130">
        <f t="shared" si="22"/>
        <v>0</v>
      </c>
      <c r="UT9" s="130">
        <f t="shared" si="22"/>
        <v>0</v>
      </c>
      <c r="UU9" s="130">
        <f t="shared" si="22"/>
        <v>0</v>
      </c>
      <c r="UV9" s="130">
        <f t="shared" si="22"/>
        <v>0</v>
      </c>
      <c r="UW9" s="130">
        <f t="shared" si="22"/>
        <v>0</v>
      </c>
      <c r="UX9" s="130">
        <f t="shared" si="22"/>
        <v>0</v>
      </c>
      <c r="UY9" s="130">
        <f t="shared" si="22"/>
        <v>0</v>
      </c>
      <c r="UZ9" s="130">
        <f t="shared" si="22"/>
        <v>0</v>
      </c>
      <c r="VA9" s="130">
        <f t="shared" si="22"/>
        <v>0</v>
      </c>
      <c r="VB9" s="130">
        <f t="shared" si="22"/>
        <v>0</v>
      </c>
      <c r="VC9" s="130">
        <f t="shared" si="22"/>
        <v>0</v>
      </c>
      <c r="VD9" s="130">
        <f t="shared" si="22"/>
        <v>0</v>
      </c>
      <c r="VE9" s="130">
        <f t="shared" si="22"/>
        <v>0</v>
      </c>
      <c r="VF9" s="130">
        <f t="shared" si="22"/>
        <v>0</v>
      </c>
      <c r="VG9" s="130">
        <f t="shared" si="22"/>
        <v>0</v>
      </c>
      <c r="VH9" s="130">
        <f t="shared" si="22"/>
        <v>0</v>
      </c>
      <c r="VI9" s="130">
        <f t="shared" si="22"/>
        <v>0</v>
      </c>
      <c r="VJ9" s="130">
        <f t="shared" si="22"/>
        <v>0</v>
      </c>
      <c r="VK9" s="130">
        <f t="shared" si="22"/>
        <v>0</v>
      </c>
      <c r="VL9" s="130">
        <f t="shared" si="22"/>
        <v>0</v>
      </c>
      <c r="VM9" s="130">
        <f t="shared" si="22"/>
        <v>0</v>
      </c>
      <c r="VN9" s="130">
        <f t="shared" si="22"/>
        <v>0</v>
      </c>
      <c r="VO9" s="130">
        <f t="shared" si="22"/>
        <v>0</v>
      </c>
      <c r="VP9" s="130">
        <f t="shared" si="22"/>
        <v>0</v>
      </c>
      <c r="VQ9" s="130">
        <f t="shared" si="22"/>
        <v>0</v>
      </c>
      <c r="VR9" s="130">
        <f t="shared" si="22"/>
        <v>0</v>
      </c>
      <c r="VS9" s="130">
        <f t="shared" ref="VS9:YD9" si="23">ROUND(VS55,0)</f>
        <v>0</v>
      </c>
      <c r="VT9" s="130">
        <f t="shared" si="23"/>
        <v>0</v>
      </c>
      <c r="VU9" s="130">
        <f t="shared" si="23"/>
        <v>0</v>
      </c>
      <c r="VV9" s="130">
        <f t="shared" si="23"/>
        <v>0</v>
      </c>
      <c r="VW9" s="130">
        <f t="shared" si="23"/>
        <v>0</v>
      </c>
      <c r="VX9" s="130">
        <f t="shared" si="23"/>
        <v>0</v>
      </c>
      <c r="VY9" s="130">
        <f t="shared" si="23"/>
        <v>0</v>
      </c>
      <c r="VZ9" s="130">
        <f t="shared" si="23"/>
        <v>0</v>
      </c>
      <c r="WA9" s="130">
        <f t="shared" si="23"/>
        <v>0</v>
      </c>
      <c r="WB9" s="130">
        <f t="shared" si="23"/>
        <v>0</v>
      </c>
      <c r="WC9" s="130">
        <f t="shared" si="23"/>
        <v>0</v>
      </c>
      <c r="WD9" s="130">
        <f t="shared" si="23"/>
        <v>0</v>
      </c>
      <c r="WE9" s="130">
        <f t="shared" si="23"/>
        <v>0</v>
      </c>
      <c r="WF9" s="130">
        <f t="shared" si="23"/>
        <v>0</v>
      </c>
      <c r="WG9" s="130">
        <f t="shared" si="23"/>
        <v>0</v>
      </c>
      <c r="WH9" s="130">
        <f t="shared" si="23"/>
        <v>0</v>
      </c>
      <c r="WI9" s="130">
        <f t="shared" si="23"/>
        <v>0</v>
      </c>
      <c r="WJ9" s="130">
        <f t="shared" si="23"/>
        <v>0</v>
      </c>
      <c r="WK9" s="130">
        <f t="shared" si="23"/>
        <v>0</v>
      </c>
      <c r="WL9" s="130">
        <f t="shared" si="23"/>
        <v>0</v>
      </c>
      <c r="WM9" s="130">
        <f t="shared" si="23"/>
        <v>0</v>
      </c>
      <c r="WN9" s="130">
        <f t="shared" si="23"/>
        <v>0</v>
      </c>
      <c r="WO9" s="130">
        <f t="shared" si="23"/>
        <v>0</v>
      </c>
      <c r="WP9" s="130">
        <f t="shared" si="23"/>
        <v>0</v>
      </c>
      <c r="WQ9" s="130">
        <f t="shared" si="23"/>
        <v>0</v>
      </c>
      <c r="WR9" s="130">
        <f t="shared" si="23"/>
        <v>0</v>
      </c>
      <c r="WS9" s="130">
        <f t="shared" si="23"/>
        <v>0</v>
      </c>
      <c r="WT9" s="130">
        <f t="shared" si="23"/>
        <v>0</v>
      </c>
      <c r="WU9" s="130">
        <f t="shared" si="23"/>
        <v>0</v>
      </c>
      <c r="WV9" s="130">
        <f t="shared" si="23"/>
        <v>0</v>
      </c>
      <c r="WW9" s="130">
        <f t="shared" si="23"/>
        <v>0</v>
      </c>
      <c r="WX9" s="130">
        <f t="shared" si="23"/>
        <v>0</v>
      </c>
      <c r="WY9" s="130">
        <f t="shared" si="23"/>
        <v>0</v>
      </c>
      <c r="WZ9" s="130">
        <f t="shared" si="23"/>
        <v>0</v>
      </c>
      <c r="XA9" s="130">
        <f t="shared" si="23"/>
        <v>0</v>
      </c>
      <c r="XB9" s="130">
        <f t="shared" si="23"/>
        <v>0</v>
      </c>
      <c r="XC9" s="130">
        <f t="shared" si="23"/>
        <v>0</v>
      </c>
      <c r="XD9" s="130">
        <f t="shared" si="23"/>
        <v>0</v>
      </c>
      <c r="XE9" s="130">
        <f t="shared" si="23"/>
        <v>0</v>
      </c>
      <c r="XF9" s="130">
        <f t="shared" si="23"/>
        <v>0</v>
      </c>
      <c r="XG9" s="130">
        <f t="shared" si="23"/>
        <v>0</v>
      </c>
      <c r="XH9" s="130">
        <f t="shared" si="23"/>
        <v>0</v>
      </c>
      <c r="XI9" s="130">
        <f t="shared" si="23"/>
        <v>0</v>
      </c>
      <c r="XJ9" s="130">
        <f t="shared" si="23"/>
        <v>0</v>
      </c>
      <c r="XK9" s="130">
        <f t="shared" si="23"/>
        <v>0</v>
      </c>
      <c r="XL9" s="130">
        <f t="shared" si="23"/>
        <v>0</v>
      </c>
      <c r="XM9" s="130">
        <f t="shared" si="23"/>
        <v>0</v>
      </c>
      <c r="XN9" s="130">
        <f t="shared" si="23"/>
        <v>0</v>
      </c>
      <c r="XO9" s="130">
        <f t="shared" si="23"/>
        <v>0</v>
      </c>
      <c r="XP9" s="130">
        <f t="shared" si="23"/>
        <v>0</v>
      </c>
      <c r="XQ9" s="130">
        <f t="shared" si="23"/>
        <v>0</v>
      </c>
      <c r="XR9" s="130">
        <f t="shared" si="23"/>
        <v>0</v>
      </c>
      <c r="XS9" s="130">
        <f t="shared" si="23"/>
        <v>0</v>
      </c>
      <c r="XT9" s="130">
        <f t="shared" si="23"/>
        <v>0</v>
      </c>
      <c r="XU9" s="130">
        <f t="shared" si="23"/>
        <v>0</v>
      </c>
      <c r="XV9" s="130">
        <f t="shared" si="23"/>
        <v>0</v>
      </c>
      <c r="XW9" s="130">
        <f t="shared" si="23"/>
        <v>0</v>
      </c>
      <c r="XX9" s="130">
        <f t="shared" si="23"/>
        <v>0</v>
      </c>
      <c r="XY9" s="130">
        <f t="shared" si="23"/>
        <v>0</v>
      </c>
      <c r="XZ9" s="130">
        <f t="shared" si="23"/>
        <v>0</v>
      </c>
      <c r="YA9" s="130">
        <f t="shared" si="23"/>
        <v>0</v>
      </c>
      <c r="YB9" s="130">
        <f t="shared" si="23"/>
        <v>0</v>
      </c>
      <c r="YC9" s="130">
        <f t="shared" si="23"/>
        <v>0</v>
      </c>
      <c r="YD9" s="130">
        <f t="shared" si="23"/>
        <v>0</v>
      </c>
      <c r="YE9" s="130">
        <f t="shared" ref="YE9:AAP9" si="24">ROUND(YE55,0)</f>
        <v>0</v>
      </c>
      <c r="YF9" s="130">
        <f t="shared" si="24"/>
        <v>0</v>
      </c>
      <c r="YG9" s="130">
        <f t="shared" si="24"/>
        <v>0</v>
      </c>
      <c r="YH9" s="130">
        <f t="shared" si="24"/>
        <v>0</v>
      </c>
      <c r="YI9" s="130">
        <f t="shared" si="24"/>
        <v>0</v>
      </c>
      <c r="YJ9" s="130">
        <f t="shared" si="24"/>
        <v>0</v>
      </c>
      <c r="YK9" s="130">
        <f t="shared" si="24"/>
        <v>0</v>
      </c>
      <c r="YL9" s="130">
        <f t="shared" si="24"/>
        <v>0</v>
      </c>
      <c r="YM9" s="130">
        <f t="shared" si="24"/>
        <v>0</v>
      </c>
      <c r="YN9" s="130">
        <f t="shared" si="24"/>
        <v>0</v>
      </c>
      <c r="YO9" s="130">
        <f t="shared" si="24"/>
        <v>0</v>
      </c>
      <c r="YP9" s="130">
        <f t="shared" si="24"/>
        <v>0</v>
      </c>
      <c r="YQ9" s="130">
        <f t="shared" si="24"/>
        <v>0</v>
      </c>
      <c r="YR9" s="130">
        <f t="shared" si="24"/>
        <v>0</v>
      </c>
      <c r="YS9" s="130">
        <f t="shared" si="24"/>
        <v>0</v>
      </c>
      <c r="YT9" s="130">
        <f t="shared" si="24"/>
        <v>0</v>
      </c>
      <c r="YU9" s="130">
        <f t="shared" si="24"/>
        <v>0</v>
      </c>
      <c r="YV9" s="130">
        <f t="shared" si="24"/>
        <v>0</v>
      </c>
      <c r="YW9" s="130">
        <f t="shared" si="24"/>
        <v>0</v>
      </c>
      <c r="YX9" s="130">
        <f t="shared" si="24"/>
        <v>0</v>
      </c>
      <c r="YY9" s="130">
        <f t="shared" si="24"/>
        <v>0</v>
      </c>
      <c r="YZ9" s="130">
        <f t="shared" si="24"/>
        <v>0</v>
      </c>
      <c r="ZA9" s="130">
        <f t="shared" si="24"/>
        <v>0</v>
      </c>
      <c r="ZB9" s="130">
        <f t="shared" si="24"/>
        <v>0</v>
      </c>
      <c r="ZC9" s="130">
        <f t="shared" si="24"/>
        <v>0</v>
      </c>
      <c r="ZD9" s="130">
        <f t="shared" si="24"/>
        <v>0</v>
      </c>
      <c r="ZE9" s="130">
        <f t="shared" si="24"/>
        <v>0</v>
      </c>
      <c r="ZF9" s="130">
        <f t="shared" si="24"/>
        <v>0</v>
      </c>
      <c r="ZG9" s="130">
        <f t="shared" si="24"/>
        <v>0</v>
      </c>
      <c r="ZH9" s="130">
        <f t="shared" si="24"/>
        <v>0</v>
      </c>
      <c r="ZI9" s="130">
        <f t="shared" si="24"/>
        <v>0</v>
      </c>
      <c r="ZJ9" s="130">
        <f t="shared" si="24"/>
        <v>0</v>
      </c>
      <c r="ZK9" s="130">
        <f t="shared" si="24"/>
        <v>0</v>
      </c>
      <c r="ZL9" s="130">
        <f t="shared" si="24"/>
        <v>0</v>
      </c>
      <c r="ZM9" s="130">
        <f t="shared" si="24"/>
        <v>0</v>
      </c>
      <c r="ZN9" s="130">
        <f t="shared" si="24"/>
        <v>0</v>
      </c>
      <c r="ZO9" s="130">
        <f t="shared" si="24"/>
        <v>0</v>
      </c>
      <c r="ZP9" s="130">
        <f t="shared" si="24"/>
        <v>0</v>
      </c>
      <c r="ZQ9" s="130">
        <f t="shared" si="24"/>
        <v>0</v>
      </c>
      <c r="ZR9" s="130">
        <f t="shared" si="24"/>
        <v>0</v>
      </c>
      <c r="ZS9" s="130">
        <f t="shared" si="24"/>
        <v>0</v>
      </c>
      <c r="ZT9" s="130">
        <f t="shared" si="24"/>
        <v>0</v>
      </c>
      <c r="ZU9" s="130">
        <f t="shared" si="24"/>
        <v>0</v>
      </c>
      <c r="ZV9" s="130">
        <f t="shared" si="24"/>
        <v>0</v>
      </c>
      <c r="ZW9" s="130">
        <f t="shared" si="24"/>
        <v>0</v>
      </c>
      <c r="ZX9" s="130">
        <f t="shared" si="24"/>
        <v>0</v>
      </c>
      <c r="ZY9" s="130">
        <f t="shared" si="24"/>
        <v>0</v>
      </c>
      <c r="ZZ9" s="130">
        <f t="shared" si="24"/>
        <v>0</v>
      </c>
      <c r="AAA9" s="130">
        <f t="shared" si="24"/>
        <v>0</v>
      </c>
      <c r="AAB9" s="130">
        <f t="shared" si="24"/>
        <v>0</v>
      </c>
      <c r="AAC9" s="130">
        <f t="shared" si="24"/>
        <v>0</v>
      </c>
      <c r="AAD9" s="130">
        <f t="shared" si="24"/>
        <v>0</v>
      </c>
      <c r="AAE9" s="130">
        <f t="shared" si="24"/>
        <v>0</v>
      </c>
      <c r="AAF9" s="130">
        <f t="shared" si="24"/>
        <v>0</v>
      </c>
      <c r="AAG9" s="130">
        <f t="shared" si="24"/>
        <v>0</v>
      </c>
      <c r="AAH9" s="130">
        <f t="shared" si="24"/>
        <v>0</v>
      </c>
      <c r="AAI9" s="130">
        <f t="shared" si="24"/>
        <v>0</v>
      </c>
      <c r="AAJ9" s="130">
        <f t="shared" si="24"/>
        <v>0</v>
      </c>
      <c r="AAK9" s="130">
        <f t="shared" si="24"/>
        <v>0</v>
      </c>
      <c r="AAL9" s="130">
        <f t="shared" si="24"/>
        <v>0</v>
      </c>
      <c r="AAM9" s="130">
        <f t="shared" si="24"/>
        <v>0</v>
      </c>
      <c r="AAN9" s="130">
        <f t="shared" si="24"/>
        <v>0</v>
      </c>
      <c r="AAO9" s="130">
        <f t="shared" si="24"/>
        <v>0</v>
      </c>
      <c r="AAP9" s="130">
        <f t="shared" si="24"/>
        <v>0</v>
      </c>
      <c r="AAQ9" s="130">
        <f t="shared" ref="AAQ9:ADB9" si="25">ROUND(AAQ55,0)</f>
        <v>0</v>
      </c>
      <c r="AAR9" s="130">
        <f t="shared" si="25"/>
        <v>0</v>
      </c>
      <c r="AAS9" s="130">
        <f t="shared" si="25"/>
        <v>0</v>
      </c>
      <c r="AAT9" s="130">
        <f t="shared" si="25"/>
        <v>0</v>
      </c>
      <c r="AAU9" s="130">
        <f t="shared" si="25"/>
        <v>0</v>
      </c>
      <c r="AAV9" s="130">
        <f t="shared" si="25"/>
        <v>0</v>
      </c>
      <c r="AAW9" s="130">
        <f t="shared" si="25"/>
        <v>0</v>
      </c>
      <c r="AAX9" s="130">
        <f t="shared" si="25"/>
        <v>0</v>
      </c>
      <c r="AAY9" s="130">
        <f t="shared" si="25"/>
        <v>0</v>
      </c>
      <c r="AAZ9" s="130">
        <f t="shared" si="25"/>
        <v>0</v>
      </c>
      <c r="ABA9" s="130">
        <f t="shared" si="25"/>
        <v>0</v>
      </c>
      <c r="ABB9" s="130">
        <f t="shared" si="25"/>
        <v>0</v>
      </c>
      <c r="ABC9" s="130">
        <f t="shared" si="25"/>
        <v>0</v>
      </c>
      <c r="ABD9" s="130">
        <f t="shared" si="25"/>
        <v>0</v>
      </c>
      <c r="ABE9" s="130">
        <f t="shared" si="25"/>
        <v>0</v>
      </c>
      <c r="ABF9" s="130">
        <f t="shared" si="25"/>
        <v>0</v>
      </c>
      <c r="ABG9" s="130">
        <f t="shared" si="25"/>
        <v>0</v>
      </c>
      <c r="ABH9" s="130">
        <f t="shared" si="25"/>
        <v>0</v>
      </c>
      <c r="ABI9" s="130">
        <f t="shared" si="25"/>
        <v>0</v>
      </c>
      <c r="ABJ9" s="130">
        <f t="shared" si="25"/>
        <v>0</v>
      </c>
      <c r="ABK9" s="130">
        <f t="shared" si="25"/>
        <v>0</v>
      </c>
      <c r="ABL9" s="130">
        <f t="shared" si="25"/>
        <v>0</v>
      </c>
      <c r="ABM9" s="130">
        <f t="shared" si="25"/>
        <v>0</v>
      </c>
      <c r="ABN9" s="130">
        <f t="shared" si="25"/>
        <v>0</v>
      </c>
      <c r="ABO9" s="130">
        <f t="shared" si="25"/>
        <v>0</v>
      </c>
      <c r="ABP9" s="130">
        <f t="shared" si="25"/>
        <v>0</v>
      </c>
      <c r="ABQ9" s="130">
        <f t="shared" si="25"/>
        <v>0</v>
      </c>
      <c r="ABR9" s="130">
        <f t="shared" si="25"/>
        <v>0</v>
      </c>
      <c r="ABS9" s="130">
        <f t="shared" si="25"/>
        <v>0</v>
      </c>
      <c r="ABT9" s="130">
        <f t="shared" si="25"/>
        <v>0</v>
      </c>
      <c r="ABU9" s="130">
        <f t="shared" si="25"/>
        <v>0</v>
      </c>
      <c r="ABV9" s="130">
        <f t="shared" si="25"/>
        <v>0</v>
      </c>
      <c r="ABW9" s="130">
        <f t="shared" si="25"/>
        <v>0</v>
      </c>
      <c r="ABX9" s="130">
        <f t="shared" si="25"/>
        <v>0</v>
      </c>
      <c r="ABY9" s="130">
        <f t="shared" si="25"/>
        <v>0</v>
      </c>
      <c r="ABZ9" s="130">
        <f t="shared" si="25"/>
        <v>0</v>
      </c>
      <c r="ACA9" s="130">
        <f t="shared" si="25"/>
        <v>0</v>
      </c>
      <c r="ACB9" s="130">
        <f t="shared" si="25"/>
        <v>0</v>
      </c>
      <c r="ACC9" s="130">
        <f t="shared" si="25"/>
        <v>0</v>
      </c>
      <c r="ACD9" s="130">
        <f t="shared" si="25"/>
        <v>0</v>
      </c>
      <c r="ACE9" s="130">
        <f t="shared" si="25"/>
        <v>0</v>
      </c>
      <c r="ACF9" s="130">
        <f t="shared" si="25"/>
        <v>0</v>
      </c>
      <c r="ACG9" s="130">
        <f t="shared" si="25"/>
        <v>0</v>
      </c>
      <c r="ACH9" s="130">
        <f t="shared" si="25"/>
        <v>0</v>
      </c>
      <c r="ACI9" s="130">
        <f t="shared" si="25"/>
        <v>0</v>
      </c>
      <c r="ACJ9" s="130">
        <f t="shared" si="25"/>
        <v>0</v>
      </c>
      <c r="ACK9" s="130">
        <f t="shared" si="25"/>
        <v>0</v>
      </c>
      <c r="ACL9" s="130">
        <f t="shared" si="25"/>
        <v>0</v>
      </c>
      <c r="ACM9" s="130">
        <f t="shared" si="25"/>
        <v>0</v>
      </c>
      <c r="ACN9" s="130">
        <f t="shared" si="25"/>
        <v>0</v>
      </c>
      <c r="ACO9" s="130">
        <f t="shared" si="25"/>
        <v>0</v>
      </c>
      <c r="ACP9" s="130">
        <f t="shared" si="25"/>
        <v>0</v>
      </c>
      <c r="ACQ9" s="130">
        <f t="shared" si="25"/>
        <v>0</v>
      </c>
      <c r="ACR9" s="130">
        <f t="shared" si="25"/>
        <v>0</v>
      </c>
      <c r="ACS9" s="130">
        <f t="shared" si="25"/>
        <v>0</v>
      </c>
      <c r="ACT9" s="130">
        <f t="shared" si="25"/>
        <v>0</v>
      </c>
      <c r="ACU9" s="130">
        <f t="shared" si="25"/>
        <v>0</v>
      </c>
      <c r="ACV9" s="130">
        <f t="shared" si="25"/>
        <v>0</v>
      </c>
      <c r="ACW9" s="130">
        <f t="shared" si="25"/>
        <v>0</v>
      </c>
      <c r="ACX9" s="130">
        <f t="shared" si="25"/>
        <v>0</v>
      </c>
      <c r="ACY9" s="130">
        <f t="shared" si="25"/>
        <v>0</v>
      </c>
      <c r="ACZ9" s="130">
        <f t="shared" si="25"/>
        <v>0</v>
      </c>
      <c r="ADA9" s="130">
        <f t="shared" si="25"/>
        <v>0</v>
      </c>
      <c r="ADB9" s="130">
        <f t="shared" si="25"/>
        <v>0</v>
      </c>
      <c r="ADC9" s="130">
        <f t="shared" ref="ADC9:AEW9" si="26">ROUND(ADC55,0)</f>
        <v>0</v>
      </c>
      <c r="ADD9" s="130">
        <f t="shared" si="26"/>
        <v>0</v>
      </c>
      <c r="ADE9" s="130">
        <f t="shared" si="26"/>
        <v>0</v>
      </c>
      <c r="ADF9" s="130">
        <f t="shared" si="26"/>
        <v>0</v>
      </c>
      <c r="ADG9" s="130">
        <f t="shared" si="26"/>
        <v>0</v>
      </c>
      <c r="ADH9" s="130">
        <f t="shared" si="26"/>
        <v>0</v>
      </c>
      <c r="ADI9" s="130">
        <f t="shared" si="26"/>
        <v>0</v>
      </c>
      <c r="ADJ9" s="130">
        <f t="shared" si="26"/>
        <v>0</v>
      </c>
      <c r="ADK9" s="130">
        <f t="shared" si="26"/>
        <v>0</v>
      </c>
      <c r="ADL9" s="130">
        <f t="shared" si="26"/>
        <v>0</v>
      </c>
      <c r="ADM9" s="130">
        <f t="shared" si="26"/>
        <v>0</v>
      </c>
      <c r="ADN9" s="130">
        <f t="shared" si="26"/>
        <v>0</v>
      </c>
      <c r="ADO9" s="130">
        <f t="shared" si="26"/>
        <v>0</v>
      </c>
      <c r="ADP9" s="130">
        <f t="shared" si="26"/>
        <v>0</v>
      </c>
      <c r="ADQ9" s="130">
        <f t="shared" si="26"/>
        <v>0</v>
      </c>
      <c r="ADR9" s="130">
        <f t="shared" si="26"/>
        <v>0</v>
      </c>
      <c r="ADS9" s="130">
        <f t="shared" si="26"/>
        <v>0</v>
      </c>
      <c r="ADT9" s="130">
        <f t="shared" si="26"/>
        <v>0</v>
      </c>
      <c r="ADU9" s="130">
        <f t="shared" si="26"/>
        <v>0</v>
      </c>
      <c r="ADV9" s="130">
        <f t="shared" si="26"/>
        <v>0</v>
      </c>
      <c r="ADW9" s="130">
        <f t="shared" si="26"/>
        <v>0</v>
      </c>
      <c r="ADX9" s="130">
        <f t="shared" si="26"/>
        <v>0</v>
      </c>
      <c r="ADY9" s="130">
        <f t="shared" si="26"/>
        <v>0</v>
      </c>
      <c r="ADZ9" s="130">
        <f t="shared" si="26"/>
        <v>0</v>
      </c>
      <c r="AEA9" s="130">
        <f t="shared" si="26"/>
        <v>0</v>
      </c>
      <c r="AEB9" s="130">
        <f t="shared" si="26"/>
        <v>0</v>
      </c>
      <c r="AEC9" s="130">
        <f t="shared" si="26"/>
        <v>0</v>
      </c>
      <c r="AED9" s="130">
        <f t="shared" si="26"/>
        <v>0</v>
      </c>
      <c r="AEE9" s="130">
        <f t="shared" si="26"/>
        <v>0</v>
      </c>
      <c r="AEF9" s="130">
        <f t="shared" si="26"/>
        <v>0</v>
      </c>
      <c r="AEG9" s="130">
        <f t="shared" si="26"/>
        <v>0</v>
      </c>
      <c r="AEH9" s="130">
        <f t="shared" si="26"/>
        <v>0</v>
      </c>
      <c r="AEI9" s="130">
        <f t="shared" si="26"/>
        <v>0</v>
      </c>
      <c r="AEJ9" s="130">
        <f t="shared" si="26"/>
        <v>0</v>
      </c>
      <c r="AEK9" s="130">
        <f t="shared" si="26"/>
        <v>0</v>
      </c>
      <c r="AEL9" s="130">
        <f t="shared" si="26"/>
        <v>0</v>
      </c>
      <c r="AEM9" s="130">
        <f t="shared" si="26"/>
        <v>0</v>
      </c>
      <c r="AEN9" s="130">
        <f t="shared" si="26"/>
        <v>0</v>
      </c>
      <c r="AEO9" s="130">
        <f t="shared" si="26"/>
        <v>0</v>
      </c>
      <c r="AEP9" s="130">
        <f t="shared" si="26"/>
        <v>0</v>
      </c>
      <c r="AEQ9" s="130">
        <f t="shared" si="26"/>
        <v>0</v>
      </c>
      <c r="AER9" s="130">
        <f t="shared" si="26"/>
        <v>0</v>
      </c>
      <c r="AES9" s="130">
        <f t="shared" si="26"/>
        <v>0</v>
      </c>
      <c r="AET9" s="130">
        <f t="shared" si="26"/>
        <v>0</v>
      </c>
      <c r="AEU9" s="130">
        <f t="shared" si="26"/>
        <v>0</v>
      </c>
      <c r="AEV9" s="130">
        <f t="shared" si="26"/>
        <v>0</v>
      </c>
      <c r="AEW9" s="130">
        <f t="shared" si="26"/>
        <v>0</v>
      </c>
      <c r="AEX9" s="144" t="s">
        <v>221</v>
      </c>
    </row>
    <row r="10" spans="1:830" ht="22.5" customHeight="1" x14ac:dyDescent="0.25">
      <c r="A10" s="36"/>
      <c r="B10" s="142" t="s">
        <v>410</v>
      </c>
      <c r="C10" s="160">
        <f>REKAP!$J$6</f>
        <v>0</v>
      </c>
      <c r="D10" s="124">
        <f>REKAP!$J$4</f>
        <v>0</v>
      </c>
      <c r="E10" s="159">
        <f>REKAP!$J$5</f>
        <v>0</v>
      </c>
      <c r="F10" s="36"/>
      <c r="G10" s="138" t="s">
        <v>219</v>
      </c>
      <c r="H10" s="4" t="s">
        <v>220</v>
      </c>
      <c r="I10" s="143"/>
      <c r="J10" s="141">
        <f t="shared" si="0"/>
        <v>0</v>
      </c>
      <c r="K10" s="7"/>
      <c r="L10" s="7"/>
      <c r="M10" s="7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0"/>
      <c r="BQ10" s="130"/>
      <c r="BR10" s="130"/>
      <c r="BS10" s="130"/>
      <c r="BT10" s="130"/>
      <c r="BU10" s="130"/>
      <c r="BV10" s="130"/>
      <c r="BW10" s="130"/>
      <c r="BX10" s="130"/>
      <c r="BY10" s="130"/>
      <c r="BZ10" s="130"/>
      <c r="CA10" s="130"/>
      <c r="CB10" s="130"/>
      <c r="CC10" s="130"/>
      <c r="CD10" s="130"/>
      <c r="CE10" s="130"/>
      <c r="CF10" s="130"/>
      <c r="CG10" s="130"/>
      <c r="CH10" s="130"/>
      <c r="CI10" s="130"/>
      <c r="CJ10" s="129">
        <f>SMP!$I$6</f>
        <v>0</v>
      </c>
      <c r="CK10" s="129">
        <f>SMP!$I$7</f>
        <v>0</v>
      </c>
      <c r="CL10" s="129">
        <f>SMP!$I$8</f>
        <v>0</v>
      </c>
      <c r="CM10" s="129">
        <f>SMP!$I$9</f>
        <v>0</v>
      </c>
      <c r="CN10" s="129">
        <f>SMP!$I$10</f>
        <v>0</v>
      </c>
      <c r="CO10" s="129">
        <f>SMP!$I$11</f>
        <v>0</v>
      </c>
      <c r="CP10" s="129">
        <f>SMP!$I$12</f>
        <v>0</v>
      </c>
      <c r="CQ10" s="129">
        <f>SMP!$I$13</f>
        <v>0</v>
      </c>
      <c r="CR10" s="129">
        <f>SMP!$I$14</f>
        <v>0</v>
      </c>
      <c r="CS10" s="129">
        <f>SMP!$I$15</f>
        <v>0</v>
      </c>
      <c r="CT10" s="129">
        <f>SMP!$I$16</f>
        <v>0</v>
      </c>
      <c r="CU10" s="129">
        <f>SMP!$I$17</f>
        <v>0</v>
      </c>
      <c r="CV10" s="129">
        <f>SMP!$I$18</f>
        <v>0</v>
      </c>
      <c r="CW10" s="129">
        <f>SMP!$I$19</f>
        <v>0</v>
      </c>
      <c r="CX10" s="129">
        <f>SMP!$I$20</f>
        <v>0</v>
      </c>
      <c r="CY10" s="129">
        <f>SMP!$I$21</f>
        <v>0</v>
      </c>
      <c r="CZ10" s="129">
        <f>SMP!$I$22</f>
        <v>0</v>
      </c>
      <c r="DA10" s="129">
        <f>SMP!$I$23</f>
        <v>0</v>
      </c>
      <c r="DB10" s="129">
        <f>SMP!$I$24</f>
        <v>0</v>
      </c>
      <c r="DC10" s="129">
        <f>SMP!$I$25</f>
        <v>0</v>
      </c>
      <c r="DD10" s="129">
        <f>SMP!$I$26</f>
        <v>0</v>
      </c>
      <c r="DE10" s="130">
        <f>SMP!$I$27</f>
        <v>0</v>
      </c>
      <c r="DF10" s="130">
        <f>SMP!$I$28</f>
        <v>0</v>
      </c>
      <c r="DG10" s="130">
        <f>SMP!$I$29</f>
        <v>0</v>
      </c>
      <c r="DH10" s="130">
        <f>SMP!$I$30</f>
        <v>0</v>
      </c>
      <c r="DI10" s="130">
        <f>SMP!$I$31</f>
        <v>0</v>
      </c>
      <c r="DJ10" s="130">
        <f>SMP!$I$32</f>
        <v>0</v>
      </c>
      <c r="DK10" s="130">
        <f>SMP!$I$33</f>
        <v>0</v>
      </c>
      <c r="DL10" s="130">
        <f>SMP!$I$34</f>
        <v>0</v>
      </c>
      <c r="DM10" s="130">
        <f>SMP!$I$35</f>
        <v>0</v>
      </c>
      <c r="DN10" s="130">
        <f>SMP!$I$36</f>
        <v>0</v>
      </c>
      <c r="DO10" s="130">
        <f>SMP!$I$37</f>
        <v>0</v>
      </c>
      <c r="DP10" s="130">
        <f>SMP!$I$38</f>
        <v>0</v>
      </c>
      <c r="DQ10" s="130">
        <f>SMP!$I$45</f>
        <v>0</v>
      </c>
      <c r="DR10" s="130">
        <f>SMP!$I$46</f>
        <v>0</v>
      </c>
      <c r="DS10" s="130">
        <f>SMP!$I$47</f>
        <v>0</v>
      </c>
      <c r="DT10" s="130">
        <f>SMP!$I$48</f>
        <v>0</v>
      </c>
      <c r="DU10" s="130">
        <f>SMP!$I$49</f>
        <v>0</v>
      </c>
      <c r="DV10" s="130">
        <f>SMP!$I$50</f>
        <v>0</v>
      </c>
      <c r="DW10" s="130">
        <f>SMP!$I$54</f>
        <v>0</v>
      </c>
      <c r="DX10" s="130">
        <f>SMP!$I$55</f>
        <v>0</v>
      </c>
      <c r="DY10" s="130">
        <f>SMP!$I$56</f>
        <v>0</v>
      </c>
      <c r="DZ10" s="130">
        <f>SMP!$I$57</f>
        <v>0</v>
      </c>
      <c r="EA10" s="130">
        <f>SMP!$I$58</f>
        <v>0</v>
      </c>
      <c r="EB10" s="130">
        <f>SMP!$I$59</f>
        <v>0</v>
      </c>
      <c r="EC10" s="130">
        <f>SMP!$I$60</f>
        <v>0</v>
      </c>
      <c r="ED10" s="130">
        <f>SMP!$I$61</f>
        <v>0</v>
      </c>
      <c r="EE10" s="130">
        <f>SMP!$I$62</f>
        <v>0</v>
      </c>
      <c r="EF10" s="130"/>
      <c r="EG10" s="130"/>
      <c r="EH10" s="130"/>
      <c r="EI10" s="130"/>
      <c r="EJ10" s="130"/>
      <c r="EK10" s="130"/>
      <c r="EL10" s="130"/>
      <c r="EM10" s="130"/>
      <c r="EN10" s="130"/>
      <c r="EO10" s="130"/>
      <c r="EP10" s="130"/>
      <c r="EQ10" s="130"/>
      <c r="ER10" s="130"/>
      <c r="ES10" s="130"/>
      <c r="ET10" s="130"/>
      <c r="EU10" s="130"/>
      <c r="EV10" s="130"/>
      <c r="EW10" s="130"/>
      <c r="EX10" s="130"/>
      <c r="EY10" s="130"/>
      <c r="EZ10" s="130"/>
      <c r="FA10" s="130"/>
      <c r="FB10" s="130"/>
      <c r="FC10" s="130"/>
      <c r="FD10" s="130"/>
      <c r="FE10" s="130"/>
      <c r="FF10" s="130"/>
      <c r="FG10" s="130"/>
      <c r="FH10" s="130"/>
      <c r="FI10" s="130"/>
      <c r="FJ10" s="130"/>
      <c r="FK10" s="130"/>
      <c r="FL10" s="130"/>
      <c r="FM10" s="130"/>
      <c r="FN10" s="130"/>
      <c r="FO10" s="130"/>
      <c r="FP10" s="130"/>
      <c r="FQ10" s="130"/>
      <c r="FR10" s="130"/>
      <c r="FS10" s="130"/>
      <c r="FT10" s="130"/>
      <c r="FU10" s="130"/>
      <c r="FV10" s="130"/>
      <c r="FW10" s="130"/>
      <c r="FX10" s="130"/>
      <c r="FY10" s="130"/>
      <c r="FZ10" s="130"/>
      <c r="GA10" s="130"/>
      <c r="GB10" s="130"/>
      <c r="GC10" s="130"/>
      <c r="GD10" s="130"/>
      <c r="GE10" s="130"/>
      <c r="GF10" s="130"/>
      <c r="GG10" s="130"/>
      <c r="GH10" s="130"/>
      <c r="GI10" s="130"/>
      <c r="GJ10" s="130"/>
      <c r="GK10" s="130"/>
      <c r="GL10" s="130"/>
      <c r="GM10" s="130"/>
      <c r="GN10" s="130"/>
      <c r="GO10" s="130"/>
      <c r="GP10" s="130"/>
      <c r="GQ10" s="130"/>
      <c r="GR10" s="130"/>
      <c r="GS10" s="130"/>
      <c r="GT10" s="130"/>
      <c r="GU10" s="130"/>
      <c r="GV10" s="130"/>
      <c r="GW10" s="130"/>
      <c r="GX10" s="130"/>
      <c r="GY10" s="130"/>
      <c r="GZ10" s="130"/>
      <c r="HA10" s="130"/>
      <c r="HB10" s="130"/>
      <c r="HC10" s="130"/>
      <c r="HD10" s="130"/>
      <c r="HE10" s="130"/>
      <c r="HF10" s="130"/>
      <c r="HG10" s="130"/>
      <c r="HH10" s="130"/>
      <c r="HI10" s="130"/>
      <c r="HJ10" s="130"/>
      <c r="HK10" s="130"/>
      <c r="HL10" s="130"/>
      <c r="HM10" s="130"/>
      <c r="HN10" s="130"/>
      <c r="HO10" s="130"/>
      <c r="HP10" s="130"/>
      <c r="HQ10" s="130"/>
      <c r="HR10" s="130"/>
      <c r="HS10" s="130"/>
      <c r="HT10" s="130"/>
      <c r="HU10" s="130"/>
      <c r="HV10" s="130"/>
      <c r="HW10" s="130"/>
      <c r="HX10" s="130"/>
      <c r="HY10" s="130"/>
      <c r="HZ10" s="130"/>
      <c r="IA10" s="130"/>
      <c r="IB10" s="130"/>
      <c r="IC10" s="130"/>
      <c r="ID10" s="130"/>
      <c r="IE10" s="130"/>
      <c r="IF10" s="130"/>
      <c r="IG10" s="130"/>
      <c r="IH10" s="130"/>
      <c r="II10" s="130"/>
      <c r="IJ10" s="130"/>
      <c r="IK10" s="130"/>
      <c r="IL10" s="130"/>
      <c r="IM10" s="130"/>
      <c r="IN10" s="130"/>
      <c r="IO10" s="130"/>
      <c r="IP10" s="130"/>
      <c r="IQ10" s="130"/>
      <c r="IR10" s="130"/>
      <c r="IS10" s="130"/>
      <c r="IT10" s="130"/>
      <c r="IU10" s="130"/>
      <c r="IV10" s="130"/>
      <c r="IW10" s="130"/>
      <c r="IX10" s="130"/>
      <c r="IY10" s="130"/>
      <c r="IZ10" s="130"/>
      <c r="JA10" s="130"/>
      <c r="JB10" s="130"/>
      <c r="JC10" s="130"/>
      <c r="JD10" s="130"/>
      <c r="JE10" s="130"/>
      <c r="JF10" s="130"/>
      <c r="JG10" s="130"/>
      <c r="JH10" s="130"/>
      <c r="JI10" s="130"/>
      <c r="JJ10" s="130"/>
      <c r="JK10" s="130"/>
      <c r="JL10" s="130"/>
      <c r="JM10" s="130"/>
      <c r="JN10" s="130"/>
      <c r="JO10" s="130"/>
      <c r="JP10" s="130"/>
      <c r="JQ10" s="130"/>
      <c r="JR10" s="130"/>
      <c r="JS10" s="130"/>
      <c r="JT10" s="130"/>
      <c r="JU10" s="130"/>
      <c r="JV10" s="130"/>
      <c r="JW10" s="130"/>
      <c r="JX10" s="130"/>
      <c r="JY10" s="130"/>
      <c r="JZ10" s="130"/>
      <c r="KA10" s="130"/>
      <c r="KB10" s="130"/>
      <c r="KC10" s="130"/>
      <c r="KD10" s="130"/>
      <c r="KE10" s="130"/>
      <c r="KF10" s="130"/>
      <c r="KG10" s="130"/>
      <c r="KH10" s="130"/>
      <c r="KI10" s="130"/>
      <c r="KJ10" s="130"/>
      <c r="KK10" s="130"/>
      <c r="KL10" s="130"/>
      <c r="KM10" s="130"/>
      <c r="KN10" s="130"/>
      <c r="KO10" s="130"/>
      <c r="KP10" s="130"/>
      <c r="KQ10" s="130"/>
      <c r="KR10" s="130"/>
      <c r="KS10" s="130"/>
      <c r="KT10" s="130"/>
      <c r="KU10" s="130"/>
      <c r="KV10" s="130"/>
      <c r="KW10" s="130"/>
      <c r="KX10" s="130"/>
      <c r="KY10" s="130"/>
      <c r="KZ10" s="130"/>
      <c r="LA10" s="130"/>
      <c r="LB10" s="130"/>
      <c r="LC10" s="130"/>
      <c r="LD10" s="130"/>
      <c r="LE10" s="130"/>
      <c r="LF10" s="130"/>
      <c r="LG10" s="130"/>
      <c r="LH10" s="130"/>
      <c r="LI10" s="130"/>
      <c r="LJ10" s="130"/>
      <c r="LK10" s="130"/>
      <c r="LL10" s="130"/>
      <c r="LM10" s="130"/>
      <c r="LN10" s="130"/>
      <c r="LO10" s="130"/>
      <c r="LP10" s="130"/>
      <c r="LQ10" s="130"/>
      <c r="LR10" s="130"/>
      <c r="LS10" s="130"/>
      <c r="LT10" s="130"/>
      <c r="LU10" s="130"/>
      <c r="LV10" s="130"/>
      <c r="LW10" s="130"/>
      <c r="LX10" s="130"/>
      <c r="LY10" s="130"/>
      <c r="LZ10" s="130"/>
      <c r="MA10" s="130"/>
      <c r="MB10" s="130"/>
      <c r="MC10" s="130"/>
      <c r="MD10" s="130"/>
      <c r="ME10" s="130"/>
      <c r="MF10" s="130"/>
      <c r="MG10" s="130"/>
      <c r="MH10" s="130"/>
      <c r="MI10" s="130"/>
      <c r="MJ10" s="130"/>
      <c r="MK10" s="130"/>
      <c r="ML10" s="130"/>
      <c r="MM10" s="130"/>
      <c r="MN10" s="130"/>
      <c r="MO10" s="130"/>
      <c r="MP10" s="130"/>
      <c r="MQ10" s="130"/>
      <c r="MR10" s="130"/>
      <c r="MS10" s="130"/>
      <c r="MT10" s="130"/>
      <c r="MU10" s="130"/>
      <c r="MV10" s="130"/>
      <c r="MW10" s="130"/>
      <c r="MX10" s="130"/>
      <c r="MY10" s="130"/>
      <c r="MZ10" s="130"/>
      <c r="NA10" s="130"/>
      <c r="NB10" s="130"/>
      <c r="NC10" s="130"/>
      <c r="ND10" s="130"/>
      <c r="NE10" s="130"/>
      <c r="NF10" s="130"/>
      <c r="NG10" s="130"/>
      <c r="NH10" s="130"/>
      <c r="NI10" s="130"/>
      <c r="NJ10" s="130"/>
      <c r="NK10" s="130"/>
      <c r="NL10" s="130"/>
      <c r="NM10" s="130"/>
      <c r="NN10" s="130"/>
      <c r="NO10" s="130"/>
      <c r="NP10" s="130"/>
      <c r="NQ10" s="130"/>
      <c r="NR10" s="130"/>
      <c r="NS10" s="130"/>
      <c r="NT10" s="130"/>
      <c r="NU10" s="130"/>
      <c r="NV10" s="130"/>
      <c r="NW10" s="130"/>
      <c r="NX10" s="130"/>
      <c r="NY10" s="130"/>
      <c r="NZ10" s="130"/>
      <c r="OA10" s="130"/>
      <c r="OB10" s="130"/>
      <c r="OC10" s="130"/>
      <c r="OD10" s="130"/>
      <c r="OE10" s="130"/>
      <c r="OF10" s="130"/>
      <c r="OG10" s="130"/>
      <c r="OH10" s="130"/>
      <c r="OI10" s="130"/>
      <c r="OJ10" s="130"/>
      <c r="OK10" s="130"/>
      <c r="OL10" s="130"/>
      <c r="OM10" s="130"/>
      <c r="ON10" s="130"/>
      <c r="OO10" s="130"/>
      <c r="OP10" s="130"/>
      <c r="OQ10" s="130"/>
      <c r="OR10" s="130"/>
      <c r="OS10" s="130"/>
      <c r="OT10" s="130"/>
      <c r="OU10" s="130"/>
      <c r="OV10" s="130"/>
      <c r="OW10" s="130"/>
      <c r="OX10" s="130"/>
      <c r="OY10" s="130"/>
      <c r="OZ10" s="130"/>
      <c r="PA10" s="130"/>
      <c r="PB10" s="130"/>
      <c r="PC10" s="130"/>
      <c r="PD10" s="130"/>
      <c r="PE10" s="130"/>
      <c r="PF10" s="130"/>
      <c r="PG10" s="130"/>
      <c r="PH10" s="130"/>
      <c r="PI10" s="130"/>
      <c r="PJ10" s="130"/>
      <c r="PK10" s="130"/>
      <c r="PL10" s="130"/>
      <c r="PM10" s="130"/>
      <c r="PN10" s="130"/>
      <c r="PO10" s="130"/>
      <c r="PP10" s="130"/>
      <c r="PQ10" s="130"/>
      <c r="PR10" s="130"/>
      <c r="PS10" s="130"/>
      <c r="PT10" s="130"/>
      <c r="PU10" s="130"/>
      <c r="PV10" s="130"/>
      <c r="PW10" s="130"/>
      <c r="PX10" s="130"/>
      <c r="PY10" s="130"/>
      <c r="PZ10" s="130"/>
      <c r="QA10" s="130"/>
      <c r="QB10" s="130"/>
      <c r="QC10" s="130"/>
      <c r="QD10" s="130"/>
      <c r="QE10" s="130"/>
      <c r="QF10" s="130"/>
      <c r="QG10" s="130"/>
      <c r="QH10" s="130"/>
      <c r="QI10" s="130"/>
      <c r="QJ10" s="130"/>
      <c r="QK10" s="130"/>
      <c r="QL10" s="130"/>
      <c r="QM10" s="130"/>
      <c r="QN10" s="130"/>
      <c r="QO10" s="130"/>
      <c r="QP10" s="130"/>
      <c r="QQ10" s="130"/>
      <c r="QR10" s="130"/>
      <c r="QS10" s="130"/>
      <c r="QT10" s="130"/>
      <c r="QU10" s="130"/>
      <c r="QV10" s="130"/>
      <c r="QW10" s="130"/>
      <c r="QX10" s="130"/>
      <c r="QY10" s="130"/>
      <c r="QZ10" s="130"/>
      <c r="RA10" s="130"/>
      <c r="RB10" s="130"/>
      <c r="RC10" s="130"/>
      <c r="RD10" s="130"/>
      <c r="RE10" s="130"/>
      <c r="RF10" s="130"/>
      <c r="RG10" s="130"/>
      <c r="RH10" s="130"/>
      <c r="RI10" s="130"/>
      <c r="RJ10" s="130"/>
      <c r="RK10" s="130"/>
      <c r="RL10" s="130"/>
      <c r="RM10" s="130"/>
      <c r="RN10" s="130"/>
      <c r="RO10" s="130"/>
      <c r="RP10" s="130"/>
      <c r="RQ10" s="130"/>
      <c r="RR10" s="130"/>
      <c r="RS10" s="130"/>
      <c r="RT10" s="130"/>
      <c r="RU10" s="130"/>
      <c r="RV10" s="130"/>
      <c r="RW10" s="130"/>
      <c r="RX10" s="130"/>
      <c r="RY10" s="130"/>
      <c r="RZ10" s="130"/>
      <c r="SA10" s="130"/>
      <c r="SB10" s="130"/>
      <c r="SC10" s="130"/>
      <c r="SD10" s="130"/>
      <c r="SE10" s="130"/>
      <c r="SF10" s="130"/>
      <c r="SG10" s="130"/>
      <c r="SH10" s="130"/>
      <c r="SI10" s="130"/>
      <c r="SJ10" s="130"/>
      <c r="SK10" s="130"/>
      <c r="SL10" s="130"/>
      <c r="SM10" s="130"/>
      <c r="SN10" s="130"/>
      <c r="SO10" s="130"/>
      <c r="SP10" s="130"/>
      <c r="SQ10" s="130"/>
      <c r="SR10" s="130"/>
      <c r="SS10" s="130"/>
      <c r="ST10" s="130"/>
      <c r="SU10" s="130"/>
      <c r="SV10" s="130"/>
      <c r="SW10" s="130"/>
      <c r="SX10" s="130"/>
      <c r="SY10" s="130"/>
      <c r="SZ10" s="130"/>
      <c r="TA10" s="130"/>
      <c r="TB10" s="130"/>
      <c r="TC10" s="130"/>
      <c r="TD10" s="130"/>
      <c r="TE10" s="130"/>
      <c r="TF10" s="130"/>
      <c r="TG10" s="130"/>
      <c r="TH10" s="130"/>
      <c r="TI10" s="130"/>
      <c r="TJ10" s="130"/>
      <c r="TK10" s="130"/>
      <c r="TL10" s="130"/>
      <c r="TM10" s="130"/>
      <c r="TN10" s="130"/>
      <c r="TO10" s="130"/>
      <c r="TP10" s="130"/>
      <c r="TQ10" s="130"/>
      <c r="TR10" s="130"/>
      <c r="TS10" s="130"/>
      <c r="TT10" s="130"/>
      <c r="TU10" s="130"/>
      <c r="TV10" s="130"/>
      <c r="TW10" s="130"/>
      <c r="TX10" s="130"/>
      <c r="TY10" s="130"/>
      <c r="TZ10" s="130"/>
      <c r="UA10" s="130"/>
      <c r="UB10" s="130"/>
      <c r="UC10" s="130"/>
      <c r="UD10" s="130"/>
      <c r="UE10" s="130"/>
      <c r="UF10" s="130"/>
      <c r="UG10" s="130"/>
      <c r="UH10" s="130"/>
      <c r="UI10" s="130"/>
      <c r="UJ10" s="130"/>
      <c r="UK10" s="130"/>
      <c r="UL10" s="130"/>
      <c r="UM10" s="130"/>
      <c r="UN10" s="130"/>
      <c r="UO10" s="130"/>
      <c r="UP10" s="130"/>
      <c r="UQ10" s="130"/>
      <c r="UR10" s="130"/>
      <c r="US10" s="130"/>
      <c r="UT10" s="130"/>
      <c r="UU10" s="130"/>
      <c r="UV10" s="130"/>
      <c r="UW10" s="130"/>
      <c r="UX10" s="130"/>
      <c r="UY10" s="130"/>
      <c r="UZ10" s="130"/>
      <c r="VA10" s="130"/>
      <c r="VB10" s="130"/>
      <c r="VC10" s="130"/>
      <c r="VD10" s="130"/>
      <c r="VE10" s="130"/>
      <c r="VF10" s="130"/>
      <c r="VG10" s="130"/>
      <c r="VH10" s="130"/>
      <c r="VI10" s="130"/>
      <c r="VJ10" s="130"/>
      <c r="VK10" s="130"/>
      <c r="VL10" s="130"/>
      <c r="VM10" s="130"/>
      <c r="VN10" s="130"/>
      <c r="VO10" s="130"/>
      <c r="VP10" s="130"/>
      <c r="VQ10" s="130"/>
      <c r="VR10" s="130"/>
      <c r="VS10" s="130"/>
      <c r="VT10" s="130"/>
      <c r="VU10" s="130"/>
      <c r="VV10" s="130"/>
      <c r="VW10" s="130"/>
      <c r="VX10" s="130"/>
      <c r="VY10" s="130"/>
      <c r="VZ10" s="130"/>
      <c r="WA10" s="130"/>
      <c r="WB10" s="130"/>
      <c r="WC10" s="130"/>
      <c r="WD10" s="130"/>
      <c r="WE10" s="130"/>
      <c r="WF10" s="130"/>
      <c r="WG10" s="130"/>
      <c r="WH10" s="130"/>
      <c r="WI10" s="130"/>
      <c r="WJ10" s="130"/>
      <c r="WK10" s="130"/>
      <c r="WL10" s="130"/>
      <c r="WM10" s="130"/>
      <c r="WN10" s="130"/>
      <c r="WO10" s="130"/>
      <c r="WP10" s="130"/>
      <c r="WQ10" s="130"/>
      <c r="WR10" s="130"/>
      <c r="WS10" s="130"/>
      <c r="WT10" s="130"/>
      <c r="WU10" s="130"/>
      <c r="WV10" s="130"/>
      <c r="WW10" s="130"/>
      <c r="WX10" s="130"/>
      <c r="WY10" s="130"/>
      <c r="WZ10" s="130"/>
      <c r="XA10" s="130"/>
      <c r="XB10" s="130"/>
      <c r="XC10" s="130"/>
      <c r="XD10" s="130"/>
      <c r="XE10" s="130"/>
      <c r="XF10" s="130"/>
      <c r="XG10" s="130"/>
      <c r="XH10" s="130"/>
      <c r="XI10" s="130"/>
      <c r="XJ10" s="130"/>
      <c r="XK10" s="130"/>
      <c r="XL10" s="130"/>
      <c r="XM10" s="130"/>
      <c r="XN10" s="130"/>
      <c r="XO10" s="130"/>
      <c r="XP10" s="130"/>
      <c r="XQ10" s="130"/>
      <c r="XR10" s="130"/>
      <c r="XS10" s="130"/>
      <c r="XT10" s="130"/>
      <c r="XU10" s="130"/>
      <c r="XV10" s="130"/>
      <c r="XW10" s="130"/>
      <c r="XX10" s="130"/>
      <c r="XY10" s="130"/>
      <c r="XZ10" s="130"/>
      <c r="YA10" s="130"/>
      <c r="YB10" s="130"/>
      <c r="YC10" s="130"/>
      <c r="YD10" s="130"/>
      <c r="YE10" s="130"/>
      <c r="YF10" s="130"/>
      <c r="YG10" s="130"/>
      <c r="YH10" s="130"/>
      <c r="YI10" s="130"/>
      <c r="YJ10" s="130"/>
      <c r="YK10" s="130"/>
      <c r="YL10" s="130"/>
      <c r="YM10" s="130"/>
      <c r="YN10" s="130"/>
      <c r="YO10" s="130"/>
      <c r="YP10" s="130"/>
      <c r="YQ10" s="130"/>
      <c r="YR10" s="130"/>
      <c r="YS10" s="130"/>
      <c r="YT10" s="130"/>
      <c r="YU10" s="130"/>
      <c r="YV10" s="130"/>
      <c r="YW10" s="130"/>
      <c r="YX10" s="130"/>
      <c r="YY10" s="130"/>
      <c r="YZ10" s="130"/>
      <c r="ZA10" s="130"/>
      <c r="ZB10" s="130"/>
      <c r="ZC10" s="130"/>
      <c r="ZD10" s="130"/>
      <c r="ZE10" s="130"/>
      <c r="ZF10" s="130"/>
      <c r="ZG10" s="130"/>
      <c r="ZH10" s="130"/>
      <c r="ZI10" s="130"/>
      <c r="ZJ10" s="130"/>
      <c r="ZK10" s="130"/>
      <c r="ZL10" s="130"/>
      <c r="ZM10" s="130"/>
      <c r="ZN10" s="130"/>
      <c r="ZO10" s="130"/>
      <c r="ZP10" s="130"/>
      <c r="ZQ10" s="130"/>
      <c r="ZR10" s="130"/>
      <c r="ZS10" s="130"/>
      <c r="ZT10" s="130"/>
      <c r="ZU10" s="130"/>
      <c r="ZV10" s="130"/>
      <c r="ZW10" s="130"/>
      <c r="ZX10" s="130"/>
      <c r="ZY10" s="130"/>
      <c r="ZZ10" s="130"/>
      <c r="AAA10" s="130"/>
      <c r="AAB10" s="130"/>
      <c r="AAC10" s="130"/>
      <c r="AAD10" s="130"/>
      <c r="AAE10" s="130"/>
      <c r="AAF10" s="130"/>
      <c r="AAG10" s="130"/>
      <c r="AAH10" s="130"/>
      <c r="AAI10" s="130"/>
      <c r="AAJ10" s="130"/>
      <c r="AAK10" s="130"/>
      <c r="AAL10" s="130"/>
      <c r="AAM10" s="130"/>
      <c r="AAN10" s="130"/>
      <c r="AAO10" s="130"/>
      <c r="AAP10" s="130"/>
      <c r="AAQ10" s="130"/>
      <c r="AAR10" s="130"/>
      <c r="AAS10" s="130"/>
      <c r="AAT10" s="130"/>
      <c r="AAU10" s="130"/>
      <c r="AAV10" s="130"/>
      <c r="AAW10" s="130"/>
      <c r="AAX10" s="130"/>
      <c r="AAY10" s="130"/>
      <c r="AAZ10" s="130"/>
      <c r="ABA10" s="130"/>
      <c r="ABB10" s="130"/>
      <c r="ABC10" s="130"/>
      <c r="ABD10" s="130"/>
      <c r="ABE10" s="130"/>
      <c r="ABF10" s="130"/>
      <c r="ABG10" s="130"/>
      <c r="ABH10" s="130"/>
      <c r="ABI10" s="130"/>
      <c r="ABJ10" s="130"/>
      <c r="ABK10" s="130"/>
      <c r="ABL10" s="130"/>
      <c r="ABM10" s="130"/>
      <c r="ABN10" s="130"/>
      <c r="ABO10" s="130"/>
      <c r="ABP10" s="130"/>
      <c r="ABQ10" s="130"/>
      <c r="ABR10" s="130"/>
      <c r="ABS10" s="130"/>
      <c r="ABT10" s="130"/>
      <c r="ABU10" s="130"/>
      <c r="ABV10" s="130"/>
      <c r="ABW10" s="130"/>
      <c r="ABX10" s="130"/>
      <c r="ABY10" s="130"/>
      <c r="ABZ10" s="130"/>
      <c r="ACA10" s="130"/>
      <c r="ACB10" s="130"/>
      <c r="ACC10" s="130"/>
      <c r="ACD10" s="130"/>
      <c r="ACE10" s="130"/>
      <c r="ACF10" s="130"/>
      <c r="ACG10" s="130"/>
      <c r="ACH10" s="130"/>
      <c r="ACI10" s="130"/>
      <c r="ACJ10" s="130"/>
      <c r="ACK10" s="130"/>
      <c r="ACL10" s="130"/>
      <c r="ACM10" s="130"/>
      <c r="ACN10" s="130"/>
      <c r="ACO10" s="130"/>
      <c r="ACP10" s="130"/>
      <c r="ACQ10" s="130"/>
      <c r="ACR10" s="130"/>
      <c r="ACS10" s="130"/>
      <c r="ACT10" s="130"/>
      <c r="ACU10" s="130"/>
      <c r="ACV10" s="130"/>
      <c r="ACW10" s="130"/>
      <c r="ACX10" s="130"/>
      <c r="ACY10" s="130"/>
      <c r="ACZ10" s="130"/>
      <c r="ADA10" s="130"/>
      <c r="ADB10" s="130"/>
      <c r="ADC10" s="130"/>
      <c r="ADD10" s="130"/>
      <c r="ADE10" s="130"/>
      <c r="ADF10" s="130"/>
      <c r="ADG10" s="130"/>
      <c r="ADH10" s="130"/>
      <c r="ADI10" s="130"/>
      <c r="ADJ10" s="130"/>
      <c r="ADK10" s="130"/>
      <c r="ADL10" s="130"/>
      <c r="ADM10" s="130"/>
      <c r="ADN10" s="130"/>
      <c r="ADO10" s="130"/>
      <c r="ADP10" s="130"/>
      <c r="ADQ10" s="130"/>
      <c r="ADR10" s="130"/>
      <c r="ADS10" s="130"/>
      <c r="ADT10" s="130"/>
      <c r="ADU10" s="130"/>
      <c r="ADV10" s="130"/>
      <c r="ADW10" s="130"/>
      <c r="ADX10" s="130"/>
      <c r="ADY10" s="130"/>
      <c r="ADZ10" s="130"/>
      <c r="AEA10" s="130"/>
      <c r="AEB10" s="130"/>
      <c r="AEC10" s="130"/>
      <c r="AED10" s="130"/>
      <c r="AEE10" s="130"/>
      <c r="AEF10" s="130"/>
      <c r="AEG10" s="130"/>
      <c r="AEH10" s="130"/>
      <c r="AEI10" s="130"/>
      <c r="AEJ10" s="130"/>
      <c r="AEK10" s="130"/>
      <c r="AEL10" s="130"/>
      <c r="AEM10" s="130"/>
      <c r="AEN10" s="130"/>
      <c r="AEO10" s="130"/>
      <c r="AEP10" s="130"/>
      <c r="AEQ10" s="130"/>
      <c r="AER10" s="130"/>
      <c r="AES10" s="130"/>
      <c r="AET10" s="130"/>
      <c r="AEU10" s="130"/>
      <c r="AEV10" s="130"/>
      <c r="AEW10" s="130"/>
    </row>
    <row r="11" spans="1:830" ht="22.5" customHeight="1" x14ac:dyDescent="0.25">
      <c r="A11" s="36"/>
      <c r="B11" s="142" t="s">
        <v>185</v>
      </c>
      <c r="C11" s="160">
        <f>REKAP!$J$6</f>
        <v>0</v>
      </c>
      <c r="D11" s="124">
        <f>REKAP!$J$4</f>
        <v>0</v>
      </c>
      <c r="E11" s="159">
        <f>REKAP!$J$5</f>
        <v>0</v>
      </c>
      <c r="F11" s="36"/>
      <c r="G11" s="138" t="s">
        <v>218</v>
      </c>
      <c r="H11" s="4" t="s">
        <v>220</v>
      </c>
      <c r="I11" s="143"/>
      <c r="J11" s="141">
        <f t="shared" si="0"/>
        <v>0</v>
      </c>
      <c r="K11" s="7"/>
      <c r="L11" s="7"/>
      <c r="M11" s="7"/>
      <c r="N11" s="130"/>
      <c r="O11" s="7"/>
      <c r="P11" s="7"/>
      <c r="Q11" s="7"/>
      <c r="R11" s="7"/>
      <c r="S11" s="7"/>
      <c r="T11" s="130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30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30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30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130">
        <f>SMA!$F$6</f>
        <v>0</v>
      </c>
      <c r="EG11" s="130">
        <f>SMA!$F$7</f>
        <v>0</v>
      </c>
      <c r="EH11" s="130">
        <f>SMA!$F$8</f>
        <v>0</v>
      </c>
      <c r="EI11" s="130">
        <f>SMA!$F$9</f>
        <v>0</v>
      </c>
      <c r="EJ11" s="130">
        <f>SMA!$F$10</f>
        <v>0</v>
      </c>
      <c r="EK11" s="130">
        <f>SMA!$F$11</f>
        <v>0</v>
      </c>
      <c r="EL11" s="130">
        <f>SMA!$F$14</f>
        <v>0</v>
      </c>
      <c r="EM11" s="130">
        <f>SMA!$F$15</f>
        <v>0</v>
      </c>
      <c r="EN11" s="130">
        <f>SMA!$F$16</f>
        <v>0</v>
      </c>
      <c r="EO11" s="130">
        <f>SMA!$F$17</f>
        <v>0</v>
      </c>
      <c r="EP11" s="130">
        <f>SMA!$F$18</f>
        <v>0</v>
      </c>
      <c r="EQ11" s="130">
        <f>SMA!$F$19</f>
        <v>0</v>
      </c>
      <c r="ER11" s="130">
        <f>SMA!$F$20</f>
        <v>0</v>
      </c>
      <c r="ES11" s="130">
        <f>SMA!$F$21</f>
        <v>0</v>
      </c>
      <c r="ET11" s="130">
        <f>SMA!$F$22</f>
        <v>0</v>
      </c>
      <c r="EU11" s="130">
        <f>SMA!$F$23</f>
        <v>0</v>
      </c>
      <c r="EV11" s="130">
        <f>SMA!$F$24</f>
        <v>0</v>
      </c>
      <c r="EW11" s="130">
        <f>SMA!$F$25</f>
        <v>0</v>
      </c>
      <c r="EX11" s="130">
        <f>SMA!$F$26</f>
        <v>0</v>
      </c>
      <c r="EY11" s="130">
        <f>SMA!$F$27</f>
        <v>0</v>
      </c>
      <c r="EZ11" s="130">
        <f>SMA!$F$28</f>
        <v>0</v>
      </c>
      <c r="FA11" s="130">
        <f>SMA!$F$29</f>
        <v>0</v>
      </c>
      <c r="FB11" s="130">
        <f>SMA!$F$30</f>
        <v>0</v>
      </c>
      <c r="FC11" s="130">
        <f>SMA!$F$31</f>
        <v>0</v>
      </c>
      <c r="FD11" s="130">
        <f>SMA!$F$32</f>
        <v>0</v>
      </c>
      <c r="FE11" s="130">
        <f>SMA!$F$33</f>
        <v>0</v>
      </c>
      <c r="FF11" s="130">
        <f>SMA!$F$34</f>
        <v>0</v>
      </c>
      <c r="FG11" s="130">
        <f>SMA!$F$35</f>
        <v>0</v>
      </c>
      <c r="FH11" s="130">
        <f>SMA!$F$36</f>
        <v>0</v>
      </c>
      <c r="FI11" s="130">
        <f>SMA!$F$37</f>
        <v>0</v>
      </c>
      <c r="FJ11" s="130">
        <f>SMA!$F$38</f>
        <v>0</v>
      </c>
      <c r="FK11" s="130">
        <f>SMA!$F$39</f>
        <v>0</v>
      </c>
      <c r="FL11" s="130">
        <f>SMA!$F$40</f>
        <v>0</v>
      </c>
      <c r="FM11" s="130">
        <f>SMA!$F$41</f>
        <v>0</v>
      </c>
      <c r="FN11" s="130">
        <f>SMA!$F$44</f>
        <v>0</v>
      </c>
      <c r="FO11" s="130">
        <f>SMA!$F$45</f>
        <v>0</v>
      </c>
      <c r="FP11" s="130">
        <f>SMA!$F$46</f>
        <v>0</v>
      </c>
      <c r="FQ11" s="130">
        <f>SMA!$F$47</f>
        <v>0</v>
      </c>
      <c r="FR11" s="130">
        <f>SMA!$F$48</f>
        <v>0</v>
      </c>
      <c r="FS11" s="130">
        <f>SMA!$F$49</f>
        <v>0</v>
      </c>
      <c r="FT11" s="130">
        <f>SMA!$F$50</f>
        <v>0</v>
      </c>
      <c r="FU11" s="130">
        <f>SMA!$F$51</f>
        <v>0</v>
      </c>
      <c r="FV11" s="130">
        <f>SMA!$F$52</f>
        <v>0</v>
      </c>
      <c r="FW11" s="130">
        <f>SMA!$F$53</f>
        <v>0</v>
      </c>
      <c r="FX11" s="130">
        <f>SMA!$F$54</f>
        <v>0</v>
      </c>
      <c r="FY11" s="130">
        <f>SMA!$F$55</f>
        <v>0</v>
      </c>
      <c r="FZ11" s="130">
        <f>SMA!$F$56</f>
        <v>0</v>
      </c>
      <c r="GA11" s="130">
        <f>SMA!$F$57</f>
        <v>0</v>
      </c>
      <c r="GB11" s="130">
        <f>SMA!$F$58</f>
        <v>0</v>
      </c>
      <c r="GC11" s="130">
        <f>SMA!$F$59</f>
        <v>0</v>
      </c>
      <c r="GD11" s="130">
        <f>SMA!$F$60</f>
        <v>0</v>
      </c>
      <c r="GE11" s="130">
        <f>SMA!$F$61</f>
        <v>0</v>
      </c>
      <c r="GF11" s="130">
        <f>SMA!$F$62</f>
        <v>0</v>
      </c>
      <c r="GG11" s="130">
        <f>SMA!$F$63</f>
        <v>0</v>
      </c>
      <c r="GH11" s="130">
        <f>SMA!$F$70</f>
        <v>0</v>
      </c>
      <c r="GI11" s="130">
        <f>SMA!$F$71</f>
        <v>0</v>
      </c>
      <c r="GJ11" s="130">
        <f>SMA!$F$72</f>
        <v>0</v>
      </c>
      <c r="GK11" s="130">
        <f>SMA!$F$73</f>
        <v>0</v>
      </c>
      <c r="GL11" s="130">
        <f>SMA!$F$74</f>
        <v>0</v>
      </c>
      <c r="GM11" s="130">
        <f>SMA!$F$75</f>
        <v>0</v>
      </c>
      <c r="GN11" s="130">
        <f>SMA!$F$79</f>
        <v>0</v>
      </c>
      <c r="GO11" s="130">
        <f>SMA!$F$80</f>
        <v>0</v>
      </c>
      <c r="GP11" s="130">
        <f>SMA!$F$81</f>
        <v>0</v>
      </c>
      <c r="GQ11" s="130">
        <f>SMA!$F$82</f>
        <v>0</v>
      </c>
      <c r="GR11" s="130">
        <f>SMA!$F$83</f>
        <v>0</v>
      </c>
      <c r="GS11" s="130">
        <f>SMA!$F$84</f>
        <v>0</v>
      </c>
      <c r="GT11" s="130">
        <f>SMA!$F$85</f>
        <v>0</v>
      </c>
      <c r="GU11" s="130">
        <f>SMA!$F$86</f>
        <v>0</v>
      </c>
      <c r="GV11" s="130">
        <f>SMA!$F$87</f>
        <v>0</v>
      </c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4"/>
      <c r="HU11" s="4"/>
      <c r="HV11" s="4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36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36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36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36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7"/>
      <c r="YG11" s="7"/>
      <c r="YH11" s="7"/>
      <c r="YI11" s="7"/>
      <c r="YJ11" s="7"/>
      <c r="YK11" s="7"/>
      <c r="YL11" s="7"/>
      <c r="YM11" s="7"/>
      <c r="YN11" s="7"/>
      <c r="YO11" s="7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7"/>
      <c r="ZA11" s="7"/>
      <c r="ZB11" s="7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4"/>
      <c r="ZW11" s="7"/>
      <c r="ZX11" s="7"/>
      <c r="ZY11" s="7"/>
      <c r="ZZ11" s="7"/>
      <c r="AAA11" s="7"/>
      <c r="AAB11" s="7"/>
      <c r="AAC11" s="7"/>
      <c r="AAD11" s="7"/>
      <c r="AAE11" s="7"/>
      <c r="AAF11" s="36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4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7"/>
      <c r="ABN11" s="7"/>
      <c r="ABO11" s="7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7"/>
      <c r="ACA11" s="7"/>
      <c r="ACB11" s="7"/>
      <c r="ACC11" s="7"/>
      <c r="ACD11" s="7"/>
      <c r="ACE11" s="7"/>
      <c r="ACF11" s="7"/>
      <c r="ACG11" s="7"/>
      <c r="ACH11" s="7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144" t="s">
        <v>221</v>
      </c>
    </row>
    <row r="12" spans="1:830" ht="22.5" customHeight="1" x14ac:dyDescent="0.25">
      <c r="A12" s="36"/>
      <c r="B12" s="142" t="s">
        <v>411</v>
      </c>
      <c r="C12" s="160">
        <f>REKAP!$J$6</f>
        <v>0</v>
      </c>
      <c r="D12" s="124">
        <f>REKAP!$J$4</f>
        <v>0</v>
      </c>
      <c r="E12" s="159">
        <f>REKAP!$J$5</f>
        <v>0</v>
      </c>
      <c r="F12" s="36"/>
      <c r="G12" s="138" t="s">
        <v>219</v>
      </c>
      <c r="H12" s="4" t="s">
        <v>193</v>
      </c>
      <c r="I12" s="143"/>
      <c r="J12" s="141">
        <f t="shared" si="0"/>
        <v>0</v>
      </c>
      <c r="K12" s="7"/>
      <c r="L12" s="7"/>
      <c r="M12" s="7"/>
      <c r="N12" s="130">
        <f>ROUND(N56,0)</f>
        <v>0</v>
      </c>
      <c r="O12" s="130">
        <f t="shared" ref="O12:BZ12" si="27">ROUND(O56,0)</f>
        <v>0</v>
      </c>
      <c r="P12" s="130">
        <f t="shared" si="27"/>
        <v>0</v>
      </c>
      <c r="Q12" s="130">
        <f t="shared" si="27"/>
        <v>0</v>
      </c>
      <c r="R12" s="130">
        <f t="shared" si="27"/>
        <v>0</v>
      </c>
      <c r="S12" s="130">
        <f t="shared" si="27"/>
        <v>0</v>
      </c>
      <c r="T12" s="130">
        <f t="shared" si="27"/>
        <v>0</v>
      </c>
      <c r="U12" s="130">
        <f t="shared" si="27"/>
        <v>0</v>
      </c>
      <c r="V12" s="130">
        <f t="shared" si="27"/>
        <v>0</v>
      </c>
      <c r="W12" s="130">
        <f t="shared" si="27"/>
        <v>0</v>
      </c>
      <c r="X12" s="130">
        <f t="shared" si="27"/>
        <v>0</v>
      </c>
      <c r="Y12" s="130">
        <f t="shared" si="27"/>
        <v>0</v>
      </c>
      <c r="Z12" s="130">
        <f t="shared" si="27"/>
        <v>0</v>
      </c>
      <c r="AA12" s="130">
        <f t="shared" si="27"/>
        <v>0</v>
      </c>
      <c r="AB12" s="130">
        <f t="shared" si="27"/>
        <v>0</v>
      </c>
      <c r="AC12" s="130">
        <f t="shared" si="27"/>
        <v>0</v>
      </c>
      <c r="AD12" s="130">
        <f t="shared" si="27"/>
        <v>0</v>
      </c>
      <c r="AE12" s="130">
        <f t="shared" si="27"/>
        <v>0</v>
      </c>
      <c r="AF12" s="130">
        <f t="shared" si="27"/>
        <v>0</v>
      </c>
      <c r="AG12" s="130">
        <f t="shared" si="27"/>
        <v>0</v>
      </c>
      <c r="AH12" s="130">
        <f t="shared" si="27"/>
        <v>0</v>
      </c>
      <c r="AI12" s="130">
        <f t="shared" si="27"/>
        <v>0</v>
      </c>
      <c r="AJ12" s="130">
        <f t="shared" si="27"/>
        <v>0</v>
      </c>
      <c r="AK12" s="130">
        <f t="shared" si="27"/>
        <v>0</v>
      </c>
      <c r="AL12" s="130">
        <f t="shared" si="27"/>
        <v>0</v>
      </c>
      <c r="AM12" s="130">
        <f t="shared" si="27"/>
        <v>0</v>
      </c>
      <c r="AN12" s="130">
        <f t="shared" si="27"/>
        <v>0</v>
      </c>
      <c r="AO12" s="130">
        <f t="shared" si="27"/>
        <v>0</v>
      </c>
      <c r="AP12" s="130">
        <f t="shared" si="27"/>
        <v>0</v>
      </c>
      <c r="AQ12" s="130">
        <f t="shared" si="27"/>
        <v>0</v>
      </c>
      <c r="AR12" s="130">
        <f t="shared" si="27"/>
        <v>0</v>
      </c>
      <c r="AS12" s="130">
        <f t="shared" si="27"/>
        <v>0</v>
      </c>
      <c r="AT12" s="130">
        <f t="shared" si="27"/>
        <v>0</v>
      </c>
      <c r="AU12" s="130">
        <f t="shared" si="27"/>
        <v>0</v>
      </c>
      <c r="AV12" s="130">
        <f t="shared" si="27"/>
        <v>0</v>
      </c>
      <c r="AW12" s="130">
        <f t="shared" si="27"/>
        <v>0</v>
      </c>
      <c r="AX12" s="130">
        <f t="shared" si="27"/>
        <v>0</v>
      </c>
      <c r="AY12" s="130">
        <f t="shared" si="27"/>
        <v>0</v>
      </c>
      <c r="AZ12" s="130">
        <f t="shared" si="27"/>
        <v>0</v>
      </c>
      <c r="BA12" s="130">
        <f t="shared" si="27"/>
        <v>0</v>
      </c>
      <c r="BB12" s="130">
        <f t="shared" si="27"/>
        <v>0</v>
      </c>
      <c r="BC12" s="130">
        <f t="shared" si="27"/>
        <v>0</v>
      </c>
      <c r="BD12" s="130">
        <f t="shared" si="27"/>
        <v>0</v>
      </c>
      <c r="BE12" s="130">
        <f t="shared" si="27"/>
        <v>0</v>
      </c>
      <c r="BF12" s="130">
        <f t="shared" si="27"/>
        <v>0</v>
      </c>
      <c r="BG12" s="130">
        <f t="shared" si="27"/>
        <v>0</v>
      </c>
      <c r="BH12" s="130">
        <f t="shared" si="27"/>
        <v>0</v>
      </c>
      <c r="BI12" s="130">
        <f t="shared" si="27"/>
        <v>0</v>
      </c>
      <c r="BJ12" s="130">
        <f t="shared" si="27"/>
        <v>0</v>
      </c>
      <c r="BK12" s="130">
        <f t="shared" si="27"/>
        <v>0</v>
      </c>
      <c r="BL12" s="130">
        <f t="shared" si="27"/>
        <v>0</v>
      </c>
      <c r="BM12" s="130">
        <f t="shared" si="27"/>
        <v>0</v>
      </c>
      <c r="BN12" s="130">
        <f t="shared" si="27"/>
        <v>0</v>
      </c>
      <c r="BO12" s="130">
        <f t="shared" si="27"/>
        <v>0</v>
      </c>
      <c r="BP12" s="130">
        <f t="shared" si="27"/>
        <v>0</v>
      </c>
      <c r="BQ12" s="130">
        <f t="shared" si="27"/>
        <v>0</v>
      </c>
      <c r="BR12" s="130">
        <f t="shared" si="27"/>
        <v>0</v>
      </c>
      <c r="BS12" s="130">
        <f t="shared" si="27"/>
        <v>0</v>
      </c>
      <c r="BT12" s="130">
        <f t="shared" si="27"/>
        <v>0</v>
      </c>
      <c r="BU12" s="130">
        <f t="shared" si="27"/>
        <v>0</v>
      </c>
      <c r="BV12" s="130">
        <f t="shared" si="27"/>
        <v>0</v>
      </c>
      <c r="BW12" s="130">
        <f t="shared" si="27"/>
        <v>0</v>
      </c>
      <c r="BX12" s="130">
        <f t="shared" si="27"/>
        <v>0</v>
      </c>
      <c r="BY12" s="130">
        <f t="shared" si="27"/>
        <v>0</v>
      </c>
      <c r="BZ12" s="130">
        <f t="shared" si="27"/>
        <v>0</v>
      </c>
      <c r="CA12" s="130">
        <f t="shared" ref="CA12:EL12" si="28">ROUND(CA56,0)</f>
        <v>0</v>
      </c>
      <c r="CB12" s="130">
        <f t="shared" si="28"/>
        <v>0</v>
      </c>
      <c r="CC12" s="130">
        <f t="shared" si="28"/>
        <v>0</v>
      </c>
      <c r="CD12" s="130">
        <f t="shared" si="28"/>
        <v>0</v>
      </c>
      <c r="CE12" s="130">
        <f t="shared" si="28"/>
        <v>0</v>
      </c>
      <c r="CF12" s="130">
        <f t="shared" si="28"/>
        <v>0</v>
      </c>
      <c r="CG12" s="130">
        <f t="shared" si="28"/>
        <v>0</v>
      </c>
      <c r="CH12" s="130">
        <f t="shared" si="28"/>
        <v>0</v>
      </c>
      <c r="CI12" s="130">
        <f t="shared" si="28"/>
        <v>0</v>
      </c>
      <c r="CJ12" s="130">
        <f t="shared" si="28"/>
        <v>0</v>
      </c>
      <c r="CK12" s="130">
        <f t="shared" si="28"/>
        <v>0</v>
      </c>
      <c r="CL12" s="130">
        <f t="shared" si="28"/>
        <v>0</v>
      </c>
      <c r="CM12" s="130">
        <f t="shared" si="28"/>
        <v>0</v>
      </c>
      <c r="CN12" s="130">
        <f t="shared" si="28"/>
        <v>0</v>
      </c>
      <c r="CO12" s="130">
        <f t="shared" si="28"/>
        <v>0</v>
      </c>
      <c r="CP12" s="130">
        <f t="shared" si="28"/>
        <v>0</v>
      </c>
      <c r="CQ12" s="130">
        <f t="shared" si="28"/>
        <v>0</v>
      </c>
      <c r="CR12" s="130">
        <f t="shared" si="28"/>
        <v>0</v>
      </c>
      <c r="CS12" s="130">
        <f t="shared" si="28"/>
        <v>0</v>
      </c>
      <c r="CT12" s="130">
        <f t="shared" si="28"/>
        <v>0</v>
      </c>
      <c r="CU12" s="130">
        <f t="shared" si="28"/>
        <v>0</v>
      </c>
      <c r="CV12" s="130">
        <f t="shared" si="28"/>
        <v>0</v>
      </c>
      <c r="CW12" s="130">
        <f t="shared" si="28"/>
        <v>0</v>
      </c>
      <c r="CX12" s="130">
        <f t="shared" si="28"/>
        <v>0</v>
      </c>
      <c r="CY12" s="130">
        <f t="shared" si="28"/>
        <v>0</v>
      </c>
      <c r="CZ12" s="130">
        <f t="shared" si="28"/>
        <v>0</v>
      </c>
      <c r="DA12" s="130">
        <f t="shared" si="28"/>
        <v>0</v>
      </c>
      <c r="DB12" s="130">
        <f t="shared" si="28"/>
        <v>0</v>
      </c>
      <c r="DC12" s="130">
        <f t="shared" si="28"/>
        <v>0</v>
      </c>
      <c r="DD12" s="130">
        <f t="shared" si="28"/>
        <v>0</v>
      </c>
      <c r="DE12" s="130">
        <f t="shared" si="28"/>
        <v>0</v>
      </c>
      <c r="DF12" s="130">
        <f t="shared" si="28"/>
        <v>0</v>
      </c>
      <c r="DG12" s="130">
        <f t="shared" si="28"/>
        <v>0</v>
      </c>
      <c r="DH12" s="130">
        <f t="shared" si="28"/>
        <v>0</v>
      </c>
      <c r="DI12" s="130">
        <f t="shared" si="28"/>
        <v>0</v>
      </c>
      <c r="DJ12" s="130">
        <f t="shared" si="28"/>
        <v>0</v>
      </c>
      <c r="DK12" s="130">
        <f t="shared" si="28"/>
        <v>0</v>
      </c>
      <c r="DL12" s="130">
        <f t="shared" si="28"/>
        <v>0</v>
      </c>
      <c r="DM12" s="130">
        <f t="shared" si="28"/>
        <v>0</v>
      </c>
      <c r="DN12" s="130">
        <f t="shared" si="28"/>
        <v>0</v>
      </c>
      <c r="DO12" s="130">
        <f t="shared" si="28"/>
        <v>0</v>
      </c>
      <c r="DP12" s="130">
        <f t="shared" si="28"/>
        <v>0</v>
      </c>
      <c r="DQ12" s="130">
        <f t="shared" si="28"/>
        <v>0</v>
      </c>
      <c r="DR12" s="130">
        <f t="shared" si="28"/>
        <v>0</v>
      </c>
      <c r="DS12" s="130">
        <f t="shared" si="28"/>
        <v>0</v>
      </c>
      <c r="DT12" s="130">
        <f t="shared" si="28"/>
        <v>0</v>
      </c>
      <c r="DU12" s="130">
        <f t="shared" si="28"/>
        <v>0</v>
      </c>
      <c r="DV12" s="130">
        <f t="shared" si="28"/>
        <v>0</v>
      </c>
      <c r="DW12" s="130">
        <f t="shared" si="28"/>
        <v>0</v>
      </c>
      <c r="DX12" s="130">
        <f t="shared" si="28"/>
        <v>0</v>
      </c>
      <c r="DY12" s="130">
        <f t="shared" si="28"/>
        <v>0</v>
      </c>
      <c r="DZ12" s="130">
        <f t="shared" si="28"/>
        <v>0</v>
      </c>
      <c r="EA12" s="130">
        <f t="shared" si="28"/>
        <v>0</v>
      </c>
      <c r="EB12" s="130">
        <f t="shared" si="28"/>
        <v>0</v>
      </c>
      <c r="EC12" s="130">
        <f t="shared" si="28"/>
        <v>0</v>
      </c>
      <c r="ED12" s="130">
        <f t="shared" si="28"/>
        <v>0</v>
      </c>
      <c r="EE12" s="130">
        <f t="shared" si="28"/>
        <v>0</v>
      </c>
      <c r="EF12" s="130">
        <f t="shared" si="28"/>
        <v>0</v>
      </c>
      <c r="EG12" s="130">
        <f t="shared" si="28"/>
        <v>0</v>
      </c>
      <c r="EH12" s="130">
        <f t="shared" si="28"/>
        <v>0</v>
      </c>
      <c r="EI12" s="130">
        <f t="shared" si="28"/>
        <v>0</v>
      </c>
      <c r="EJ12" s="130">
        <f t="shared" si="28"/>
        <v>0</v>
      </c>
      <c r="EK12" s="130">
        <f t="shared" si="28"/>
        <v>0</v>
      </c>
      <c r="EL12" s="130">
        <f t="shared" si="28"/>
        <v>0</v>
      </c>
      <c r="EM12" s="130">
        <f t="shared" ref="EM12:GX12" si="29">ROUND(EM56,0)</f>
        <v>0</v>
      </c>
      <c r="EN12" s="130">
        <f t="shared" si="29"/>
        <v>0</v>
      </c>
      <c r="EO12" s="130">
        <f t="shared" si="29"/>
        <v>0</v>
      </c>
      <c r="EP12" s="130">
        <f t="shared" si="29"/>
        <v>0</v>
      </c>
      <c r="EQ12" s="130">
        <f t="shared" si="29"/>
        <v>0</v>
      </c>
      <c r="ER12" s="130">
        <f t="shared" si="29"/>
        <v>0</v>
      </c>
      <c r="ES12" s="130">
        <f t="shared" si="29"/>
        <v>0</v>
      </c>
      <c r="ET12" s="130">
        <f t="shared" si="29"/>
        <v>0</v>
      </c>
      <c r="EU12" s="130">
        <f t="shared" si="29"/>
        <v>0</v>
      </c>
      <c r="EV12" s="130">
        <f t="shared" si="29"/>
        <v>0</v>
      </c>
      <c r="EW12" s="130">
        <f t="shared" si="29"/>
        <v>0</v>
      </c>
      <c r="EX12" s="130">
        <f t="shared" si="29"/>
        <v>0</v>
      </c>
      <c r="EY12" s="130">
        <f t="shared" si="29"/>
        <v>0</v>
      </c>
      <c r="EZ12" s="130">
        <f t="shared" si="29"/>
        <v>0</v>
      </c>
      <c r="FA12" s="130">
        <f t="shared" si="29"/>
        <v>0</v>
      </c>
      <c r="FB12" s="130">
        <f t="shared" si="29"/>
        <v>0</v>
      </c>
      <c r="FC12" s="130">
        <f t="shared" si="29"/>
        <v>0</v>
      </c>
      <c r="FD12" s="130">
        <f t="shared" si="29"/>
        <v>0</v>
      </c>
      <c r="FE12" s="130">
        <f t="shared" si="29"/>
        <v>0</v>
      </c>
      <c r="FF12" s="130">
        <f t="shared" si="29"/>
        <v>0</v>
      </c>
      <c r="FG12" s="130">
        <f t="shared" si="29"/>
        <v>0</v>
      </c>
      <c r="FH12" s="130">
        <f t="shared" si="29"/>
        <v>0</v>
      </c>
      <c r="FI12" s="130">
        <f t="shared" si="29"/>
        <v>0</v>
      </c>
      <c r="FJ12" s="130">
        <f t="shared" si="29"/>
        <v>0</v>
      </c>
      <c r="FK12" s="130">
        <f t="shared" si="29"/>
        <v>0</v>
      </c>
      <c r="FL12" s="130">
        <f t="shared" si="29"/>
        <v>0</v>
      </c>
      <c r="FM12" s="130">
        <f t="shared" si="29"/>
        <v>0</v>
      </c>
      <c r="FN12" s="130">
        <f t="shared" si="29"/>
        <v>0</v>
      </c>
      <c r="FO12" s="130">
        <f t="shared" si="29"/>
        <v>0</v>
      </c>
      <c r="FP12" s="130">
        <f t="shared" si="29"/>
        <v>0</v>
      </c>
      <c r="FQ12" s="130">
        <f t="shared" si="29"/>
        <v>0</v>
      </c>
      <c r="FR12" s="130">
        <f t="shared" si="29"/>
        <v>0</v>
      </c>
      <c r="FS12" s="130">
        <f t="shared" si="29"/>
        <v>0</v>
      </c>
      <c r="FT12" s="130">
        <f t="shared" si="29"/>
        <v>0</v>
      </c>
      <c r="FU12" s="130">
        <f t="shared" si="29"/>
        <v>0</v>
      </c>
      <c r="FV12" s="130">
        <f t="shared" si="29"/>
        <v>0</v>
      </c>
      <c r="FW12" s="130">
        <f t="shared" si="29"/>
        <v>0</v>
      </c>
      <c r="FX12" s="130">
        <f t="shared" si="29"/>
        <v>0</v>
      </c>
      <c r="FY12" s="130">
        <f t="shared" si="29"/>
        <v>0</v>
      </c>
      <c r="FZ12" s="130">
        <f t="shared" si="29"/>
        <v>0</v>
      </c>
      <c r="GA12" s="130">
        <f t="shared" si="29"/>
        <v>0</v>
      </c>
      <c r="GB12" s="130">
        <f t="shared" si="29"/>
        <v>0</v>
      </c>
      <c r="GC12" s="130">
        <f t="shared" si="29"/>
        <v>0</v>
      </c>
      <c r="GD12" s="130">
        <f t="shared" si="29"/>
        <v>0</v>
      </c>
      <c r="GE12" s="130">
        <f t="shared" si="29"/>
        <v>0</v>
      </c>
      <c r="GF12" s="130">
        <f t="shared" si="29"/>
        <v>0</v>
      </c>
      <c r="GG12" s="130">
        <f t="shared" si="29"/>
        <v>0</v>
      </c>
      <c r="GH12" s="130">
        <f t="shared" si="29"/>
        <v>0</v>
      </c>
      <c r="GI12" s="130">
        <f t="shared" si="29"/>
        <v>0</v>
      </c>
      <c r="GJ12" s="130">
        <f t="shared" si="29"/>
        <v>0</v>
      </c>
      <c r="GK12" s="130">
        <f t="shared" si="29"/>
        <v>0</v>
      </c>
      <c r="GL12" s="130">
        <f t="shared" si="29"/>
        <v>0</v>
      </c>
      <c r="GM12" s="130">
        <f t="shared" si="29"/>
        <v>0</v>
      </c>
      <c r="GN12" s="130">
        <f t="shared" si="29"/>
        <v>0</v>
      </c>
      <c r="GO12" s="130">
        <f t="shared" si="29"/>
        <v>0</v>
      </c>
      <c r="GP12" s="130">
        <f t="shared" si="29"/>
        <v>0</v>
      </c>
      <c r="GQ12" s="130">
        <f t="shared" si="29"/>
        <v>0</v>
      </c>
      <c r="GR12" s="130">
        <f t="shared" si="29"/>
        <v>0</v>
      </c>
      <c r="GS12" s="130">
        <f t="shared" si="29"/>
        <v>0</v>
      </c>
      <c r="GT12" s="130">
        <f t="shared" si="29"/>
        <v>0</v>
      </c>
      <c r="GU12" s="130">
        <f t="shared" si="29"/>
        <v>0</v>
      </c>
      <c r="GV12" s="130">
        <f t="shared" si="29"/>
        <v>0</v>
      </c>
      <c r="GW12" s="130">
        <f t="shared" si="29"/>
        <v>0</v>
      </c>
      <c r="GX12" s="130">
        <f t="shared" si="29"/>
        <v>0</v>
      </c>
      <c r="GY12" s="130">
        <f t="shared" ref="GY12:JJ12" si="30">ROUND(GY56,0)</f>
        <v>0</v>
      </c>
      <c r="GZ12" s="130">
        <f t="shared" si="30"/>
        <v>0</v>
      </c>
      <c r="HA12" s="130">
        <f t="shared" si="30"/>
        <v>0</v>
      </c>
      <c r="HB12" s="130">
        <f t="shared" si="30"/>
        <v>0</v>
      </c>
      <c r="HC12" s="130">
        <f t="shared" si="30"/>
        <v>0</v>
      </c>
      <c r="HD12" s="130">
        <f t="shared" si="30"/>
        <v>0</v>
      </c>
      <c r="HE12" s="130">
        <f t="shared" si="30"/>
        <v>0</v>
      </c>
      <c r="HF12" s="130">
        <f t="shared" si="30"/>
        <v>0</v>
      </c>
      <c r="HG12" s="130">
        <f t="shared" si="30"/>
        <v>0</v>
      </c>
      <c r="HH12" s="130">
        <f t="shared" si="30"/>
        <v>0</v>
      </c>
      <c r="HI12" s="130">
        <f t="shared" si="30"/>
        <v>0</v>
      </c>
      <c r="HJ12" s="130">
        <f t="shared" si="30"/>
        <v>0</v>
      </c>
      <c r="HK12" s="130">
        <f t="shared" si="30"/>
        <v>0</v>
      </c>
      <c r="HL12" s="130">
        <f t="shared" si="30"/>
        <v>0</v>
      </c>
      <c r="HM12" s="130">
        <f t="shared" si="30"/>
        <v>0</v>
      </c>
      <c r="HN12" s="130">
        <f t="shared" si="30"/>
        <v>0</v>
      </c>
      <c r="HO12" s="130">
        <f t="shared" si="30"/>
        <v>0</v>
      </c>
      <c r="HP12" s="130">
        <f t="shared" si="30"/>
        <v>0</v>
      </c>
      <c r="HQ12" s="130">
        <f t="shared" si="30"/>
        <v>0</v>
      </c>
      <c r="HR12" s="130">
        <f t="shared" si="30"/>
        <v>0</v>
      </c>
      <c r="HS12" s="130">
        <f t="shared" si="30"/>
        <v>0</v>
      </c>
      <c r="HT12" s="130">
        <f t="shared" si="30"/>
        <v>0</v>
      </c>
      <c r="HU12" s="130">
        <f t="shared" si="30"/>
        <v>0</v>
      </c>
      <c r="HV12" s="130">
        <f t="shared" si="30"/>
        <v>0</v>
      </c>
      <c r="HW12" s="130">
        <f t="shared" si="30"/>
        <v>0</v>
      </c>
      <c r="HX12" s="130">
        <f t="shared" si="30"/>
        <v>0</v>
      </c>
      <c r="HY12" s="130">
        <f t="shared" si="30"/>
        <v>0</v>
      </c>
      <c r="HZ12" s="130">
        <f t="shared" si="30"/>
        <v>0</v>
      </c>
      <c r="IA12" s="130">
        <f t="shared" si="30"/>
        <v>0</v>
      </c>
      <c r="IB12" s="130">
        <f t="shared" si="30"/>
        <v>0</v>
      </c>
      <c r="IC12" s="130">
        <f t="shared" si="30"/>
        <v>0</v>
      </c>
      <c r="ID12" s="130">
        <f t="shared" si="30"/>
        <v>0</v>
      </c>
      <c r="IE12" s="130">
        <f t="shared" si="30"/>
        <v>0</v>
      </c>
      <c r="IF12" s="130">
        <f t="shared" si="30"/>
        <v>0</v>
      </c>
      <c r="IG12" s="130">
        <f t="shared" si="30"/>
        <v>0</v>
      </c>
      <c r="IH12" s="130">
        <f t="shared" si="30"/>
        <v>0</v>
      </c>
      <c r="II12" s="130">
        <f t="shared" si="30"/>
        <v>0</v>
      </c>
      <c r="IJ12" s="130">
        <f t="shared" si="30"/>
        <v>0</v>
      </c>
      <c r="IK12" s="130">
        <f t="shared" si="30"/>
        <v>0</v>
      </c>
      <c r="IL12" s="130">
        <f t="shared" si="30"/>
        <v>0</v>
      </c>
      <c r="IM12" s="130">
        <f t="shared" si="30"/>
        <v>0</v>
      </c>
      <c r="IN12" s="130">
        <f t="shared" si="30"/>
        <v>0</v>
      </c>
      <c r="IO12" s="130">
        <f t="shared" si="30"/>
        <v>0</v>
      </c>
      <c r="IP12" s="130">
        <f t="shared" si="30"/>
        <v>0</v>
      </c>
      <c r="IQ12" s="130">
        <f t="shared" si="30"/>
        <v>0</v>
      </c>
      <c r="IR12" s="130">
        <f t="shared" si="30"/>
        <v>0</v>
      </c>
      <c r="IS12" s="130">
        <f t="shared" si="30"/>
        <v>0</v>
      </c>
      <c r="IT12" s="130">
        <f t="shared" si="30"/>
        <v>0</v>
      </c>
      <c r="IU12" s="130">
        <f t="shared" si="30"/>
        <v>0</v>
      </c>
      <c r="IV12" s="130">
        <f t="shared" si="30"/>
        <v>0</v>
      </c>
      <c r="IW12" s="130">
        <f t="shared" si="30"/>
        <v>0</v>
      </c>
      <c r="IX12" s="130">
        <f t="shared" si="30"/>
        <v>0</v>
      </c>
      <c r="IY12" s="130">
        <f t="shared" si="30"/>
        <v>0</v>
      </c>
      <c r="IZ12" s="130">
        <f t="shared" si="30"/>
        <v>0</v>
      </c>
      <c r="JA12" s="130">
        <f t="shared" si="30"/>
        <v>0</v>
      </c>
      <c r="JB12" s="130">
        <f t="shared" si="30"/>
        <v>0</v>
      </c>
      <c r="JC12" s="130">
        <f t="shared" si="30"/>
        <v>0</v>
      </c>
      <c r="JD12" s="130">
        <f t="shared" si="30"/>
        <v>0</v>
      </c>
      <c r="JE12" s="130">
        <f t="shared" si="30"/>
        <v>0</v>
      </c>
      <c r="JF12" s="130">
        <f t="shared" si="30"/>
        <v>0</v>
      </c>
      <c r="JG12" s="130">
        <f t="shared" si="30"/>
        <v>0</v>
      </c>
      <c r="JH12" s="130">
        <f t="shared" si="30"/>
        <v>0</v>
      </c>
      <c r="JI12" s="130">
        <f t="shared" si="30"/>
        <v>0</v>
      </c>
      <c r="JJ12" s="130">
        <f t="shared" si="30"/>
        <v>0</v>
      </c>
      <c r="JK12" s="130">
        <f t="shared" ref="JK12:LV12" si="31">ROUND(JK56,0)</f>
        <v>0</v>
      </c>
      <c r="JL12" s="130">
        <f t="shared" si="31"/>
        <v>0</v>
      </c>
      <c r="JM12" s="130">
        <f t="shared" si="31"/>
        <v>0</v>
      </c>
      <c r="JN12" s="130">
        <f t="shared" si="31"/>
        <v>0</v>
      </c>
      <c r="JO12" s="130">
        <f t="shared" si="31"/>
        <v>0</v>
      </c>
      <c r="JP12" s="130">
        <f t="shared" si="31"/>
        <v>0</v>
      </c>
      <c r="JQ12" s="130">
        <f t="shared" si="31"/>
        <v>0</v>
      </c>
      <c r="JR12" s="130">
        <f t="shared" si="31"/>
        <v>0</v>
      </c>
      <c r="JS12" s="130">
        <f t="shared" si="31"/>
        <v>0</v>
      </c>
      <c r="JT12" s="130">
        <f t="shared" si="31"/>
        <v>0</v>
      </c>
      <c r="JU12" s="130">
        <f t="shared" si="31"/>
        <v>0</v>
      </c>
      <c r="JV12" s="130">
        <f t="shared" si="31"/>
        <v>0</v>
      </c>
      <c r="JW12" s="130">
        <f t="shared" si="31"/>
        <v>0</v>
      </c>
      <c r="JX12" s="130">
        <f t="shared" si="31"/>
        <v>0</v>
      </c>
      <c r="JY12" s="130">
        <f t="shared" si="31"/>
        <v>0</v>
      </c>
      <c r="JZ12" s="130">
        <f t="shared" si="31"/>
        <v>0</v>
      </c>
      <c r="KA12" s="130">
        <f t="shared" si="31"/>
        <v>0</v>
      </c>
      <c r="KB12" s="130">
        <f t="shared" si="31"/>
        <v>0</v>
      </c>
      <c r="KC12" s="130">
        <f t="shared" si="31"/>
        <v>0</v>
      </c>
      <c r="KD12" s="130">
        <f t="shared" si="31"/>
        <v>0</v>
      </c>
      <c r="KE12" s="130">
        <f t="shared" si="31"/>
        <v>0</v>
      </c>
      <c r="KF12" s="130">
        <f t="shared" si="31"/>
        <v>0</v>
      </c>
      <c r="KG12" s="130">
        <f t="shared" si="31"/>
        <v>0</v>
      </c>
      <c r="KH12" s="130">
        <f t="shared" si="31"/>
        <v>0</v>
      </c>
      <c r="KI12" s="130">
        <f t="shared" si="31"/>
        <v>0</v>
      </c>
      <c r="KJ12" s="130">
        <f t="shared" si="31"/>
        <v>0</v>
      </c>
      <c r="KK12" s="130">
        <f t="shared" si="31"/>
        <v>0</v>
      </c>
      <c r="KL12" s="130">
        <f t="shared" si="31"/>
        <v>0</v>
      </c>
      <c r="KM12" s="130">
        <f t="shared" si="31"/>
        <v>0</v>
      </c>
      <c r="KN12" s="130">
        <f t="shared" si="31"/>
        <v>0</v>
      </c>
      <c r="KO12" s="130">
        <f t="shared" si="31"/>
        <v>0</v>
      </c>
      <c r="KP12" s="130">
        <f t="shared" si="31"/>
        <v>0</v>
      </c>
      <c r="KQ12" s="130">
        <f t="shared" si="31"/>
        <v>0</v>
      </c>
      <c r="KR12" s="130">
        <f t="shared" si="31"/>
        <v>0</v>
      </c>
      <c r="KS12" s="130">
        <f t="shared" si="31"/>
        <v>0</v>
      </c>
      <c r="KT12" s="130">
        <f t="shared" si="31"/>
        <v>0</v>
      </c>
      <c r="KU12" s="130">
        <f t="shared" si="31"/>
        <v>0</v>
      </c>
      <c r="KV12" s="130">
        <f t="shared" si="31"/>
        <v>0</v>
      </c>
      <c r="KW12" s="130">
        <f t="shared" si="31"/>
        <v>0</v>
      </c>
      <c r="KX12" s="130">
        <f t="shared" si="31"/>
        <v>0</v>
      </c>
      <c r="KY12" s="130">
        <f t="shared" si="31"/>
        <v>0</v>
      </c>
      <c r="KZ12" s="130">
        <f t="shared" si="31"/>
        <v>0</v>
      </c>
      <c r="LA12" s="130">
        <f t="shared" si="31"/>
        <v>0</v>
      </c>
      <c r="LB12" s="130">
        <f t="shared" si="31"/>
        <v>0</v>
      </c>
      <c r="LC12" s="130">
        <f t="shared" si="31"/>
        <v>0</v>
      </c>
      <c r="LD12" s="130">
        <f t="shared" si="31"/>
        <v>0</v>
      </c>
      <c r="LE12" s="130">
        <f t="shared" si="31"/>
        <v>0</v>
      </c>
      <c r="LF12" s="130">
        <f t="shared" si="31"/>
        <v>0</v>
      </c>
      <c r="LG12" s="130">
        <f t="shared" si="31"/>
        <v>0</v>
      </c>
      <c r="LH12" s="130">
        <f t="shared" si="31"/>
        <v>0</v>
      </c>
      <c r="LI12" s="130">
        <f t="shared" si="31"/>
        <v>0</v>
      </c>
      <c r="LJ12" s="130">
        <f t="shared" si="31"/>
        <v>0</v>
      </c>
      <c r="LK12" s="130">
        <f t="shared" si="31"/>
        <v>0</v>
      </c>
      <c r="LL12" s="130">
        <f t="shared" si="31"/>
        <v>0</v>
      </c>
      <c r="LM12" s="130">
        <f t="shared" si="31"/>
        <v>0</v>
      </c>
      <c r="LN12" s="130">
        <f t="shared" si="31"/>
        <v>0</v>
      </c>
      <c r="LO12" s="130">
        <f t="shared" si="31"/>
        <v>0</v>
      </c>
      <c r="LP12" s="130">
        <f t="shared" si="31"/>
        <v>0</v>
      </c>
      <c r="LQ12" s="130">
        <f t="shared" si="31"/>
        <v>0</v>
      </c>
      <c r="LR12" s="130">
        <f t="shared" si="31"/>
        <v>0</v>
      </c>
      <c r="LS12" s="130">
        <f t="shared" si="31"/>
        <v>0</v>
      </c>
      <c r="LT12" s="130">
        <f t="shared" si="31"/>
        <v>0</v>
      </c>
      <c r="LU12" s="130">
        <f t="shared" si="31"/>
        <v>0</v>
      </c>
      <c r="LV12" s="130">
        <f t="shared" si="31"/>
        <v>0</v>
      </c>
      <c r="LW12" s="130">
        <f t="shared" ref="LW12:OH12" si="32">ROUND(LW56,0)</f>
        <v>0</v>
      </c>
      <c r="LX12" s="130">
        <f t="shared" si="32"/>
        <v>0</v>
      </c>
      <c r="LY12" s="130">
        <f t="shared" si="32"/>
        <v>0</v>
      </c>
      <c r="LZ12" s="130">
        <f t="shared" si="32"/>
        <v>0</v>
      </c>
      <c r="MA12" s="130">
        <f t="shared" si="32"/>
        <v>0</v>
      </c>
      <c r="MB12" s="130">
        <f t="shared" si="32"/>
        <v>0</v>
      </c>
      <c r="MC12" s="130">
        <f t="shared" si="32"/>
        <v>0</v>
      </c>
      <c r="MD12" s="130">
        <f t="shared" si="32"/>
        <v>0</v>
      </c>
      <c r="ME12" s="130">
        <f t="shared" si="32"/>
        <v>0</v>
      </c>
      <c r="MF12" s="130">
        <f t="shared" si="32"/>
        <v>0</v>
      </c>
      <c r="MG12" s="130">
        <f t="shared" si="32"/>
        <v>0</v>
      </c>
      <c r="MH12" s="130">
        <f t="shared" si="32"/>
        <v>0</v>
      </c>
      <c r="MI12" s="130">
        <f t="shared" si="32"/>
        <v>0</v>
      </c>
      <c r="MJ12" s="130">
        <f t="shared" si="32"/>
        <v>0</v>
      </c>
      <c r="MK12" s="130">
        <f t="shared" si="32"/>
        <v>0</v>
      </c>
      <c r="ML12" s="130">
        <f t="shared" si="32"/>
        <v>0</v>
      </c>
      <c r="MM12" s="130">
        <f t="shared" si="32"/>
        <v>0</v>
      </c>
      <c r="MN12" s="130">
        <f t="shared" si="32"/>
        <v>0</v>
      </c>
      <c r="MO12" s="130">
        <f t="shared" si="32"/>
        <v>0</v>
      </c>
      <c r="MP12" s="130">
        <f t="shared" si="32"/>
        <v>0</v>
      </c>
      <c r="MQ12" s="130">
        <f t="shared" si="32"/>
        <v>0</v>
      </c>
      <c r="MR12" s="130">
        <f t="shared" si="32"/>
        <v>0</v>
      </c>
      <c r="MS12" s="130">
        <f t="shared" si="32"/>
        <v>0</v>
      </c>
      <c r="MT12" s="130">
        <f t="shared" si="32"/>
        <v>0</v>
      </c>
      <c r="MU12" s="130">
        <f t="shared" si="32"/>
        <v>0</v>
      </c>
      <c r="MV12" s="130">
        <f t="shared" si="32"/>
        <v>0</v>
      </c>
      <c r="MW12" s="130">
        <f t="shared" si="32"/>
        <v>0</v>
      </c>
      <c r="MX12" s="130">
        <f t="shared" si="32"/>
        <v>0</v>
      </c>
      <c r="MY12" s="130">
        <f t="shared" si="32"/>
        <v>0</v>
      </c>
      <c r="MZ12" s="130">
        <f t="shared" si="32"/>
        <v>0</v>
      </c>
      <c r="NA12" s="130">
        <f t="shared" si="32"/>
        <v>0</v>
      </c>
      <c r="NB12" s="130">
        <f t="shared" si="32"/>
        <v>0</v>
      </c>
      <c r="NC12" s="130">
        <f t="shared" si="32"/>
        <v>0</v>
      </c>
      <c r="ND12" s="130">
        <f t="shared" si="32"/>
        <v>0</v>
      </c>
      <c r="NE12" s="130">
        <f t="shared" si="32"/>
        <v>0</v>
      </c>
      <c r="NF12" s="130">
        <f t="shared" si="32"/>
        <v>0</v>
      </c>
      <c r="NG12" s="130">
        <f t="shared" si="32"/>
        <v>0</v>
      </c>
      <c r="NH12" s="130">
        <f t="shared" si="32"/>
        <v>0</v>
      </c>
      <c r="NI12" s="130">
        <f t="shared" si="32"/>
        <v>0</v>
      </c>
      <c r="NJ12" s="130">
        <f t="shared" si="32"/>
        <v>0</v>
      </c>
      <c r="NK12" s="130">
        <f t="shared" si="32"/>
        <v>0</v>
      </c>
      <c r="NL12" s="130">
        <f t="shared" si="32"/>
        <v>0</v>
      </c>
      <c r="NM12" s="130">
        <f t="shared" si="32"/>
        <v>0</v>
      </c>
      <c r="NN12" s="130">
        <f t="shared" si="32"/>
        <v>0</v>
      </c>
      <c r="NO12" s="130">
        <f t="shared" si="32"/>
        <v>0</v>
      </c>
      <c r="NP12" s="130">
        <f t="shared" si="32"/>
        <v>0</v>
      </c>
      <c r="NQ12" s="130">
        <f t="shared" si="32"/>
        <v>0</v>
      </c>
      <c r="NR12" s="130">
        <f t="shared" si="32"/>
        <v>0</v>
      </c>
      <c r="NS12" s="130">
        <f t="shared" si="32"/>
        <v>0</v>
      </c>
      <c r="NT12" s="130">
        <f t="shared" si="32"/>
        <v>0</v>
      </c>
      <c r="NU12" s="130">
        <f t="shared" si="32"/>
        <v>0</v>
      </c>
      <c r="NV12" s="130">
        <f t="shared" si="32"/>
        <v>0</v>
      </c>
      <c r="NW12" s="130">
        <f t="shared" si="32"/>
        <v>0</v>
      </c>
      <c r="NX12" s="130">
        <f t="shared" si="32"/>
        <v>0</v>
      </c>
      <c r="NY12" s="130">
        <f t="shared" si="32"/>
        <v>0</v>
      </c>
      <c r="NZ12" s="130">
        <f t="shared" si="32"/>
        <v>0</v>
      </c>
      <c r="OA12" s="130">
        <f t="shared" si="32"/>
        <v>0</v>
      </c>
      <c r="OB12" s="130">
        <f t="shared" si="32"/>
        <v>0</v>
      </c>
      <c r="OC12" s="130">
        <f t="shared" si="32"/>
        <v>0</v>
      </c>
      <c r="OD12" s="130">
        <f t="shared" si="32"/>
        <v>0</v>
      </c>
      <c r="OE12" s="130">
        <f t="shared" si="32"/>
        <v>0</v>
      </c>
      <c r="OF12" s="130">
        <f t="shared" si="32"/>
        <v>0</v>
      </c>
      <c r="OG12" s="130">
        <f t="shared" si="32"/>
        <v>0</v>
      </c>
      <c r="OH12" s="130">
        <f t="shared" si="32"/>
        <v>0</v>
      </c>
      <c r="OI12" s="130">
        <f t="shared" ref="OI12:QT12" si="33">ROUND(OI56,0)</f>
        <v>0</v>
      </c>
      <c r="OJ12" s="130">
        <f t="shared" si="33"/>
        <v>0</v>
      </c>
      <c r="OK12" s="130">
        <f t="shared" si="33"/>
        <v>0</v>
      </c>
      <c r="OL12" s="130">
        <f t="shared" si="33"/>
        <v>0</v>
      </c>
      <c r="OM12" s="130">
        <f t="shared" si="33"/>
        <v>0</v>
      </c>
      <c r="ON12" s="130">
        <f t="shared" si="33"/>
        <v>0</v>
      </c>
      <c r="OO12" s="130">
        <f t="shared" si="33"/>
        <v>0</v>
      </c>
      <c r="OP12" s="130">
        <f t="shared" si="33"/>
        <v>0</v>
      </c>
      <c r="OQ12" s="130">
        <f t="shared" si="33"/>
        <v>0</v>
      </c>
      <c r="OR12" s="130">
        <f t="shared" si="33"/>
        <v>0</v>
      </c>
      <c r="OS12" s="130">
        <f t="shared" si="33"/>
        <v>0</v>
      </c>
      <c r="OT12" s="130">
        <f t="shared" si="33"/>
        <v>0</v>
      </c>
      <c r="OU12" s="130">
        <f t="shared" si="33"/>
        <v>0</v>
      </c>
      <c r="OV12" s="130">
        <f t="shared" si="33"/>
        <v>0</v>
      </c>
      <c r="OW12" s="130">
        <f t="shared" si="33"/>
        <v>0</v>
      </c>
      <c r="OX12" s="130">
        <f t="shared" si="33"/>
        <v>0</v>
      </c>
      <c r="OY12" s="130">
        <f t="shared" si="33"/>
        <v>0</v>
      </c>
      <c r="OZ12" s="130">
        <f t="shared" si="33"/>
        <v>0</v>
      </c>
      <c r="PA12" s="130">
        <f t="shared" si="33"/>
        <v>0</v>
      </c>
      <c r="PB12" s="130">
        <f t="shared" si="33"/>
        <v>0</v>
      </c>
      <c r="PC12" s="130">
        <f t="shared" si="33"/>
        <v>0</v>
      </c>
      <c r="PD12" s="130">
        <f t="shared" si="33"/>
        <v>0</v>
      </c>
      <c r="PE12" s="130">
        <f t="shared" si="33"/>
        <v>0</v>
      </c>
      <c r="PF12" s="130">
        <f t="shared" si="33"/>
        <v>0</v>
      </c>
      <c r="PG12" s="130">
        <f t="shared" si="33"/>
        <v>0</v>
      </c>
      <c r="PH12" s="130">
        <f t="shared" si="33"/>
        <v>0</v>
      </c>
      <c r="PI12" s="130">
        <f t="shared" si="33"/>
        <v>0</v>
      </c>
      <c r="PJ12" s="130">
        <f t="shared" si="33"/>
        <v>0</v>
      </c>
      <c r="PK12" s="130">
        <f t="shared" si="33"/>
        <v>0</v>
      </c>
      <c r="PL12" s="130">
        <f t="shared" si="33"/>
        <v>0</v>
      </c>
      <c r="PM12" s="130">
        <f t="shared" si="33"/>
        <v>0</v>
      </c>
      <c r="PN12" s="130">
        <f t="shared" si="33"/>
        <v>0</v>
      </c>
      <c r="PO12" s="130">
        <f t="shared" si="33"/>
        <v>0</v>
      </c>
      <c r="PP12" s="130">
        <f t="shared" si="33"/>
        <v>0</v>
      </c>
      <c r="PQ12" s="130">
        <f t="shared" si="33"/>
        <v>0</v>
      </c>
      <c r="PR12" s="130">
        <f t="shared" si="33"/>
        <v>0</v>
      </c>
      <c r="PS12" s="130">
        <f t="shared" si="33"/>
        <v>0</v>
      </c>
      <c r="PT12" s="130">
        <f t="shared" si="33"/>
        <v>0</v>
      </c>
      <c r="PU12" s="130">
        <f t="shared" si="33"/>
        <v>0</v>
      </c>
      <c r="PV12" s="130">
        <f t="shared" si="33"/>
        <v>0</v>
      </c>
      <c r="PW12" s="130">
        <f t="shared" si="33"/>
        <v>0</v>
      </c>
      <c r="PX12" s="130">
        <f t="shared" si="33"/>
        <v>0</v>
      </c>
      <c r="PY12" s="130">
        <f t="shared" si="33"/>
        <v>0</v>
      </c>
      <c r="PZ12" s="130">
        <f t="shared" si="33"/>
        <v>0</v>
      </c>
      <c r="QA12" s="130">
        <f t="shared" si="33"/>
        <v>0</v>
      </c>
      <c r="QB12" s="130">
        <f t="shared" si="33"/>
        <v>0</v>
      </c>
      <c r="QC12" s="130">
        <f t="shared" si="33"/>
        <v>0</v>
      </c>
      <c r="QD12" s="130">
        <f t="shared" si="33"/>
        <v>0</v>
      </c>
      <c r="QE12" s="130">
        <f t="shared" si="33"/>
        <v>0</v>
      </c>
      <c r="QF12" s="130">
        <f t="shared" si="33"/>
        <v>0</v>
      </c>
      <c r="QG12" s="130">
        <f t="shared" si="33"/>
        <v>0</v>
      </c>
      <c r="QH12" s="130">
        <f t="shared" si="33"/>
        <v>0</v>
      </c>
      <c r="QI12" s="130">
        <f t="shared" si="33"/>
        <v>0</v>
      </c>
      <c r="QJ12" s="130">
        <f t="shared" si="33"/>
        <v>0</v>
      </c>
      <c r="QK12" s="130">
        <f t="shared" si="33"/>
        <v>0</v>
      </c>
      <c r="QL12" s="130">
        <f t="shared" si="33"/>
        <v>0</v>
      </c>
      <c r="QM12" s="130">
        <f t="shared" si="33"/>
        <v>0</v>
      </c>
      <c r="QN12" s="130">
        <f t="shared" si="33"/>
        <v>0</v>
      </c>
      <c r="QO12" s="130">
        <f t="shared" si="33"/>
        <v>0</v>
      </c>
      <c r="QP12" s="130">
        <f t="shared" si="33"/>
        <v>0</v>
      </c>
      <c r="QQ12" s="130">
        <f t="shared" si="33"/>
        <v>0</v>
      </c>
      <c r="QR12" s="130">
        <f t="shared" si="33"/>
        <v>0</v>
      </c>
      <c r="QS12" s="130">
        <f t="shared" si="33"/>
        <v>0</v>
      </c>
      <c r="QT12" s="130">
        <f t="shared" si="33"/>
        <v>0</v>
      </c>
      <c r="QU12" s="130">
        <f t="shared" ref="QU12:TF12" si="34">ROUND(QU56,0)</f>
        <v>0</v>
      </c>
      <c r="QV12" s="130">
        <f t="shared" si="34"/>
        <v>0</v>
      </c>
      <c r="QW12" s="130">
        <f t="shared" si="34"/>
        <v>0</v>
      </c>
      <c r="QX12" s="130">
        <f t="shared" si="34"/>
        <v>0</v>
      </c>
      <c r="QY12" s="130">
        <f t="shared" si="34"/>
        <v>0</v>
      </c>
      <c r="QZ12" s="130">
        <f t="shared" si="34"/>
        <v>0</v>
      </c>
      <c r="RA12" s="130">
        <f t="shared" si="34"/>
        <v>0</v>
      </c>
      <c r="RB12" s="130">
        <f t="shared" si="34"/>
        <v>0</v>
      </c>
      <c r="RC12" s="130">
        <f t="shared" si="34"/>
        <v>0</v>
      </c>
      <c r="RD12" s="130">
        <f t="shared" si="34"/>
        <v>0</v>
      </c>
      <c r="RE12" s="130">
        <f t="shared" si="34"/>
        <v>0</v>
      </c>
      <c r="RF12" s="130">
        <f t="shared" si="34"/>
        <v>0</v>
      </c>
      <c r="RG12" s="130">
        <f t="shared" si="34"/>
        <v>0</v>
      </c>
      <c r="RH12" s="130">
        <f t="shared" si="34"/>
        <v>0</v>
      </c>
      <c r="RI12" s="130">
        <f t="shared" si="34"/>
        <v>0</v>
      </c>
      <c r="RJ12" s="130">
        <f t="shared" si="34"/>
        <v>0</v>
      </c>
      <c r="RK12" s="130">
        <f t="shared" si="34"/>
        <v>0</v>
      </c>
      <c r="RL12" s="130">
        <f t="shared" si="34"/>
        <v>0</v>
      </c>
      <c r="RM12" s="130">
        <f t="shared" si="34"/>
        <v>0</v>
      </c>
      <c r="RN12" s="130">
        <f t="shared" si="34"/>
        <v>0</v>
      </c>
      <c r="RO12" s="130">
        <f t="shared" si="34"/>
        <v>0</v>
      </c>
      <c r="RP12" s="130">
        <f t="shared" si="34"/>
        <v>0</v>
      </c>
      <c r="RQ12" s="130">
        <f t="shared" si="34"/>
        <v>0</v>
      </c>
      <c r="RR12" s="130">
        <f t="shared" si="34"/>
        <v>0</v>
      </c>
      <c r="RS12" s="130">
        <f t="shared" si="34"/>
        <v>0</v>
      </c>
      <c r="RT12" s="130">
        <f t="shared" si="34"/>
        <v>0</v>
      </c>
      <c r="RU12" s="130">
        <f t="shared" si="34"/>
        <v>0</v>
      </c>
      <c r="RV12" s="130">
        <f t="shared" si="34"/>
        <v>0</v>
      </c>
      <c r="RW12" s="130">
        <f t="shared" si="34"/>
        <v>0</v>
      </c>
      <c r="RX12" s="130">
        <f t="shared" si="34"/>
        <v>0</v>
      </c>
      <c r="RY12" s="130">
        <f t="shared" si="34"/>
        <v>0</v>
      </c>
      <c r="RZ12" s="130">
        <f t="shared" si="34"/>
        <v>0</v>
      </c>
      <c r="SA12" s="130">
        <f t="shared" si="34"/>
        <v>0</v>
      </c>
      <c r="SB12" s="130">
        <f t="shared" si="34"/>
        <v>0</v>
      </c>
      <c r="SC12" s="130">
        <f t="shared" si="34"/>
        <v>0</v>
      </c>
      <c r="SD12" s="130">
        <f t="shared" si="34"/>
        <v>0</v>
      </c>
      <c r="SE12" s="130">
        <f t="shared" si="34"/>
        <v>0</v>
      </c>
      <c r="SF12" s="130">
        <f t="shared" si="34"/>
        <v>0</v>
      </c>
      <c r="SG12" s="130">
        <f t="shared" si="34"/>
        <v>0</v>
      </c>
      <c r="SH12" s="130">
        <f t="shared" si="34"/>
        <v>0</v>
      </c>
      <c r="SI12" s="130">
        <f t="shared" si="34"/>
        <v>0</v>
      </c>
      <c r="SJ12" s="130">
        <f t="shared" si="34"/>
        <v>0</v>
      </c>
      <c r="SK12" s="130">
        <f t="shared" si="34"/>
        <v>0</v>
      </c>
      <c r="SL12" s="130">
        <f t="shared" si="34"/>
        <v>0</v>
      </c>
      <c r="SM12" s="130">
        <f t="shared" si="34"/>
        <v>0</v>
      </c>
      <c r="SN12" s="130">
        <f t="shared" si="34"/>
        <v>0</v>
      </c>
      <c r="SO12" s="130">
        <f t="shared" si="34"/>
        <v>0</v>
      </c>
      <c r="SP12" s="130">
        <f t="shared" si="34"/>
        <v>0</v>
      </c>
      <c r="SQ12" s="130">
        <f t="shared" si="34"/>
        <v>0</v>
      </c>
      <c r="SR12" s="130">
        <f t="shared" si="34"/>
        <v>0</v>
      </c>
      <c r="SS12" s="130">
        <f t="shared" si="34"/>
        <v>0</v>
      </c>
      <c r="ST12" s="130">
        <f t="shared" si="34"/>
        <v>0</v>
      </c>
      <c r="SU12" s="130">
        <f t="shared" si="34"/>
        <v>0</v>
      </c>
      <c r="SV12" s="130">
        <f t="shared" si="34"/>
        <v>0</v>
      </c>
      <c r="SW12" s="130">
        <f t="shared" si="34"/>
        <v>0</v>
      </c>
      <c r="SX12" s="130">
        <f t="shared" si="34"/>
        <v>0</v>
      </c>
      <c r="SY12" s="130">
        <f t="shared" si="34"/>
        <v>0</v>
      </c>
      <c r="SZ12" s="130">
        <f t="shared" si="34"/>
        <v>0</v>
      </c>
      <c r="TA12" s="130">
        <f t="shared" si="34"/>
        <v>0</v>
      </c>
      <c r="TB12" s="130">
        <f t="shared" si="34"/>
        <v>0</v>
      </c>
      <c r="TC12" s="130">
        <f t="shared" si="34"/>
        <v>0</v>
      </c>
      <c r="TD12" s="130">
        <f t="shared" si="34"/>
        <v>0</v>
      </c>
      <c r="TE12" s="130">
        <f t="shared" si="34"/>
        <v>0</v>
      </c>
      <c r="TF12" s="130">
        <f t="shared" si="34"/>
        <v>0</v>
      </c>
      <c r="TG12" s="130">
        <f t="shared" ref="TG12:VR12" si="35">ROUND(TG56,0)</f>
        <v>0</v>
      </c>
      <c r="TH12" s="130">
        <f t="shared" si="35"/>
        <v>0</v>
      </c>
      <c r="TI12" s="130">
        <f t="shared" si="35"/>
        <v>0</v>
      </c>
      <c r="TJ12" s="130">
        <f t="shared" si="35"/>
        <v>0</v>
      </c>
      <c r="TK12" s="130">
        <f t="shared" si="35"/>
        <v>0</v>
      </c>
      <c r="TL12" s="130">
        <f t="shared" si="35"/>
        <v>0</v>
      </c>
      <c r="TM12" s="130">
        <f t="shared" si="35"/>
        <v>0</v>
      </c>
      <c r="TN12" s="130">
        <f t="shared" si="35"/>
        <v>0</v>
      </c>
      <c r="TO12" s="130">
        <f t="shared" si="35"/>
        <v>0</v>
      </c>
      <c r="TP12" s="130">
        <f t="shared" si="35"/>
        <v>0</v>
      </c>
      <c r="TQ12" s="130">
        <f t="shared" si="35"/>
        <v>0</v>
      </c>
      <c r="TR12" s="130">
        <f t="shared" si="35"/>
        <v>0</v>
      </c>
      <c r="TS12" s="130">
        <f t="shared" si="35"/>
        <v>0</v>
      </c>
      <c r="TT12" s="130">
        <f t="shared" si="35"/>
        <v>0</v>
      </c>
      <c r="TU12" s="130">
        <f t="shared" si="35"/>
        <v>0</v>
      </c>
      <c r="TV12" s="130">
        <f t="shared" si="35"/>
        <v>0</v>
      </c>
      <c r="TW12" s="130">
        <f t="shared" si="35"/>
        <v>0</v>
      </c>
      <c r="TX12" s="130">
        <f t="shared" si="35"/>
        <v>0</v>
      </c>
      <c r="TY12" s="130">
        <f t="shared" si="35"/>
        <v>0</v>
      </c>
      <c r="TZ12" s="130">
        <f t="shared" si="35"/>
        <v>0</v>
      </c>
      <c r="UA12" s="130">
        <f t="shared" si="35"/>
        <v>0</v>
      </c>
      <c r="UB12" s="130">
        <f t="shared" si="35"/>
        <v>0</v>
      </c>
      <c r="UC12" s="130">
        <f t="shared" si="35"/>
        <v>0</v>
      </c>
      <c r="UD12" s="130">
        <f t="shared" si="35"/>
        <v>0</v>
      </c>
      <c r="UE12" s="130">
        <f t="shared" si="35"/>
        <v>0</v>
      </c>
      <c r="UF12" s="130">
        <f t="shared" si="35"/>
        <v>0</v>
      </c>
      <c r="UG12" s="130">
        <f t="shared" si="35"/>
        <v>0</v>
      </c>
      <c r="UH12" s="130">
        <f t="shared" si="35"/>
        <v>0</v>
      </c>
      <c r="UI12" s="130">
        <f t="shared" si="35"/>
        <v>0</v>
      </c>
      <c r="UJ12" s="130">
        <f t="shared" si="35"/>
        <v>0</v>
      </c>
      <c r="UK12" s="130">
        <f t="shared" si="35"/>
        <v>0</v>
      </c>
      <c r="UL12" s="130">
        <f t="shared" si="35"/>
        <v>0</v>
      </c>
      <c r="UM12" s="130">
        <f t="shared" si="35"/>
        <v>0</v>
      </c>
      <c r="UN12" s="130">
        <f t="shared" si="35"/>
        <v>0</v>
      </c>
      <c r="UO12" s="130">
        <f t="shared" si="35"/>
        <v>0</v>
      </c>
      <c r="UP12" s="130">
        <f t="shared" si="35"/>
        <v>0</v>
      </c>
      <c r="UQ12" s="130">
        <f t="shared" si="35"/>
        <v>0</v>
      </c>
      <c r="UR12" s="130">
        <f t="shared" si="35"/>
        <v>0</v>
      </c>
      <c r="US12" s="130">
        <f t="shared" si="35"/>
        <v>0</v>
      </c>
      <c r="UT12" s="130">
        <f t="shared" si="35"/>
        <v>0</v>
      </c>
      <c r="UU12" s="130">
        <f t="shared" si="35"/>
        <v>0</v>
      </c>
      <c r="UV12" s="130">
        <f t="shared" si="35"/>
        <v>0</v>
      </c>
      <c r="UW12" s="130">
        <f t="shared" si="35"/>
        <v>0</v>
      </c>
      <c r="UX12" s="130">
        <f t="shared" si="35"/>
        <v>0</v>
      </c>
      <c r="UY12" s="130">
        <f t="shared" si="35"/>
        <v>0</v>
      </c>
      <c r="UZ12" s="130">
        <f t="shared" si="35"/>
        <v>0</v>
      </c>
      <c r="VA12" s="130">
        <f t="shared" si="35"/>
        <v>0</v>
      </c>
      <c r="VB12" s="130">
        <f t="shared" si="35"/>
        <v>0</v>
      </c>
      <c r="VC12" s="130">
        <f t="shared" si="35"/>
        <v>0</v>
      </c>
      <c r="VD12" s="130">
        <f t="shared" si="35"/>
        <v>0</v>
      </c>
      <c r="VE12" s="130">
        <f t="shared" si="35"/>
        <v>0</v>
      </c>
      <c r="VF12" s="130">
        <f t="shared" si="35"/>
        <v>0</v>
      </c>
      <c r="VG12" s="130">
        <f t="shared" si="35"/>
        <v>0</v>
      </c>
      <c r="VH12" s="130">
        <f t="shared" si="35"/>
        <v>0</v>
      </c>
      <c r="VI12" s="130">
        <f t="shared" si="35"/>
        <v>0</v>
      </c>
      <c r="VJ12" s="130">
        <f t="shared" si="35"/>
        <v>0</v>
      </c>
      <c r="VK12" s="130">
        <f t="shared" si="35"/>
        <v>0</v>
      </c>
      <c r="VL12" s="130">
        <f t="shared" si="35"/>
        <v>0</v>
      </c>
      <c r="VM12" s="130">
        <f t="shared" si="35"/>
        <v>0</v>
      </c>
      <c r="VN12" s="130">
        <f t="shared" si="35"/>
        <v>0</v>
      </c>
      <c r="VO12" s="130">
        <f t="shared" si="35"/>
        <v>0</v>
      </c>
      <c r="VP12" s="130">
        <f t="shared" si="35"/>
        <v>0</v>
      </c>
      <c r="VQ12" s="130">
        <f t="shared" si="35"/>
        <v>0</v>
      </c>
      <c r="VR12" s="130">
        <f t="shared" si="35"/>
        <v>0</v>
      </c>
      <c r="VS12" s="130">
        <f t="shared" ref="VS12:YD12" si="36">ROUND(VS56,0)</f>
        <v>0</v>
      </c>
      <c r="VT12" s="130">
        <f t="shared" si="36"/>
        <v>0</v>
      </c>
      <c r="VU12" s="130">
        <f t="shared" si="36"/>
        <v>0</v>
      </c>
      <c r="VV12" s="130">
        <f t="shared" si="36"/>
        <v>0</v>
      </c>
      <c r="VW12" s="130">
        <f t="shared" si="36"/>
        <v>0</v>
      </c>
      <c r="VX12" s="130">
        <f t="shared" si="36"/>
        <v>0</v>
      </c>
      <c r="VY12" s="130">
        <f t="shared" si="36"/>
        <v>0</v>
      </c>
      <c r="VZ12" s="130">
        <f t="shared" si="36"/>
        <v>0</v>
      </c>
      <c r="WA12" s="130">
        <f t="shared" si="36"/>
        <v>0</v>
      </c>
      <c r="WB12" s="130">
        <f t="shared" si="36"/>
        <v>0</v>
      </c>
      <c r="WC12" s="130">
        <f t="shared" si="36"/>
        <v>0</v>
      </c>
      <c r="WD12" s="130">
        <f t="shared" si="36"/>
        <v>0</v>
      </c>
      <c r="WE12" s="130">
        <f t="shared" si="36"/>
        <v>0</v>
      </c>
      <c r="WF12" s="130">
        <f t="shared" si="36"/>
        <v>0</v>
      </c>
      <c r="WG12" s="130">
        <f t="shared" si="36"/>
        <v>0</v>
      </c>
      <c r="WH12" s="130">
        <f t="shared" si="36"/>
        <v>0</v>
      </c>
      <c r="WI12" s="130">
        <f t="shared" si="36"/>
        <v>0</v>
      </c>
      <c r="WJ12" s="130">
        <f t="shared" si="36"/>
        <v>0</v>
      </c>
      <c r="WK12" s="130">
        <f t="shared" si="36"/>
        <v>0</v>
      </c>
      <c r="WL12" s="130">
        <f t="shared" si="36"/>
        <v>0</v>
      </c>
      <c r="WM12" s="130">
        <f t="shared" si="36"/>
        <v>0</v>
      </c>
      <c r="WN12" s="130">
        <f t="shared" si="36"/>
        <v>0</v>
      </c>
      <c r="WO12" s="130">
        <f t="shared" si="36"/>
        <v>0</v>
      </c>
      <c r="WP12" s="130">
        <f t="shared" si="36"/>
        <v>0</v>
      </c>
      <c r="WQ12" s="130">
        <f t="shared" si="36"/>
        <v>0</v>
      </c>
      <c r="WR12" s="130">
        <f t="shared" si="36"/>
        <v>0</v>
      </c>
      <c r="WS12" s="130">
        <f t="shared" si="36"/>
        <v>0</v>
      </c>
      <c r="WT12" s="130">
        <f t="shared" si="36"/>
        <v>0</v>
      </c>
      <c r="WU12" s="130">
        <f t="shared" si="36"/>
        <v>0</v>
      </c>
      <c r="WV12" s="130">
        <f t="shared" si="36"/>
        <v>0</v>
      </c>
      <c r="WW12" s="130">
        <f t="shared" si="36"/>
        <v>0</v>
      </c>
      <c r="WX12" s="130">
        <f t="shared" si="36"/>
        <v>0</v>
      </c>
      <c r="WY12" s="130">
        <f t="shared" si="36"/>
        <v>0</v>
      </c>
      <c r="WZ12" s="130">
        <f t="shared" si="36"/>
        <v>0</v>
      </c>
      <c r="XA12" s="130">
        <f t="shared" si="36"/>
        <v>0</v>
      </c>
      <c r="XB12" s="130">
        <f t="shared" si="36"/>
        <v>0</v>
      </c>
      <c r="XC12" s="130">
        <f t="shared" si="36"/>
        <v>0</v>
      </c>
      <c r="XD12" s="130">
        <f t="shared" si="36"/>
        <v>0</v>
      </c>
      <c r="XE12" s="130">
        <f t="shared" si="36"/>
        <v>0</v>
      </c>
      <c r="XF12" s="130">
        <f t="shared" si="36"/>
        <v>0</v>
      </c>
      <c r="XG12" s="130">
        <f t="shared" si="36"/>
        <v>0</v>
      </c>
      <c r="XH12" s="130">
        <f t="shared" si="36"/>
        <v>0</v>
      </c>
      <c r="XI12" s="130">
        <f t="shared" si="36"/>
        <v>0</v>
      </c>
      <c r="XJ12" s="130">
        <f t="shared" si="36"/>
        <v>0</v>
      </c>
      <c r="XK12" s="130">
        <f t="shared" si="36"/>
        <v>0</v>
      </c>
      <c r="XL12" s="130">
        <f t="shared" si="36"/>
        <v>0</v>
      </c>
      <c r="XM12" s="130">
        <f t="shared" si="36"/>
        <v>0</v>
      </c>
      <c r="XN12" s="130">
        <f t="shared" si="36"/>
        <v>0</v>
      </c>
      <c r="XO12" s="130">
        <f t="shared" si="36"/>
        <v>0</v>
      </c>
      <c r="XP12" s="130">
        <f t="shared" si="36"/>
        <v>0</v>
      </c>
      <c r="XQ12" s="130">
        <f t="shared" si="36"/>
        <v>0</v>
      </c>
      <c r="XR12" s="130">
        <f t="shared" si="36"/>
        <v>0</v>
      </c>
      <c r="XS12" s="130">
        <f t="shared" si="36"/>
        <v>0</v>
      </c>
      <c r="XT12" s="130">
        <f t="shared" si="36"/>
        <v>0</v>
      </c>
      <c r="XU12" s="130">
        <f t="shared" si="36"/>
        <v>0</v>
      </c>
      <c r="XV12" s="130">
        <f t="shared" si="36"/>
        <v>0</v>
      </c>
      <c r="XW12" s="130">
        <f t="shared" si="36"/>
        <v>0</v>
      </c>
      <c r="XX12" s="130">
        <f t="shared" si="36"/>
        <v>0</v>
      </c>
      <c r="XY12" s="130">
        <f t="shared" si="36"/>
        <v>0</v>
      </c>
      <c r="XZ12" s="130">
        <f t="shared" si="36"/>
        <v>0</v>
      </c>
      <c r="YA12" s="130">
        <f t="shared" si="36"/>
        <v>0</v>
      </c>
      <c r="YB12" s="130">
        <f t="shared" si="36"/>
        <v>0</v>
      </c>
      <c r="YC12" s="130">
        <f t="shared" si="36"/>
        <v>0</v>
      </c>
      <c r="YD12" s="130">
        <f t="shared" si="36"/>
        <v>0</v>
      </c>
      <c r="YE12" s="130">
        <f t="shared" ref="YE12:AAP12" si="37">ROUND(YE56,0)</f>
        <v>0</v>
      </c>
      <c r="YF12" s="130">
        <f t="shared" si="37"/>
        <v>0</v>
      </c>
      <c r="YG12" s="130">
        <f t="shared" si="37"/>
        <v>0</v>
      </c>
      <c r="YH12" s="130">
        <f t="shared" si="37"/>
        <v>0</v>
      </c>
      <c r="YI12" s="130">
        <f t="shared" si="37"/>
        <v>0</v>
      </c>
      <c r="YJ12" s="130">
        <f t="shared" si="37"/>
        <v>0</v>
      </c>
      <c r="YK12" s="130">
        <f t="shared" si="37"/>
        <v>0</v>
      </c>
      <c r="YL12" s="130">
        <f t="shared" si="37"/>
        <v>0</v>
      </c>
      <c r="YM12" s="130">
        <f t="shared" si="37"/>
        <v>0</v>
      </c>
      <c r="YN12" s="130">
        <f t="shared" si="37"/>
        <v>0</v>
      </c>
      <c r="YO12" s="130">
        <f t="shared" si="37"/>
        <v>0</v>
      </c>
      <c r="YP12" s="130">
        <f t="shared" si="37"/>
        <v>0</v>
      </c>
      <c r="YQ12" s="130">
        <f t="shared" si="37"/>
        <v>0</v>
      </c>
      <c r="YR12" s="130">
        <f t="shared" si="37"/>
        <v>0</v>
      </c>
      <c r="YS12" s="130">
        <f t="shared" si="37"/>
        <v>0</v>
      </c>
      <c r="YT12" s="130">
        <f t="shared" si="37"/>
        <v>0</v>
      </c>
      <c r="YU12" s="130">
        <f t="shared" si="37"/>
        <v>0</v>
      </c>
      <c r="YV12" s="130">
        <f t="shared" si="37"/>
        <v>0</v>
      </c>
      <c r="YW12" s="130">
        <f t="shared" si="37"/>
        <v>0</v>
      </c>
      <c r="YX12" s="130">
        <f t="shared" si="37"/>
        <v>0</v>
      </c>
      <c r="YY12" s="130">
        <f t="shared" si="37"/>
        <v>0</v>
      </c>
      <c r="YZ12" s="130">
        <f t="shared" si="37"/>
        <v>0</v>
      </c>
      <c r="ZA12" s="130">
        <f t="shared" si="37"/>
        <v>0</v>
      </c>
      <c r="ZB12" s="130">
        <f t="shared" si="37"/>
        <v>0</v>
      </c>
      <c r="ZC12" s="130">
        <f t="shared" si="37"/>
        <v>0</v>
      </c>
      <c r="ZD12" s="130">
        <f t="shared" si="37"/>
        <v>0</v>
      </c>
      <c r="ZE12" s="130">
        <f t="shared" si="37"/>
        <v>0</v>
      </c>
      <c r="ZF12" s="130">
        <f t="shared" si="37"/>
        <v>0</v>
      </c>
      <c r="ZG12" s="130">
        <f t="shared" si="37"/>
        <v>0</v>
      </c>
      <c r="ZH12" s="130">
        <f t="shared" si="37"/>
        <v>0</v>
      </c>
      <c r="ZI12" s="130">
        <f t="shared" si="37"/>
        <v>0</v>
      </c>
      <c r="ZJ12" s="130">
        <f t="shared" si="37"/>
        <v>0</v>
      </c>
      <c r="ZK12" s="130">
        <f t="shared" si="37"/>
        <v>0</v>
      </c>
      <c r="ZL12" s="130">
        <f t="shared" si="37"/>
        <v>0</v>
      </c>
      <c r="ZM12" s="130">
        <f t="shared" si="37"/>
        <v>0</v>
      </c>
      <c r="ZN12" s="130">
        <f t="shared" si="37"/>
        <v>0</v>
      </c>
      <c r="ZO12" s="130">
        <f t="shared" si="37"/>
        <v>0</v>
      </c>
      <c r="ZP12" s="130">
        <f t="shared" si="37"/>
        <v>0</v>
      </c>
      <c r="ZQ12" s="130">
        <f t="shared" si="37"/>
        <v>0</v>
      </c>
      <c r="ZR12" s="130">
        <f t="shared" si="37"/>
        <v>0</v>
      </c>
      <c r="ZS12" s="130">
        <f t="shared" si="37"/>
        <v>0</v>
      </c>
      <c r="ZT12" s="130">
        <f t="shared" si="37"/>
        <v>0</v>
      </c>
      <c r="ZU12" s="130">
        <f t="shared" si="37"/>
        <v>0</v>
      </c>
      <c r="ZV12" s="130">
        <f t="shared" si="37"/>
        <v>0</v>
      </c>
      <c r="ZW12" s="130">
        <f t="shared" si="37"/>
        <v>0</v>
      </c>
      <c r="ZX12" s="130">
        <f t="shared" si="37"/>
        <v>0</v>
      </c>
      <c r="ZY12" s="130">
        <f t="shared" si="37"/>
        <v>0</v>
      </c>
      <c r="ZZ12" s="130">
        <f t="shared" si="37"/>
        <v>0</v>
      </c>
      <c r="AAA12" s="130">
        <f t="shared" si="37"/>
        <v>0</v>
      </c>
      <c r="AAB12" s="130">
        <f t="shared" si="37"/>
        <v>0</v>
      </c>
      <c r="AAC12" s="130">
        <f t="shared" si="37"/>
        <v>0</v>
      </c>
      <c r="AAD12" s="130">
        <f t="shared" si="37"/>
        <v>0</v>
      </c>
      <c r="AAE12" s="130">
        <f t="shared" si="37"/>
        <v>0</v>
      </c>
      <c r="AAF12" s="130">
        <f t="shared" si="37"/>
        <v>0</v>
      </c>
      <c r="AAG12" s="130">
        <f t="shared" si="37"/>
        <v>0</v>
      </c>
      <c r="AAH12" s="130">
        <f t="shared" si="37"/>
        <v>0</v>
      </c>
      <c r="AAI12" s="130">
        <f t="shared" si="37"/>
        <v>0</v>
      </c>
      <c r="AAJ12" s="130">
        <f t="shared" si="37"/>
        <v>0</v>
      </c>
      <c r="AAK12" s="130">
        <f t="shared" si="37"/>
        <v>0</v>
      </c>
      <c r="AAL12" s="130">
        <f t="shared" si="37"/>
        <v>0</v>
      </c>
      <c r="AAM12" s="130">
        <f t="shared" si="37"/>
        <v>0</v>
      </c>
      <c r="AAN12" s="130">
        <f t="shared" si="37"/>
        <v>0</v>
      </c>
      <c r="AAO12" s="130">
        <f t="shared" si="37"/>
        <v>0</v>
      </c>
      <c r="AAP12" s="130">
        <f t="shared" si="37"/>
        <v>0</v>
      </c>
      <c r="AAQ12" s="130">
        <f t="shared" ref="AAQ12:ADB12" si="38">ROUND(AAQ56,0)</f>
        <v>0</v>
      </c>
      <c r="AAR12" s="130">
        <f t="shared" si="38"/>
        <v>0</v>
      </c>
      <c r="AAS12" s="130">
        <f t="shared" si="38"/>
        <v>0</v>
      </c>
      <c r="AAT12" s="130">
        <f t="shared" si="38"/>
        <v>0</v>
      </c>
      <c r="AAU12" s="130">
        <f t="shared" si="38"/>
        <v>0</v>
      </c>
      <c r="AAV12" s="130">
        <f t="shared" si="38"/>
        <v>0</v>
      </c>
      <c r="AAW12" s="130">
        <f t="shared" si="38"/>
        <v>0</v>
      </c>
      <c r="AAX12" s="130">
        <f t="shared" si="38"/>
        <v>0</v>
      </c>
      <c r="AAY12" s="130">
        <f t="shared" si="38"/>
        <v>0</v>
      </c>
      <c r="AAZ12" s="130">
        <f t="shared" si="38"/>
        <v>0</v>
      </c>
      <c r="ABA12" s="130">
        <f t="shared" si="38"/>
        <v>0</v>
      </c>
      <c r="ABB12" s="130">
        <f t="shared" si="38"/>
        <v>0</v>
      </c>
      <c r="ABC12" s="130">
        <f t="shared" si="38"/>
        <v>0</v>
      </c>
      <c r="ABD12" s="130">
        <f t="shared" si="38"/>
        <v>0</v>
      </c>
      <c r="ABE12" s="130">
        <f t="shared" si="38"/>
        <v>0</v>
      </c>
      <c r="ABF12" s="130">
        <f t="shared" si="38"/>
        <v>0</v>
      </c>
      <c r="ABG12" s="130">
        <f t="shared" si="38"/>
        <v>0</v>
      </c>
      <c r="ABH12" s="130">
        <f t="shared" si="38"/>
        <v>0</v>
      </c>
      <c r="ABI12" s="130">
        <f t="shared" si="38"/>
        <v>0</v>
      </c>
      <c r="ABJ12" s="130">
        <f t="shared" si="38"/>
        <v>0</v>
      </c>
      <c r="ABK12" s="130">
        <f t="shared" si="38"/>
        <v>0</v>
      </c>
      <c r="ABL12" s="130">
        <f t="shared" si="38"/>
        <v>0</v>
      </c>
      <c r="ABM12" s="130">
        <f t="shared" si="38"/>
        <v>0</v>
      </c>
      <c r="ABN12" s="130">
        <f t="shared" si="38"/>
        <v>0</v>
      </c>
      <c r="ABO12" s="130">
        <f t="shared" si="38"/>
        <v>0</v>
      </c>
      <c r="ABP12" s="130">
        <f t="shared" si="38"/>
        <v>0</v>
      </c>
      <c r="ABQ12" s="130">
        <f t="shared" si="38"/>
        <v>0</v>
      </c>
      <c r="ABR12" s="130">
        <f t="shared" si="38"/>
        <v>0</v>
      </c>
      <c r="ABS12" s="130">
        <f t="shared" si="38"/>
        <v>0</v>
      </c>
      <c r="ABT12" s="130">
        <f t="shared" si="38"/>
        <v>0</v>
      </c>
      <c r="ABU12" s="130">
        <f t="shared" si="38"/>
        <v>0</v>
      </c>
      <c r="ABV12" s="130">
        <f t="shared" si="38"/>
        <v>0</v>
      </c>
      <c r="ABW12" s="130">
        <f t="shared" si="38"/>
        <v>0</v>
      </c>
      <c r="ABX12" s="130">
        <f t="shared" si="38"/>
        <v>0</v>
      </c>
      <c r="ABY12" s="130">
        <f t="shared" si="38"/>
        <v>0</v>
      </c>
      <c r="ABZ12" s="130">
        <f t="shared" si="38"/>
        <v>0</v>
      </c>
      <c r="ACA12" s="130">
        <f t="shared" si="38"/>
        <v>0</v>
      </c>
      <c r="ACB12" s="130">
        <f t="shared" si="38"/>
        <v>0</v>
      </c>
      <c r="ACC12" s="130">
        <f t="shared" si="38"/>
        <v>0</v>
      </c>
      <c r="ACD12" s="130">
        <f t="shared" si="38"/>
        <v>0</v>
      </c>
      <c r="ACE12" s="130">
        <f t="shared" si="38"/>
        <v>0</v>
      </c>
      <c r="ACF12" s="130">
        <f t="shared" si="38"/>
        <v>0</v>
      </c>
      <c r="ACG12" s="130">
        <f t="shared" si="38"/>
        <v>0</v>
      </c>
      <c r="ACH12" s="130">
        <f t="shared" si="38"/>
        <v>0</v>
      </c>
      <c r="ACI12" s="130">
        <f t="shared" si="38"/>
        <v>0</v>
      </c>
      <c r="ACJ12" s="130">
        <f t="shared" si="38"/>
        <v>0</v>
      </c>
      <c r="ACK12" s="130">
        <f t="shared" si="38"/>
        <v>0</v>
      </c>
      <c r="ACL12" s="130">
        <f t="shared" si="38"/>
        <v>0</v>
      </c>
      <c r="ACM12" s="130">
        <f t="shared" si="38"/>
        <v>0</v>
      </c>
      <c r="ACN12" s="130">
        <f t="shared" si="38"/>
        <v>0</v>
      </c>
      <c r="ACO12" s="130">
        <f t="shared" si="38"/>
        <v>0</v>
      </c>
      <c r="ACP12" s="130">
        <f t="shared" si="38"/>
        <v>0</v>
      </c>
      <c r="ACQ12" s="130">
        <f t="shared" si="38"/>
        <v>0</v>
      </c>
      <c r="ACR12" s="130">
        <f t="shared" si="38"/>
        <v>0</v>
      </c>
      <c r="ACS12" s="130">
        <f t="shared" si="38"/>
        <v>0</v>
      </c>
      <c r="ACT12" s="130">
        <f t="shared" si="38"/>
        <v>0</v>
      </c>
      <c r="ACU12" s="130">
        <f t="shared" si="38"/>
        <v>0</v>
      </c>
      <c r="ACV12" s="130">
        <f t="shared" si="38"/>
        <v>0</v>
      </c>
      <c r="ACW12" s="130">
        <f t="shared" si="38"/>
        <v>0</v>
      </c>
      <c r="ACX12" s="130">
        <f t="shared" si="38"/>
        <v>0</v>
      </c>
      <c r="ACY12" s="130">
        <f t="shared" si="38"/>
        <v>0</v>
      </c>
      <c r="ACZ12" s="130">
        <f t="shared" si="38"/>
        <v>0</v>
      </c>
      <c r="ADA12" s="130">
        <f t="shared" si="38"/>
        <v>0</v>
      </c>
      <c r="ADB12" s="130">
        <f t="shared" si="38"/>
        <v>0</v>
      </c>
      <c r="ADC12" s="130">
        <f t="shared" ref="ADC12:AEW12" si="39">ROUND(ADC56,0)</f>
        <v>0</v>
      </c>
      <c r="ADD12" s="130">
        <f t="shared" si="39"/>
        <v>0</v>
      </c>
      <c r="ADE12" s="130">
        <f t="shared" si="39"/>
        <v>0</v>
      </c>
      <c r="ADF12" s="130">
        <f t="shared" si="39"/>
        <v>0</v>
      </c>
      <c r="ADG12" s="130">
        <f t="shared" si="39"/>
        <v>0</v>
      </c>
      <c r="ADH12" s="130">
        <f t="shared" si="39"/>
        <v>0</v>
      </c>
      <c r="ADI12" s="130">
        <f t="shared" si="39"/>
        <v>0</v>
      </c>
      <c r="ADJ12" s="130">
        <f t="shared" si="39"/>
        <v>0</v>
      </c>
      <c r="ADK12" s="130">
        <f t="shared" si="39"/>
        <v>0</v>
      </c>
      <c r="ADL12" s="130">
        <f t="shared" si="39"/>
        <v>0</v>
      </c>
      <c r="ADM12" s="130">
        <f t="shared" si="39"/>
        <v>0</v>
      </c>
      <c r="ADN12" s="130">
        <f t="shared" si="39"/>
        <v>0</v>
      </c>
      <c r="ADO12" s="130">
        <f t="shared" si="39"/>
        <v>0</v>
      </c>
      <c r="ADP12" s="130">
        <f t="shared" si="39"/>
        <v>0</v>
      </c>
      <c r="ADQ12" s="130">
        <f t="shared" si="39"/>
        <v>0</v>
      </c>
      <c r="ADR12" s="130">
        <f t="shared" si="39"/>
        <v>0</v>
      </c>
      <c r="ADS12" s="130">
        <f t="shared" si="39"/>
        <v>0</v>
      </c>
      <c r="ADT12" s="130">
        <f t="shared" si="39"/>
        <v>0</v>
      </c>
      <c r="ADU12" s="130">
        <f t="shared" si="39"/>
        <v>0</v>
      </c>
      <c r="ADV12" s="130">
        <f t="shared" si="39"/>
        <v>0</v>
      </c>
      <c r="ADW12" s="130">
        <f t="shared" si="39"/>
        <v>0</v>
      </c>
      <c r="ADX12" s="130">
        <f t="shared" si="39"/>
        <v>0</v>
      </c>
      <c r="ADY12" s="130">
        <f t="shared" si="39"/>
        <v>0</v>
      </c>
      <c r="ADZ12" s="130">
        <f t="shared" si="39"/>
        <v>0</v>
      </c>
      <c r="AEA12" s="130">
        <f t="shared" si="39"/>
        <v>0</v>
      </c>
      <c r="AEB12" s="130">
        <f t="shared" si="39"/>
        <v>0</v>
      </c>
      <c r="AEC12" s="130">
        <f t="shared" si="39"/>
        <v>0</v>
      </c>
      <c r="AED12" s="130">
        <f t="shared" si="39"/>
        <v>0</v>
      </c>
      <c r="AEE12" s="130">
        <f t="shared" si="39"/>
        <v>0</v>
      </c>
      <c r="AEF12" s="130">
        <f t="shared" si="39"/>
        <v>0</v>
      </c>
      <c r="AEG12" s="130">
        <f t="shared" si="39"/>
        <v>0</v>
      </c>
      <c r="AEH12" s="130">
        <f t="shared" si="39"/>
        <v>0</v>
      </c>
      <c r="AEI12" s="130">
        <f t="shared" si="39"/>
        <v>0</v>
      </c>
      <c r="AEJ12" s="130">
        <f t="shared" si="39"/>
        <v>0</v>
      </c>
      <c r="AEK12" s="130">
        <f t="shared" si="39"/>
        <v>0</v>
      </c>
      <c r="AEL12" s="130">
        <f t="shared" si="39"/>
        <v>0</v>
      </c>
      <c r="AEM12" s="130">
        <f t="shared" si="39"/>
        <v>0</v>
      </c>
      <c r="AEN12" s="130">
        <f t="shared" si="39"/>
        <v>0</v>
      </c>
      <c r="AEO12" s="130">
        <f t="shared" si="39"/>
        <v>0</v>
      </c>
      <c r="AEP12" s="130">
        <f t="shared" si="39"/>
        <v>0</v>
      </c>
      <c r="AEQ12" s="130">
        <f t="shared" si="39"/>
        <v>0</v>
      </c>
      <c r="AER12" s="130">
        <f t="shared" si="39"/>
        <v>0</v>
      </c>
      <c r="AES12" s="130">
        <f t="shared" si="39"/>
        <v>0</v>
      </c>
      <c r="AET12" s="130">
        <f t="shared" si="39"/>
        <v>0</v>
      </c>
      <c r="AEU12" s="130">
        <f t="shared" si="39"/>
        <v>0</v>
      </c>
      <c r="AEV12" s="130">
        <f t="shared" si="39"/>
        <v>0</v>
      </c>
      <c r="AEW12" s="130">
        <f t="shared" si="39"/>
        <v>0</v>
      </c>
      <c r="AEX12" s="144" t="s">
        <v>221</v>
      </c>
    </row>
    <row r="13" spans="1:830" ht="22.5" customHeight="1" x14ac:dyDescent="0.25">
      <c r="A13" s="36"/>
      <c r="B13" s="142" t="s">
        <v>411</v>
      </c>
      <c r="C13" s="160">
        <f>REKAP!$J$6</f>
        <v>0</v>
      </c>
      <c r="D13" s="124">
        <f>REKAP!$J$4</f>
        <v>0</v>
      </c>
      <c r="E13" s="159">
        <f>REKAP!$J$5</f>
        <v>0</v>
      </c>
      <c r="F13" s="36"/>
      <c r="G13" s="138" t="s">
        <v>219</v>
      </c>
      <c r="H13" s="4" t="s">
        <v>220</v>
      </c>
      <c r="I13" s="143"/>
      <c r="J13" s="141">
        <f t="shared" si="0"/>
        <v>0</v>
      </c>
      <c r="K13" s="7"/>
      <c r="L13" s="7"/>
      <c r="M13" s="7"/>
      <c r="N13" s="130"/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0"/>
      <c r="BQ13" s="130"/>
      <c r="BR13" s="130"/>
      <c r="BS13" s="130"/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  <c r="CE13" s="130"/>
      <c r="CF13" s="130"/>
      <c r="CG13" s="130"/>
      <c r="CH13" s="130"/>
      <c r="CI13" s="130"/>
      <c r="CJ13" s="130"/>
      <c r="CK13" s="130"/>
      <c r="CL13" s="130"/>
      <c r="CM13" s="130"/>
      <c r="CN13" s="130"/>
      <c r="CO13" s="130"/>
      <c r="CP13" s="130"/>
      <c r="CQ13" s="130"/>
      <c r="CR13" s="130"/>
      <c r="CS13" s="130"/>
      <c r="CT13" s="130"/>
      <c r="CU13" s="130"/>
      <c r="CV13" s="130"/>
      <c r="CW13" s="130"/>
      <c r="CX13" s="130"/>
      <c r="CY13" s="130"/>
      <c r="CZ13" s="130"/>
      <c r="DA13" s="130"/>
      <c r="DB13" s="130"/>
      <c r="DC13" s="130"/>
      <c r="DD13" s="130"/>
      <c r="DE13" s="130"/>
      <c r="DF13" s="130"/>
      <c r="DG13" s="130"/>
      <c r="DH13" s="130"/>
      <c r="DI13" s="130"/>
      <c r="DJ13" s="130"/>
      <c r="DK13" s="130"/>
      <c r="DL13" s="130"/>
      <c r="DM13" s="130"/>
      <c r="DN13" s="130"/>
      <c r="DO13" s="130"/>
      <c r="DP13" s="130"/>
      <c r="DQ13" s="130"/>
      <c r="DR13" s="130"/>
      <c r="DS13" s="130"/>
      <c r="DT13" s="130"/>
      <c r="DU13" s="130"/>
      <c r="DV13" s="130"/>
      <c r="DW13" s="130"/>
      <c r="DX13" s="130"/>
      <c r="DY13" s="130"/>
      <c r="DZ13" s="130"/>
      <c r="EA13" s="130"/>
      <c r="EB13" s="130"/>
      <c r="EC13" s="130"/>
      <c r="ED13" s="130"/>
      <c r="EE13" s="130"/>
      <c r="EF13" s="130">
        <f>SMA!$I$6</f>
        <v>0</v>
      </c>
      <c r="EG13" s="130">
        <f>SMA!$I$7</f>
        <v>0</v>
      </c>
      <c r="EH13" s="130">
        <f>SMA!$I$8</f>
        <v>0</v>
      </c>
      <c r="EI13" s="130">
        <f>SMA!$I$9</f>
        <v>0</v>
      </c>
      <c r="EJ13" s="130">
        <f>SMA!$I$10</f>
        <v>0</v>
      </c>
      <c r="EK13" s="130">
        <f>SMA!$I$11</f>
        <v>0</v>
      </c>
      <c r="EL13" s="130">
        <f>SMA!$I$14</f>
        <v>0</v>
      </c>
      <c r="EM13" s="130">
        <f>SMA!$I$15</f>
        <v>0</v>
      </c>
      <c r="EN13" s="130">
        <f>SMA!$I$16</f>
        <v>0</v>
      </c>
      <c r="EO13" s="130">
        <f>SMA!$I$17</f>
        <v>0</v>
      </c>
      <c r="EP13" s="130">
        <f>SMA!$I$18</f>
        <v>0</v>
      </c>
      <c r="EQ13" s="130">
        <f>SMA!$I$19</f>
        <v>0</v>
      </c>
      <c r="ER13" s="130">
        <f>SMA!$I$20</f>
        <v>0</v>
      </c>
      <c r="ES13" s="130">
        <f>SMA!$I$21</f>
        <v>0</v>
      </c>
      <c r="ET13" s="130">
        <f>SMA!$I$22</f>
        <v>0</v>
      </c>
      <c r="EU13" s="130">
        <f>SMA!$I$23</f>
        <v>0</v>
      </c>
      <c r="EV13" s="130">
        <f>SMA!$I$24</f>
        <v>0</v>
      </c>
      <c r="EW13" s="130">
        <f>SMA!$I$25</f>
        <v>0</v>
      </c>
      <c r="EX13" s="130">
        <f>SMA!$I$26</f>
        <v>0</v>
      </c>
      <c r="EY13" s="130">
        <f>SMA!$I$27</f>
        <v>0</v>
      </c>
      <c r="EZ13" s="130">
        <f>SMA!$I$28</f>
        <v>0</v>
      </c>
      <c r="FA13" s="130">
        <f>SMA!$I$29</f>
        <v>0</v>
      </c>
      <c r="FB13" s="130">
        <f>SMA!$I$30</f>
        <v>0</v>
      </c>
      <c r="FC13" s="130">
        <f>SMA!$I$31</f>
        <v>0</v>
      </c>
      <c r="FD13" s="130">
        <f>SMA!$I$32</f>
        <v>0</v>
      </c>
      <c r="FE13" s="130">
        <f>SMA!$I$33</f>
        <v>0</v>
      </c>
      <c r="FF13" s="130">
        <f>SMA!$I$34</f>
        <v>0</v>
      </c>
      <c r="FG13" s="130">
        <f>SMA!$I$35</f>
        <v>0</v>
      </c>
      <c r="FH13" s="130">
        <f>SMA!$I$36</f>
        <v>0</v>
      </c>
      <c r="FI13" s="130">
        <f>SMA!$I$37</f>
        <v>0</v>
      </c>
      <c r="FJ13" s="130">
        <f>SMA!$I$38</f>
        <v>0</v>
      </c>
      <c r="FK13" s="130">
        <f>SMA!$I$39</f>
        <v>0</v>
      </c>
      <c r="FL13" s="130">
        <f>SMA!$I$40</f>
        <v>0</v>
      </c>
      <c r="FM13" s="130">
        <f>SMA!$I$41</f>
        <v>0</v>
      </c>
      <c r="FN13" s="130">
        <f>SMA!$I$44</f>
        <v>0</v>
      </c>
      <c r="FO13" s="130">
        <f>SMA!$I$45</f>
        <v>0</v>
      </c>
      <c r="FP13" s="130">
        <f>SMA!$I$46</f>
        <v>0</v>
      </c>
      <c r="FQ13" s="130">
        <f>SMA!$I$47</f>
        <v>0</v>
      </c>
      <c r="FR13" s="130">
        <f>SMA!$I$48</f>
        <v>0</v>
      </c>
      <c r="FS13" s="130">
        <f>SMA!$I$49</f>
        <v>0</v>
      </c>
      <c r="FT13" s="130">
        <f>SMA!$I$50</f>
        <v>0</v>
      </c>
      <c r="FU13" s="130">
        <f>SMA!$I$51</f>
        <v>0</v>
      </c>
      <c r="FV13" s="130">
        <f>SMA!$I$52</f>
        <v>0</v>
      </c>
      <c r="FW13" s="130">
        <f>SMA!$I$53</f>
        <v>0</v>
      </c>
      <c r="FX13" s="130">
        <f>SMA!$I$54</f>
        <v>0</v>
      </c>
      <c r="FY13" s="130">
        <f>SMA!$I$55</f>
        <v>0</v>
      </c>
      <c r="FZ13" s="130">
        <f>SMA!$I$56</f>
        <v>0</v>
      </c>
      <c r="GA13" s="130">
        <f>SMA!$I$57</f>
        <v>0</v>
      </c>
      <c r="GB13" s="130">
        <f>SMA!$I$58</f>
        <v>0</v>
      </c>
      <c r="GC13" s="130">
        <f>SMA!$I$59</f>
        <v>0</v>
      </c>
      <c r="GD13" s="130">
        <f>SMA!$I$60</f>
        <v>0</v>
      </c>
      <c r="GE13" s="130">
        <f>SMA!$I$61</f>
        <v>0</v>
      </c>
      <c r="GF13" s="130">
        <f>SMA!$I$62</f>
        <v>0</v>
      </c>
      <c r="GG13" s="130">
        <f>SMA!$I$63</f>
        <v>0</v>
      </c>
      <c r="GH13" s="130">
        <f>SMA!$I$70</f>
        <v>0</v>
      </c>
      <c r="GI13" s="130">
        <f>SMA!$I$71</f>
        <v>0</v>
      </c>
      <c r="GJ13" s="130">
        <f>SMA!$I$72</f>
        <v>0</v>
      </c>
      <c r="GK13" s="130">
        <f>SMA!$I$73</f>
        <v>0</v>
      </c>
      <c r="GL13" s="130">
        <f>SMA!$I$74</f>
        <v>0</v>
      </c>
      <c r="GM13" s="130">
        <f>SMA!$I$75</f>
        <v>0</v>
      </c>
      <c r="GN13" s="130">
        <f>SMA!$I$79</f>
        <v>0</v>
      </c>
      <c r="GO13" s="130">
        <f>SMA!$I$80</f>
        <v>0</v>
      </c>
      <c r="GP13" s="130">
        <f>SMA!$I$81</f>
        <v>0</v>
      </c>
      <c r="GQ13" s="130">
        <f>SMA!$I$82</f>
        <v>0</v>
      </c>
      <c r="GR13" s="130">
        <f>SMA!$I$83</f>
        <v>0</v>
      </c>
      <c r="GS13" s="130">
        <f>SMA!$I$84</f>
        <v>0</v>
      </c>
      <c r="GT13" s="130">
        <f>SMA!$I$85</f>
        <v>0</v>
      </c>
      <c r="GU13" s="130">
        <f>SMA!$I$86</f>
        <v>0</v>
      </c>
      <c r="GV13" s="130">
        <f>SMA!$I$87</f>
        <v>0</v>
      </c>
      <c r="GW13" s="130"/>
      <c r="GX13" s="130"/>
      <c r="GY13" s="130"/>
      <c r="GZ13" s="130"/>
      <c r="HA13" s="130"/>
      <c r="HB13" s="130"/>
      <c r="HC13" s="130"/>
      <c r="HD13" s="130"/>
      <c r="HE13" s="130"/>
      <c r="HF13" s="130"/>
      <c r="HG13" s="130"/>
      <c r="HH13" s="130"/>
      <c r="HI13" s="130"/>
      <c r="HJ13" s="130"/>
      <c r="HK13" s="130"/>
      <c r="HL13" s="130"/>
      <c r="HM13" s="130"/>
      <c r="HN13" s="130"/>
      <c r="HO13" s="130"/>
      <c r="HP13" s="130"/>
      <c r="HQ13" s="130"/>
      <c r="HR13" s="130"/>
      <c r="HS13" s="130"/>
      <c r="HT13" s="130"/>
      <c r="HU13" s="130"/>
      <c r="HV13" s="130"/>
      <c r="HW13" s="130"/>
      <c r="HX13" s="130"/>
      <c r="HY13" s="130"/>
      <c r="HZ13" s="130"/>
      <c r="IA13" s="130"/>
      <c r="IB13" s="130"/>
      <c r="IC13" s="130"/>
      <c r="ID13" s="130"/>
      <c r="IE13" s="130"/>
      <c r="IF13" s="130"/>
      <c r="IG13" s="130"/>
      <c r="IH13" s="130"/>
      <c r="II13" s="130"/>
      <c r="IJ13" s="130"/>
      <c r="IK13" s="130"/>
      <c r="IL13" s="130"/>
      <c r="IM13" s="130"/>
      <c r="IN13" s="130"/>
      <c r="IO13" s="130"/>
      <c r="IP13" s="130"/>
      <c r="IQ13" s="130"/>
      <c r="IR13" s="130"/>
      <c r="IS13" s="130"/>
      <c r="IT13" s="130"/>
      <c r="IU13" s="130"/>
      <c r="IV13" s="130"/>
      <c r="IW13" s="130"/>
      <c r="IX13" s="130"/>
      <c r="IY13" s="130"/>
      <c r="IZ13" s="130"/>
      <c r="JA13" s="130"/>
      <c r="JB13" s="130"/>
      <c r="JC13" s="130"/>
      <c r="JD13" s="130"/>
      <c r="JE13" s="130"/>
      <c r="JF13" s="130"/>
      <c r="JG13" s="130"/>
      <c r="JH13" s="130"/>
      <c r="JI13" s="130"/>
      <c r="JJ13" s="130"/>
      <c r="JK13" s="130"/>
      <c r="JL13" s="130"/>
      <c r="JM13" s="130"/>
      <c r="JN13" s="130"/>
      <c r="JO13" s="130"/>
      <c r="JP13" s="130"/>
      <c r="JQ13" s="130"/>
      <c r="JR13" s="130"/>
      <c r="JS13" s="130"/>
      <c r="JT13" s="130"/>
      <c r="JU13" s="130"/>
      <c r="JV13" s="130"/>
      <c r="JW13" s="130"/>
      <c r="JX13" s="130"/>
      <c r="JY13" s="130"/>
      <c r="JZ13" s="130"/>
      <c r="KA13" s="130"/>
      <c r="KB13" s="130"/>
      <c r="KC13" s="130"/>
      <c r="KD13" s="130"/>
      <c r="KE13" s="130"/>
      <c r="KF13" s="130"/>
      <c r="KG13" s="130"/>
      <c r="KH13" s="130"/>
      <c r="KI13" s="130"/>
      <c r="KJ13" s="130"/>
      <c r="KK13" s="130"/>
      <c r="KL13" s="130"/>
      <c r="KM13" s="130"/>
      <c r="KN13" s="130"/>
      <c r="KO13" s="130"/>
      <c r="KP13" s="130"/>
      <c r="KQ13" s="130"/>
      <c r="KR13" s="130"/>
      <c r="KS13" s="130"/>
      <c r="KT13" s="130"/>
      <c r="KU13" s="130"/>
      <c r="KV13" s="130"/>
      <c r="KW13" s="130"/>
      <c r="KX13" s="130"/>
      <c r="KY13" s="130"/>
      <c r="KZ13" s="130"/>
      <c r="LA13" s="130"/>
      <c r="LB13" s="130"/>
      <c r="LC13" s="130"/>
      <c r="LD13" s="130"/>
      <c r="LE13" s="130"/>
      <c r="LF13" s="130"/>
      <c r="LG13" s="130"/>
      <c r="LH13" s="130"/>
      <c r="LI13" s="130"/>
      <c r="LJ13" s="130"/>
      <c r="LK13" s="130"/>
      <c r="LL13" s="130"/>
      <c r="LM13" s="130"/>
      <c r="LN13" s="130"/>
      <c r="LO13" s="130"/>
      <c r="LP13" s="130"/>
      <c r="LQ13" s="130"/>
      <c r="LR13" s="130"/>
      <c r="LS13" s="130"/>
      <c r="LT13" s="130"/>
      <c r="LU13" s="130"/>
      <c r="LV13" s="130"/>
      <c r="LW13" s="130"/>
      <c r="LX13" s="130"/>
      <c r="LY13" s="130"/>
      <c r="LZ13" s="130"/>
      <c r="MA13" s="130"/>
      <c r="MB13" s="130"/>
      <c r="MC13" s="130"/>
      <c r="MD13" s="130"/>
      <c r="ME13" s="130"/>
      <c r="MF13" s="130"/>
      <c r="MG13" s="130"/>
      <c r="MH13" s="130"/>
      <c r="MI13" s="130"/>
      <c r="MJ13" s="130"/>
      <c r="MK13" s="130"/>
      <c r="ML13" s="130"/>
      <c r="MM13" s="130"/>
      <c r="MN13" s="130"/>
      <c r="MO13" s="130"/>
      <c r="MP13" s="130"/>
      <c r="MQ13" s="130"/>
      <c r="MR13" s="130"/>
      <c r="MS13" s="130"/>
      <c r="MT13" s="130"/>
      <c r="MU13" s="130"/>
      <c r="MV13" s="130"/>
      <c r="MW13" s="130"/>
      <c r="MX13" s="130"/>
      <c r="MY13" s="130"/>
      <c r="MZ13" s="130"/>
      <c r="NA13" s="130"/>
      <c r="NB13" s="130"/>
      <c r="NC13" s="130"/>
      <c r="ND13" s="130"/>
      <c r="NE13" s="130"/>
      <c r="NF13" s="130"/>
      <c r="NG13" s="130"/>
      <c r="NH13" s="130"/>
      <c r="NI13" s="130"/>
      <c r="NJ13" s="130"/>
      <c r="NK13" s="130"/>
      <c r="NL13" s="130"/>
      <c r="NM13" s="130"/>
      <c r="NN13" s="130"/>
      <c r="NO13" s="130"/>
      <c r="NP13" s="130"/>
      <c r="NQ13" s="130"/>
      <c r="NR13" s="130"/>
      <c r="NS13" s="130"/>
      <c r="NT13" s="130"/>
      <c r="NU13" s="130"/>
      <c r="NV13" s="130"/>
      <c r="NW13" s="130"/>
      <c r="NX13" s="130"/>
      <c r="NY13" s="130"/>
      <c r="NZ13" s="130"/>
      <c r="OA13" s="130"/>
      <c r="OB13" s="130"/>
      <c r="OC13" s="130"/>
      <c r="OD13" s="130"/>
      <c r="OE13" s="130"/>
      <c r="OF13" s="130"/>
      <c r="OG13" s="130"/>
      <c r="OH13" s="130"/>
      <c r="OI13" s="130"/>
      <c r="OJ13" s="130"/>
      <c r="OK13" s="130"/>
      <c r="OL13" s="130"/>
      <c r="OM13" s="130"/>
      <c r="ON13" s="130"/>
      <c r="OO13" s="130"/>
      <c r="OP13" s="130"/>
      <c r="OQ13" s="130"/>
      <c r="OR13" s="130"/>
      <c r="OS13" s="130"/>
      <c r="OT13" s="130"/>
      <c r="OU13" s="130"/>
      <c r="OV13" s="130"/>
      <c r="OW13" s="130"/>
      <c r="OX13" s="130"/>
      <c r="OY13" s="130"/>
      <c r="OZ13" s="130"/>
      <c r="PA13" s="130"/>
      <c r="PB13" s="130"/>
      <c r="PC13" s="130"/>
      <c r="PD13" s="130"/>
      <c r="PE13" s="130"/>
      <c r="PF13" s="130"/>
      <c r="PG13" s="130"/>
      <c r="PH13" s="130"/>
      <c r="PI13" s="130"/>
      <c r="PJ13" s="130"/>
      <c r="PK13" s="130"/>
      <c r="PL13" s="130"/>
      <c r="PM13" s="130"/>
      <c r="PN13" s="130"/>
      <c r="PO13" s="130"/>
      <c r="PP13" s="130"/>
      <c r="PQ13" s="130"/>
      <c r="PR13" s="130"/>
      <c r="PS13" s="130"/>
      <c r="PT13" s="130"/>
      <c r="PU13" s="130"/>
      <c r="PV13" s="130"/>
      <c r="PW13" s="130"/>
      <c r="PX13" s="130"/>
      <c r="PY13" s="130"/>
      <c r="PZ13" s="130"/>
      <c r="QA13" s="130"/>
      <c r="QB13" s="130"/>
      <c r="QC13" s="130"/>
      <c r="QD13" s="130"/>
      <c r="QE13" s="130"/>
      <c r="QF13" s="130"/>
      <c r="QG13" s="130"/>
      <c r="QH13" s="130"/>
      <c r="QI13" s="130"/>
      <c r="QJ13" s="130"/>
      <c r="QK13" s="130"/>
      <c r="QL13" s="130"/>
      <c r="QM13" s="130"/>
      <c r="QN13" s="130"/>
      <c r="QO13" s="130"/>
      <c r="QP13" s="130"/>
      <c r="QQ13" s="130"/>
      <c r="QR13" s="130"/>
      <c r="QS13" s="130"/>
      <c r="QT13" s="130"/>
      <c r="QU13" s="130"/>
      <c r="QV13" s="130"/>
      <c r="QW13" s="130"/>
      <c r="QX13" s="130"/>
      <c r="QY13" s="130"/>
      <c r="QZ13" s="130"/>
      <c r="RA13" s="130"/>
      <c r="RB13" s="130"/>
      <c r="RC13" s="130"/>
      <c r="RD13" s="130"/>
      <c r="RE13" s="130"/>
      <c r="RF13" s="130"/>
      <c r="RG13" s="130"/>
      <c r="RH13" s="130"/>
      <c r="RI13" s="130"/>
      <c r="RJ13" s="130"/>
      <c r="RK13" s="130"/>
      <c r="RL13" s="130"/>
      <c r="RM13" s="130"/>
      <c r="RN13" s="130"/>
      <c r="RO13" s="130"/>
      <c r="RP13" s="130"/>
      <c r="RQ13" s="130"/>
      <c r="RR13" s="130"/>
      <c r="RS13" s="130"/>
      <c r="RT13" s="130"/>
      <c r="RU13" s="130"/>
      <c r="RV13" s="130"/>
      <c r="RW13" s="130"/>
      <c r="RX13" s="130"/>
      <c r="RY13" s="130"/>
      <c r="RZ13" s="130"/>
      <c r="SA13" s="130"/>
      <c r="SB13" s="130"/>
      <c r="SC13" s="130"/>
      <c r="SD13" s="130"/>
      <c r="SE13" s="130"/>
      <c r="SF13" s="130"/>
      <c r="SG13" s="130"/>
      <c r="SH13" s="130"/>
      <c r="SI13" s="130"/>
      <c r="SJ13" s="130"/>
      <c r="SK13" s="130"/>
      <c r="SL13" s="130"/>
      <c r="SM13" s="130"/>
      <c r="SN13" s="130"/>
      <c r="SO13" s="130"/>
      <c r="SP13" s="130"/>
      <c r="SQ13" s="130"/>
      <c r="SR13" s="130"/>
      <c r="SS13" s="130"/>
      <c r="ST13" s="130"/>
      <c r="SU13" s="130"/>
      <c r="SV13" s="130"/>
      <c r="SW13" s="130"/>
      <c r="SX13" s="130"/>
      <c r="SY13" s="130"/>
      <c r="SZ13" s="130"/>
      <c r="TA13" s="130"/>
      <c r="TB13" s="130"/>
      <c r="TC13" s="130"/>
      <c r="TD13" s="130"/>
      <c r="TE13" s="130"/>
      <c r="TF13" s="130"/>
      <c r="TG13" s="130"/>
      <c r="TH13" s="130"/>
      <c r="TI13" s="130"/>
      <c r="TJ13" s="130"/>
      <c r="TK13" s="130"/>
      <c r="TL13" s="130"/>
      <c r="TM13" s="130"/>
      <c r="TN13" s="130"/>
      <c r="TO13" s="130"/>
      <c r="TP13" s="130"/>
      <c r="TQ13" s="130"/>
      <c r="TR13" s="130"/>
      <c r="TS13" s="130"/>
      <c r="TT13" s="130"/>
      <c r="TU13" s="130"/>
      <c r="TV13" s="130"/>
      <c r="TW13" s="130"/>
      <c r="TX13" s="130"/>
      <c r="TY13" s="130"/>
      <c r="TZ13" s="130"/>
      <c r="UA13" s="130"/>
      <c r="UB13" s="130"/>
      <c r="UC13" s="130"/>
      <c r="UD13" s="130"/>
      <c r="UE13" s="130"/>
      <c r="UF13" s="130"/>
      <c r="UG13" s="130"/>
      <c r="UH13" s="130"/>
      <c r="UI13" s="130"/>
      <c r="UJ13" s="130"/>
      <c r="UK13" s="130"/>
      <c r="UL13" s="130"/>
      <c r="UM13" s="130"/>
      <c r="UN13" s="130"/>
      <c r="UO13" s="130"/>
      <c r="UP13" s="130"/>
      <c r="UQ13" s="130"/>
      <c r="UR13" s="130"/>
      <c r="US13" s="130"/>
      <c r="UT13" s="130"/>
      <c r="UU13" s="130"/>
      <c r="UV13" s="130"/>
      <c r="UW13" s="130"/>
      <c r="UX13" s="130"/>
      <c r="UY13" s="130"/>
      <c r="UZ13" s="130"/>
      <c r="VA13" s="130"/>
      <c r="VB13" s="130"/>
      <c r="VC13" s="130"/>
      <c r="VD13" s="130"/>
      <c r="VE13" s="130"/>
      <c r="VF13" s="130"/>
      <c r="VG13" s="130"/>
      <c r="VH13" s="130"/>
      <c r="VI13" s="130"/>
      <c r="VJ13" s="130"/>
      <c r="VK13" s="130"/>
      <c r="VL13" s="130"/>
      <c r="VM13" s="130"/>
      <c r="VN13" s="130"/>
      <c r="VO13" s="130"/>
      <c r="VP13" s="130"/>
      <c r="VQ13" s="130"/>
      <c r="VR13" s="130"/>
      <c r="VS13" s="130"/>
      <c r="VT13" s="130"/>
      <c r="VU13" s="130"/>
      <c r="VV13" s="130"/>
      <c r="VW13" s="130"/>
      <c r="VX13" s="130"/>
      <c r="VY13" s="130"/>
      <c r="VZ13" s="130"/>
      <c r="WA13" s="130"/>
      <c r="WB13" s="130"/>
      <c r="WC13" s="130"/>
      <c r="WD13" s="130"/>
      <c r="WE13" s="130"/>
      <c r="WF13" s="130"/>
      <c r="WG13" s="130"/>
      <c r="WH13" s="130"/>
      <c r="WI13" s="130"/>
      <c r="WJ13" s="130"/>
      <c r="WK13" s="130"/>
      <c r="WL13" s="130"/>
      <c r="WM13" s="130"/>
      <c r="WN13" s="130"/>
      <c r="WO13" s="130"/>
      <c r="WP13" s="130"/>
      <c r="WQ13" s="130"/>
      <c r="WR13" s="130"/>
      <c r="WS13" s="130"/>
      <c r="WT13" s="130"/>
      <c r="WU13" s="130"/>
      <c r="WV13" s="130"/>
      <c r="WW13" s="130"/>
      <c r="WX13" s="130"/>
      <c r="WY13" s="130"/>
      <c r="WZ13" s="130"/>
      <c r="XA13" s="130"/>
      <c r="XB13" s="130"/>
      <c r="XC13" s="130"/>
      <c r="XD13" s="130"/>
      <c r="XE13" s="130"/>
      <c r="XF13" s="130"/>
      <c r="XG13" s="130"/>
      <c r="XH13" s="130"/>
      <c r="XI13" s="130"/>
      <c r="XJ13" s="130"/>
      <c r="XK13" s="130"/>
      <c r="XL13" s="130"/>
      <c r="XM13" s="130"/>
      <c r="XN13" s="130"/>
      <c r="XO13" s="130"/>
      <c r="XP13" s="130"/>
      <c r="XQ13" s="130"/>
      <c r="XR13" s="130"/>
      <c r="XS13" s="130"/>
      <c r="XT13" s="130"/>
      <c r="XU13" s="130"/>
      <c r="XV13" s="130"/>
      <c r="XW13" s="130"/>
      <c r="XX13" s="130"/>
      <c r="XY13" s="130"/>
      <c r="XZ13" s="130"/>
      <c r="YA13" s="130"/>
      <c r="YB13" s="130"/>
      <c r="YC13" s="130"/>
      <c r="YD13" s="130"/>
      <c r="YE13" s="130"/>
      <c r="YF13" s="130"/>
      <c r="YG13" s="130"/>
      <c r="YH13" s="130"/>
      <c r="YI13" s="130"/>
      <c r="YJ13" s="130"/>
      <c r="YK13" s="130"/>
      <c r="YL13" s="130"/>
      <c r="YM13" s="130"/>
      <c r="YN13" s="130"/>
      <c r="YO13" s="130"/>
      <c r="YP13" s="130"/>
      <c r="YQ13" s="130"/>
      <c r="YR13" s="130"/>
      <c r="YS13" s="130"/>
      <c r="YT13" s="130"/>
      <c r="YU13" s="130"/>
      <c r="YV13" s="130"/>
      <c r="YW13" s="130"/>
      <c r="YX13" s="130"/>
      <c r="YY13" s="130"/>
      <c r="YZ13" s="130"/>
      <c r="ZA13" s="130"/>
      <c r="ZB13" s="130"/>
      <c r="ZC13" s="130"/>
      <c r="ZD13" s="130"/>
      <c r="ZE13" s="130"/>
      <c r="ZF13" s="130"/>
      <c r="ZG13" s="130"/>
      <c r="ZH13" s="130"/>
      <c r="ZI13" s="130"/>
      <c r="ZJ13" s="130"/>
      <c r="ZK13" s="130"/>
      <c r="ZL13" s="130"/>
      <c r="ZM13" s="130"/>
      <c r="ZN13" s="130"/>
      <c r="ZO13" s="130"/>
      <c r="ZP13" s="130"/>
      <c r="ZQ13" s="130"/>
      <c r="ZR13" s="130"/>
      <c r="ZS13" s="130"/>
      <c r="ZT13" s="130"/>
      <c r="ZU13" s="130"/>
      <c r="ZV13" s="130"/>
      <c r="ZW13" s="130"/>
      <c r="ZX13" s="130"/>
      <c r="ZY13" s="130"/>
      <c r="ZZ13" s="130"/>
      <c r="AAA13" s="130"/>
      <c r="AAB13" s="130"/>
      <c r="AAC13" s="130"/>
      <c r="AAD13" s="130"/>
      <c r="AAE13" s="130"/>
      <c r="AAF13" s="130"/>
      <c r="AAG13" s="130"/>
      <c r="AAH13" s="130"/>
      <c r="AAI13" s="130"/>
      <c r="AAJ13" s="130"/>
      <c r="AAK13" s="130"/>
      <c r="AAL13" s="130"/>
      <c r="AAM13" s="130"/>
      <c r="AAN13" s="130"/>
      <c r="AAO13" s="130"/>
      <c r="AAP13" s="130"/>
      <c r="AAQ13" s="130"/>
      <c r="AAR13" s="130"/>
      <c r="AAS13" s="130"/>
      <c r="AAT13" s="130"/>
      <c r="AAU13" s="130"/>
      <c r="AAV13" s="130"/>
      <c r="AAW13" s="130"/>
      <c r="AAX13" s="130"/>
      <c r="AAY13" s="130"/>
      <c r="AAZ13" s="130"/>
      <c r="ABA13" s="130"/>
      <c r="ABB13" s="130"/>
      <c r="ABC13" s="130"/>
      <c r="ABD13" s="130"/>
      <c r="ABE13" s="130"/>
      <c r="ABF13" s="130"/>
      <c r="ABG13" s="130"/>
      <c r="ABH13" s="130"/>
      <c r="ABI13" s="130"/>
      <c r="ABJ13" s="130"/>
      <c r="ABK13" s="130"/>
      <c r="ABL13" s="130"/>
      <c r="ABM13" s="130"/>
      <c r="ABN13" s="130"/>
      <c r="ABO13" s="130"/>
      <c r="ABP13" s="130"/>
      <c r="ABQ13" s="130"/>
      <c r="ABR13" s="130"/>
      <c r="ABS13" s="130"/>
      <c r="ABT13" s="130"/>
      <c r="ABU13" s="130"/>
      <c r="ABV13" s="130"/>
      <c r="ABW13" s="130"/>
      <c r="ABX13" s="130"/>
      <c r="ABY13" s="130"/>
      <c r="ABZ13" s="130"/>
      <c r="ACA13" s="130"/>
      <c r="ACB13" s="130"/>
      <c r="ACC13" s="130"/>
      <c r="ACD13" s="130"/>
      <c r="ACE13" s="130"/>
      <c r="ACF13" s="130"/>
      <c r="ACG13" s="130"/>
      <c r="ACH13" s="130"/>
      <c r="ACI13" s="130"/>
      <c r="ACJ13" s="130"/>
      <c r="ACK13" s="130"/>
      <c r="ACL13" s="130"/>
      <c r="ACM13" s="130"/>
      <c r="ACN13" s="130"/>
      <c r="ACO13" s="130"/>
      <c r="ACP13" s="130"/>
      <c r="ACQ13" s="130"/>
      <c r="ACR13" s="130"/>
      <c r="ACS13" s="130"/>
      <c r="ACT13" s="130"/>
      <c r="ACU13" s="130"/>
      <c r="ACV13" s="130"/>
      <c r="ACW13" s="130"/>
      <c r="ACX13" s="130"/>
      <c r="ACY13" s="130"/>
      <c r="ACZ13" s="130"/>
      <c r="ADA13" s="130"/>
      <c r="ADB13" s="130"/>
      <c r="ADC13" s="130"/>
      <c r="ADD13" s="130"/>
      <c r="ADE13" s="130"/>
      <c r="ADF13" s="130"/>
      <c r="ADG13" s="130"/>
      <c r="ADH13" s="130"/>
      <c r="ADI13" s="130"/>
      <c r="ADJ13" s="130"/>
      <c r="ADK13" s="130"/>
      <c r="ADL13" s="130"/>
      <c r="ADM13" s="130"/>
      <c r="ADN13" s="130"/>
      <c r="ADO13" s="130"/>
      <c r="ADP13" s="130"/>
      <c r="ADQ13" s="130"/>
      <c r="ADR13" s="130"/>
      <c r="ADS13" s="130"/>
      <c r="ADT13" s="130"/>
      <c r="ADU13" s="130"/>
      <c r="ADV13" s="130"/>
      <c r="ADW13" s="130"/>
      <c r="ADX13" s="130"/>
      <c r="ADY13" s="130"/>
      <c r="ADZ13" s="130"/>
      <c r="AEA13" s="130"/>
      <c r="AEB13" s="130"/>
      <c r="AEC13" s="130"/>
      <c r="AED13" s="130"/>
      <c r="AEE13" s="130"/>
      <c r="AEF13" s="130"/>
      <c r="AEG13" s="130"/>
      <c r="AEH13" s="130"/>
      <c r="AEI13" s="130"/>
      <c r="AEJ13" s="130"/>
      <c r="AEK13" s="130"/>
      <c r="AEL13" s="130"/>
      <c r="AEM13" s="130"/>
      <c r="AEN13" s="130"/>
      <c r="AEO13" s="130"/>
      <c r="AEP13" s="130"/>
      <c r="AEQ13" s="130"/>
      <c r="AER13" s="130"/>
      <c r="AES13" s="130"/>
      <c r="AET13" s="130"/>
      <c r="AEU13" s="130"/>
      <c r="AEV13" s="130"/>
      <c r="AEW13" s="130"/>
    </row>
    <row r="14" spans="1:830" ht="22.5" customHeight="1" x14ac:dyDescent="0.25">
      <c r="A14" s="36"/>
      <c r="B14" s="128" t="s">
        <v>186</v>
      </c>
      <c r="C14" s="160">
        <f>REKAP!$J$6</f>
        <v>0</v>
      </c>
      <c r="D14" s="124">
        <f>REKAP!$J$4</f>
        <v>0</v>
      </c>
      <c r="E14" s="159">
        <f>REKAP!$J$5</f>
        <v>0</v>
      </c>
      <c r="F14" s="36"/>
      <c r="G14" s="138" t="s">
        <v>218</v>
      </c>
      <c r="H14" s="4" t="s">
        <v>220</v>
      </c>
      <c r="I14" s="143"/>
      <c r="J14" s="141">
        <f t="shared" si="0"/>
        <v>0</v>
      </c>
      <c r="K14" s="7"/>
      <c r="L14" s="7"/>
      <c r="M14" s="7"/>
      <c r="N14" s="130"/>
      <c r="O14" s="7"/>
      <c r="P14" s="7"/>
      <c r="Q14" s="7"/>
      <c r="R14" s="7"/>
      <c r="S14" s="7"/>
      <c r="T14" s="130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130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130"/>
      <c r="BL14" s="7"/>
      <c r="BM14" s="7"/>
      <c r="BN14" s="7"/>
      <c r="BO14" s="7"/>
      <c r="BP14" s="7"/>
      <c r="BQ14" s="7"/>
      <c r="BR14" s="7"/>
      <c r="BS14" s="7"/>
      <c r="BT14" s="129"/>
      <c r="BU14" s="7"/>
      <c r="BV14" s="7"/>
      <c r="BW14" s="7"/>
      <c r="BX14" s="7"/>
      <c r="BY14" s="7"/>
      <c r="BZ14" s="140"/>
      <c r="CA14" s="140"/>
      <c r="CB14" s="140"/>
      <c r="CC14" s="140"/>
      <c r="CD14" s="130"/>
      <c r="CE14" s="140"/>
      <c r="CF14" s="140"/>
      <c r="CG14" s="140"/>
      <c r="CH14" s="140"/>
      <c r="CI14" s="140"/>
      <c r="CJ14" s="129"/>
      <c r="CK14" s="140"/>
      <c r="CL14" s="140"/>
      <c r="CM14" s="140"/>
      <c r="CN14" s="140"/>
      <c r="CO14" s="140"/>
      <c r="CP14" s="140"/>
      <c r="CQ14" s="140"/>
      <c r="CR14" s="140"/>
      <c r="CS14" s="140"/>
      <c r="CT14" s="140"/>
      <c r="CU14" s="140"/>
      <c r="CV14" s="140"/>
      <c r="CW14" s="140"/>
      <c r="CX14" s="140"/>
      <c r="CY14" s="140"/>
      <c r="CZ14" s="140"/>
      <c r="DA14" s="140"/>
      <c r="DB14" s="140"/>
      <c r="DC14" s="140"/>
      <c r="DD14" s="140"/>
      <c r="DE14" s="140"/>
      <c r="DF14" s="140"/>
      <c r="DG14" s="140"/>
      <c r="DH14" s="140"/>
      <c r="DI14" s="140"/>
      <c r="DJ14" s="140"/>
      <c r="DK14" s="140"/>
      <c r="DL14" s="140"/>
      <c r="DM14" s="140"/>
      <c r="DN14" s="140"/>
      <c r="DO14" s="140"/>
      <c r="DP14" s="140"/>
      <c r="DQ14" s="140"/>
      <c r="DR14" s="140"/>
      <c r="DS14" s="140"/>
      <c r="DT14" s="140"/>
      <c r="DU14" s="140"/>
      <c r="DV14" s="140"/>
      <c r="DW14" s="140"/>
      <c r="DX14" s="140"/>
      <c r="DY14" s="140"/>
      <c r="DZ14" s="140"/>
      <c r="EA14" s="140"/>
      <c r="EB14" s="140"/>
      <c r="EC14" s="140"/>
      <c r="ED14" s="140"/>
      <c r="EE14" s="140"/>
      <c r="EF14" s="140"/>
      <c r="EG14" s="140"/>
      <c r="EH14" s="140"/>
      <c r="EI14" s="140"/>
      <c r="EJ14" s="140"/>
      <c r="EK14" s="140"/>
      <c r="EL14" s="140"/>
      <c r="EM14" s="140"/>
      <c r="EN14" s="140"/>
      <c r="EO14" s="140"/>
      <c r="EP14" s="140"/>
      <c r="EQ14" s="140"/>
      <c r="ER14" s="140"/>
      <c r="ES14" s="140"/>
      <c r="ET14" s="140"/>
      <c r="EU14" s="140"/>
      <c r="EV14" s="4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130"/>
      <c r="GI14" s="130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140">
        <f>SMK!$G$6</f>
        <v>0</v>
      </c>
      <c r="GX14" s="140">
        <f>SMK!$G$7</f>
        <v>0</v>
      </c>
      <c r="GY14" s="140">
        <f>SMK!$G$8</f>
        <v>0</v>
      </c>
      <c r="GZ14" s="140">
        <f>SMK!$G$9</f>
        <v>0</v>
      </c>
      <c r="HA14" s="140">
        <f>SMK!$G$10</f>
        <v>0</v>
      </c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4"/>
      <c r="HU14" s="4"/>
      <c r="HV14" s="4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36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36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36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36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4"/>
      <c r="ZW14" s="7"/>
      <c r="ZX14" s="7"/>
      <c r="ZY14" s="7"/>
      <c r="ZZ14" s="7"/>
      <c r="AAA14" s="7"/>
      <c r="AAB14" s="7"/>
      <c r="AAC14" s="7"/>
      <c r="AAD14" s="7"/>
      <c r="AAE14" s="7"/>
      <c r="AAF14" s="36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4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144" t="s">
        <v>221</v>
      </c>
    </row>
    <row r="15" spans="1:830" ht="22.5" customHeight="1" x14ac:dyDescent="0.25">
      <c r="A15" s="36"/>
      <c r="B15" s="128" t="s">
        <v>412</v>
      </c>
      <c r="C15" s="160">
        <f>REKAP!$J$6</f>
        <v>0</v>
      </c>
      <c r="D15" s="124">
        <f>REKAP!$J$4</f>
        <v>0</v>
      </c>
      <c r="E15" s="159">
        <f>REKAP!$J$5</f>
        <v>0</v>
      </c>
      <c r="F15" s="36"/>
      <c r="G15" s="138" t="s">
        <v>219</v>
      </c>
      <c r="H15" s="4" t="s">
        <v>193</v>
      </c>
      <c r="I15" s="143"/>
      <c r="J15" s="141">
        <f t="shared" si="0"/>
        <v>0</v>
      </c>
      <c r="K15" s="7"/>
      <c r="L15" s="7"/>
      <c r="M15" s="7"/>
      <c r="N15" s="130">
        <f>ROUND(N57,0)</f>
        <v>0</v>
      </c>
      <c r="O15" s="130">
        <f t="shared" ref="O15:BZ15" si="40">ROUND(O57,0)</f>
        <v>0</v>
      </c>
      <c r="P15" s="130">
        <f t="shared" si="40"/>
        <v>0</v>
      </c>
      <c r="Q15" s="130">
        <f t="shared" si="40"/>
        <v>0</v>
      </c>
      <c r="R15" s="130">
        <f t="shared" si="40"/>
        <v>0</v>
      </c>
      <c r="S15" s="130">
        <f t="shared" si="40"/>
        <v>0</v>
      </c>
      <c r="T15" s="130">
        <f t="shared" si="40"/>
        <v>0</v>
      </c>
      <c r="U15" s="130">
        <f t="shared" si="40"/>
        <v>0</v>
      </c>
      <c r="V15" s="130">
        <f t="shared" si="40"/>
        <v>0</v>
      </c>
      <c r="W15" s="130">
        <f t="shared" si="40"/>
        <v>0</v>
      </c>
      <c r="X15" s="130">
        <f t="shared" si="40"/>
        <v>0</v>
      </c>
      <c r="Y15" s="130">
        <f t="shared" si="40"/>
        <v>0</v>
      </c>
      <c r="Z15" s="130">
        <f t="shared" si="40"/>
        <v>0</v>
      </c>
      <c r="AA15" s="130">
        <f t="shared" si="40"/>
        <v>0</v>
      </c>
      <c r="AB15" s="130">
        <f t="shared" si="40"/>
        <v>0</v>
      </c>
      <c r="AC15" s="130">
        <f t="shared" si="40"/>
        <v>0</v>
      </c>
      <c r="AD15" s="130">
        <f t="shared" si="40"/>
        <v>0</v>
      </c>
      <c r="AE15" s="130">
        <f t="shared" si="40"/>
        <v>0</v>
      </c>
      <c r="AF15" s="130">
        <f t="shared" si="40"/>
        <v>0</v>
      </c>
      <c r="AG15" s="130">
        <f t="shared" si="40"/>
        <v>0</v>
      </c>
      <c r="AH15" s="130">
        <f t="shared" si="40"/>
        <v>0</v>
      </c>
      <c r="AI15" s="130">
        <f t="shared" si="40"/>
        <v>0</v>
      </c>
      <c r="AJ15" s="130">
        <f t="shared" si="40"/>
        <v>0</v>
      </c>
      <c r="AK15" s="130">
        <f t="shared" si="40"/>
        <v>0</v>
      </c>
      <c r="AL15" s="130">
        <f t="shared" si="40"/>
        <v>0</v>
      </c>
      <c r="AM15" s="130">
        <f t="shared" si="40"/>
        <v>0</v>
      </c>
      <c r="AN15" s="130">
        <f t="shared" si="40"/>
        <v>0</v>
      </c>
      <c r="AO15" s="130">
        <f t="shared" si="40"/>
        <v>0</v>
      </c>
      <c r="AP15" s="130">
        <f t="shared" si="40"/>
        <v>0</v>
      </c>
      <c r="AQ15" s="130">
        <f t="shared" si="40"/>
        <v>0</v>
      </c>
      <c r="AR15" s="130">
        <f t="shared" si="40"/>
        <v>0</v>
      </c>
      <c r="AS15" s="130">
        <f t="shared" si="40"/>
        <v>0</v>
      </c>
      <c r="AT15" s="130">
        <f t="shared" si="40"/>
        <v>0</v>
      </c>
      <c r="AU15" s="130">
        <f t="shared" si="40"/>
        <v>0</v>
      </c>
      <c r="AV15" s="130">
        <f t="shared" si="40"/>
        <v>0</v>
      </c>
      <c r="AW15" s="130">
        <f t="shared" si="40"/>
        <v>0</v>
      </c>
      <c r="AX15" s="130">
        <f t="shared" si="40"/>
        <v>0</v>
      </c>
      <c r="AY15" s="130">
        <f t="shared" si="40"/>
        <v>0</v>
      </c>
      <c r="AZ15" s="130">
        <f t="shared" si="40"/>
        <v>0</v>
      </c>
      <c r="BA15" s="130">
        <f t="shared" si="40"/>
        <v>0</v>
      </c>
      <c r="BB15" s="130">
        <f t="shared" si="40"/>
        <v>0</v>
      </c>
      <c r="BC15" s="130">
        <f t="shared" si="40"/>
        <v>0</v>
      </c>
      <c r="BD15" s="130">
        <f t="shared" si="40"/>
        <v>0</v>
      </c>
      <c r="BE15" s="130">
        <f t="shared" si="40"/>
        <v>0</v>
      </c>
      <c r="BF15" s="130">
        <f t="shared" si="40"/>
        <v>0</v>
      </c>
      <c r="BG15" s="130">
        <f t="shared" si="40"/>
        <v>0</v>
      </c>
      <c r="BH15" s="130">
        <f t="shared" si="40"/>
        <v>0</v>
      </c>
      <c r="BI15" s="130">
        <f t="shared" si="40"/>
        <v>0</v>
      </c>
      <c r="BJ15" s="130">
        <f t="shared" si="40"/>
        <v>0</v>
      </c>
      <c r="BK15" s="130">
        <f t="shared" si="40"/>
        <v>0</v>
      </c>
      <c r="BL15" s="130">
        <f t="shared" si="40"/>
        <v>0</v>
      </c>
      <c r="BM15" s="130">
        <f t="shared" si="40"/>
        <v>0</v>
      </c>
      <c r="BN15" s="130">
        <f t="shared" si="40"/>
        <v>0</v>
      </c>
      <c r="BO15" s="130">
        <f t="shared" si="40"/>
        <v>0</v>
      </c>
      <c r="BP15" s="130">
        <f t="shared" si="40"/>
        <v>0</v>
      </c>
      <c r="BQ15" s="130">
        <f t="shared" si="40"/>
        <v>0</v>
      </c>
      <c r="BR15" s="130">
        <f t="shared" si="40"/>
        <v>0</v>
      </c>
      <c r="BS15" s="130">
        <f t="shared" si="40"/>
        <v>0</v>
      </c>
      <c r="BT15" s="130">
        <f t="shared" si="40"/>
        <v>0</v>
      </c>
      <c r="BU15" s="130">
        <f t="shared" si="40"/>
        <v>0</v>
      </c>
      <c r="BV15" s="130">
        <f t="shared" si="40"/>
        <v>0</v>
      </c>
      <c r="BW15" s="130">
        <f t="shared" si="40"/>
        <v>0</v>
      </c>
      <c r="BX15" s="130">
        <f t="shared" si="40"/>
        <v>0</v>
      </c>
      <c r="BY15" s="130">
        <f t="shared" si="40"/>
        <v>0</v>
      </c>
      <c r="BZ15" s="130">
        <f t="shared" si="40"/>
        <v>0</v>
      </c>
      <c r="CA15" s="130">
        <f t="shared" ref="CA15:EL15" si="41">ROUND(CA57,0)</f>
        <v>0</v>
      </c>
      <c r="CB15" s="130">
        <f t="shared" si="41"/>
        <v>0</v>
      </c>
      <c r="CC15" s="130">
        <f t="shared" si="41"/>
        <v>0</v>
      </c>
      <c r="CD15" s="130">
        <f t="shared" si="41"/>
        <v>0</v>
      </c>
      <c r="CE15" s="130">
        <f t="shared" si="41"/>
        <v>0</v>
      </c>
      <c r="CF15" s="130">
        <f t="shared" si="41"/>
        <v>0</v>
      </c>
      <c r="CG15" s="130">
        <f t="shared" si="41"/>
        <v>0</v>
      </c>
      <c r="CH15" s="130">
        <f t="shared" si="41"/>
        <v>0</v>
      </c>
      <c r="CI15" s="130">
        <f t="shared" si="41"/>
        <v>0</v>
      </c>
      <c r="CJ15" s="130">
        <f t="shared" si="41"/>
        <v>0</v>
      </c>
      <c r="CK15" s="130">
        <f t="shared" si="41"/>
        <v>0</v>
      </c>
      <c r="CL15" s="130">
        <f t="shared" si="41"/>
        <v>0</v>
      </c>
      <c r="CM15" s="130">
        <f t="shared" si="41"/>
        <v>0</v>
      </c>
      <c r="CN15" s="130">
        <f t="shared" si="41"/>
        <v>0</v>
      </c>
      <c r="CO15" s="130">
        <f t="shared" si="41"/>
        <v>0</v>
      </c>
      <c r="CP15" s="130">
        <f t="shared" si="41"/>
        <v>0</v>
      </c>
      <c r="CQ15" s="130">
        <f t="shared" si="41"/>
        <v>0</v>
      </c>
      <c r="CR15" s="130">
        <f t="shared" si="41"/>
        <v>0</v>
      </c>
      <c r="CS15" s="130">
        <f t="shared" si="41"/>
        <v>0</v>
      </c>
      <c r="CT15" s="130">
        <f t="shared" si="41"/>
        <v>0</v>
      </c>
      <c r="CU15" s="130">
        <f t="shared" si="41"/>
        <v>0</v>
      </c>
      <c r="CV15" s="130">
        <f t="shared" si="41"/>
        <v>0</v>
      </c>
      <c r="CW15" s="130">
        <f t="shared" si="41"/>
        <v>0</v>
      </c>
      <c r="CX15" s="130">
        <f t="shared" si="41"/>
        <v>0</v>
      </c>
      <c r="CY15" s="130">
        <f t="shared" si="41"/>
        <v>0</v>
      </c>
      <c r="CZ15" s="130">
        <f t="shared" si="41"/>
        <v>0</v>
      </c>
      <c r="DA15" s="130">
        <f t="shared" si="41"/>
        <v>0</v>
      </c>
      <c r="DB15" s="130">
        <f t="shared" si="41"/>
        <v>0</v>
      </c>
      <c r="DC15" s="130">
        <f t="shared" si="41"/>
        <v>0</v>
      </c>
      <c r="DD15" s="130">
        <f t="shared" si="41"/>
        <v>0</v>
      </c>
      <c r="DE15" s="130">
        <f t="shared" si="41"/>
        <v>0</v>
      </c>
      <c r="DF15" s="130">
        <f t="shared" si="41"/>
        <v>0</v>
      </c>
      <c r="DG15" s="130">
        <f t="shared" si="41"/>
        <v>0</v>
      </c>
      <c r="DH15" s="130">
        <f t="shared" si="41"/>
        <v>0</v>
      </c>
      <c r="DI15" s="130">
        <f t="shared" si="41"/>
        <v>0</v>
      </c>
      <c r="DJ15" s="130">
        <f t="shared" si="41"/>
        <v>0</v>
      </c>
      <c r="DK15" s="130">
        <f t="shared" si="41"/>
        <v>0</v>
      </c>
      <c r="DL15" s="130">
        <f t="shared" si="41"/>
        <v>0</v>
      </c>
      <c r="DM15" s="130">
        <f t="shared" si="41"/>
        <v>0</v>
      </c>
      <c r="DN15" s="130">
        <f t="shared" si="41"/>
        <v>0</v>
      </c>
      <c r="DO15" s="130">
        <f t="shared" si="41"/>
        <v>0</v>
      </c>
      <c r="DP15" s="130">
        <f t="shared" si="41"/>
        <v>0</v>
      </c>
      <c r="DQ15" s="130">
        <f t="shared" si="41"/>
        <v>0</v>
      </c>
      <c r="DR15" s="130">
        <f t="shared" si="41"/>
        <v>0</v>
      </c>
      <c r="DS15" s="130">
        <f t="shared" si="41"/>
        <v>0</v>
      </c>
      <c r="DT15" s="130">
        <f t="shared" si="41"/>
        <v>0</v>
      </c>
      <c r="DU15" s="130">
        <f t="shared" si="41"/>
        <v>0</v>
      </c>
      <c r="DV15" s="130">
        <f t="shared" si="41"/>
        <v>0</v>
      </c>
      <c r="DW15" s="130">
        <f t="shared" si="41"/>
        <v>0</v>
      </c>
      <c r="DX15" s="130">
        <f t="shared" si="41"/>
        <v>0</v>
      </c>
      <c r="DY15" s="130">
        <f t="shared" si="41"/>
        <v>0</v>
      </c>
      <c r="DZ15" s="130">
        <f t="shared" si="41"/>
        <v>0</v>
      </c>
      <c r="EA15" s="130">
        <f t="shared" si="41"/>
        <v>0</v>
      </c>
      <c r="EB15" s="130">
        <f t="shared" si="41"/>
        <v>0</v>
      </c>
      <c r="EC15" s="130">
        <f t="shared" si="41"/>
        <v>0</v>
      </c>
      <c r="ED15" s="130">
        <f t="shared" si="41"/>
        <v>0</v>
      </c>
      <c r="EE15" s="130">
        <f t="shared" si="41"/>
        <v>0</v>
      </c>
      <c r="EF15" s="130">
        <f t="shared" si="41"/>
        <v>0</v>
      </c>
      <c r="EG15" s="130">
        <f t="shared" si="41"/>
        <v>0</v>
      </c>
      <c r="EH15" s="130">
        <f t="shared" si="41"/>
        <v>0</v>
      </c>
      <c r="EI15" s="130">
        <f t="shared" si="41"/>
        <v>0</v>
      </c>
      <c r="EJ15" s="130">
        <f t="shared" si="41"/>
        <v>0</v>
      </c>
      <c r="EK15" s="130">
        <f t="shared" si="41"/>
        <v>0</v>
      </c>
      <c r="EL15" s="130">
        <f t="shared" si="41"/>
        <v>0</v>
      </c>
      <c r="EM15" s="130">
        <f t="shared" ref="EM15:GX15" si="42">ROUND(EM57,0)</f>
        <v>0</v>
      </c>
      <c r="EN15" s="130">
        <f t="shared" si="42"/>
        <v>0</v>
      </c>
      <c r="EO15" s="130">
        <f t="shared" si="42"/>
        <v>0</v>
      </c>
      <c r="EP15" s="130">
        <f t="shared" si="42"/>
        <v>0</v>
      </c>
      <c r="EQ15" s="130">
        <f t="shared" si="42"/>
        <v>0</v>
      </c>
      <c r="ER15" s="130">
        <f t="shared" si="42"/>
        <v>0</v>
      </c>
      <c r="ES15" s="130">
        <f t="shared" si="42"/>
        <v>0</v>
      </c>
      <c r="ET15" s="130">
        <f t="shared" si="42"/>
        <v>0</v>
      </c>
      <c r="EU15" s="130">
        <f t="shared" si="42"/>
        <v>0</v>
      </c>
      <c r="EV15" s="130">
        <f t="shared" si="42"/>
        <v>0</v>
      </c>
      <c r="EW15" s="130">
        <f t="shared" si="42"/>
        <v>0</v>
      </c>
      <c r="EX15" s="130">
        <f t="shared" si="42"/>
        <v>0</v>
      </c>
      <c r="EY15" s="130">
        <f t="shared" si="42"/>
        <v>0</v>
      </c>
      <c r="EZ15" s="130">
        <f t="shared" si="42"/>
        <v>0</v>
      </c>
      <c r="FA15" s="130">
        <f t="shared" si="42"/>
        <v>0</v>
      </c>
      <c r="FB15" s="130">
        <f t="shared" si="42"/>
        <v>0</v>
      </c>
      <c r="FC15" s="130">
        <f t="shared" si="42"/>
        <v>0</v>
      </c>
      <c r="FD15" s="130">
        <f t="shared" si="42"/>
        <v>0</v>
      </c>
      <c r="FE15" s="130">
        <f t="shared" si="42"/>
        <v>0</v>
      </c>
      <c r="FF15" s="130">
        <f t="shared" si="42"/>
        <v>0</v>
      </c>
      <c r="FG15" s="130">
        <f t="shared" si="42"/>
        <v>0</v>
      </c>
      <c r="FH15" s="130">
        <f t="shared" si="42"/>
        <v>0</v>
      </c>
      <c r="FI15" s="130">
        <f t="shared" si="42"/>
        <v>0</v>
      </c>
      <c r="FJ15" s="130">
        <f t="shared" si="42"/>
        <v>0</v>
      </c>
      <c r="FK15" s="130">
        <f t="shared" si="42"/>
        <v>0</v>
      </c>
      <c r="FL15" s="130">
        <f t="shared" si="42"/>
        <v>0</v>
      </c>
      <c r="FM15" s="130">
        <f t="shared" si="42"/>
        <v>0</v>
      </c>
      <c r="FN15" s="130">
        <f t="shared" si="42"/>
        <v>0</v>
      </c>
      <c r="FO15" s="130">
        <f t="shared" si="42"/>
        <v>0</v>
      </c>
      <c r="FP15" s="130">
        <f t="shared" si="42"/>
        <v>0</v>
      </c>
      <c r="FQ15" s="130">
        <f t="shared" si="42"/>
        <v>0</v>
      </c>
      <c r="FR15" s="130">
        <f t="shared" si="42"/>
        <v>0</v>
      </c>
      <c r="FS15" s="130">
        <f t="shared" si="42"/>
        <v>0</v>
      </c>
      <c r="FT15" s="130">
        <f t="shared" si="42"/>
        <v>0</v>
      </c>
      <c r="FU15" s="130">
        <f t="shared" si="42"/>
        <v>0</v>
      </c>
      <c r="FV15" s="130">
        <f t="shared" si="42"/>
        <v>0</v>
      </c>
      <c r="FW15" s="130">
        <f t="shared" si="42"/>
        <v>0</v>
      </c>
      <c r="FX15" s="130">
        <f t="shared" si="42"/>
        <v>0</v>
      </c>
      <c r="FY15" s="130">
        <f t="shared" si="42"/>
        <v>0</v>
      </c>
      <c r="FZ15" s="130">
        <f t="shared" si="42"/>
        <v>0</v>
      </c>
      <c r="GA15" s="130">
        <f t="shared" si="42"/>
        <v>0</v>
      </c>
      <c r="GB15" s="130">
        <f t="shared" si="42"/>
        <v>0</v>
      </c>
      <c r="GC15" s="130">
        <f t="shared" si="42"/>
        <v>0</v>
      </c>
      <c r="GD15" s="130">
        <f t="shared" si="42"/>
        <v>0</v>
      </c>
      <c r="GE15" s="130">
        <f t="shared" si="42"/>
        <v>0</v>
      </c>
      <c r="GF15" s="130">
        <f t="shared" si="42"/>
        <v>0</v>
      </c>
      <c r="GG15" s="130">
        <f t="shared" si="42"/>
        <v>0</v>
      </c>
      <c r="GH15" s="130">
        <f t="shared" si="42"/>
        <v>0</v>
      </c>
      <c r="GI15" s="130">
        <f t="shared" si="42"/>
        <v>0</v>
      </c>
      <c r="GJ15" s="130">
        <f t="shared" si="42"/>
        <v>0</v>
      </c>
      <c r="GK15" s="130">
        <f t="shared" si="42"/>
        <v>0</v>
      </c>
      <c r="GL15" s="130">
        <f t="shared" si="42"/>
        <v>0</v>
      </c>
      <c r="GM15" s="130">
        <f t="shared" si="42"/>
        <v>0</v>
      </c>
      <c r="GN15" s="130">
        <f t="shared" si="42"/>
        <v>0</v>
      </c>
      <c r="GO15" s="130">
        <f t="shared" si="42"/>
        <v>0</v>
      </c>
      <c r="GP15" s="130">
        <f t="shared" si="42"/>
        <v>0</v>
      </c>
      <c r="GQ15" s="130">
        <f t="shared" si="42"/>
        <v>0</v>
      </c>
      <c r="GR15" s="130">
        <f t="shared" si="42"/>
        <v>0</v>
      </c>
      <c r="GS15" s="130">
        <f t="shared" si="42"/>
        <v>0</v>
      </c>
      <c r="GT15" s="130">
        <f t="shared" si="42"/>
        <v>0</v>
      </c>
      <c r="GU15" s="130">
        <f t="shared" si="42"/>
        <v>0</v>
      </c>
      <c r="GV15" s="130">
        <f t="shared" si="42"/>
        <v>0</v>
      </c>
      <c r="GW15" s="130">
        <f t="shared" si="42"/>
        <v>0</v>
      </c>
      <c r="GX15" s="130">
        <f t="shared" si="42"/>
        <v>0</v>
      </c>
      <c r="GY15" s="130">
        <f t="shared" ref="GY15:JJ15" si="43">ROUND(GY57,0)</f>
        <v>0</v>
      </c>
      <c r="GZ15" s="130">
        <f t="shared" si="43"/>
        <v>0</v>
      </c>
      <c r="HA15" s="130">
        <f t="shared" si="43"/>
        <v>0</v>
      </c>
      <c r="HB15" s="130">
        <f t="shared" si="43"/>
        <v>0</v>
      </c>
      <c r="HC15" s="130">
        <f t="shared" si="43"/>
        <v>0</v>
      </c>
      <c r="HD15" s="130">
        <f t="shared" si="43"/>
        <v>0</v>
      </c>
      <c r="HE15" s="130">
        <f t="shared" si="43"/>
        <v>0</v>
      </c>
      <c r="HF15" s="130">
        <f t="shared" si="43"/>
        <v>0</v>
      </c>
      <c r="HG15" s="130">
        <f t="shared" si="43"/>
        <v>0</v>
      </c>
      <c r="HH15" s="130">
        <f t="shared" si="43"/>
        <v>0</v>
      </c>
      <c r="HI15" s="130">
        <f t="shared" si="43"/>
        <v>0</v>
      </c>
      <c r="HJ15" s="130">
        <f t="shared" si="43"/>
        <v>0</v>
      </c>
      <c r="HK15" s="130">
        <f t="shared" si="43"/>
        <v>0</v>
      </c>
      <c r="HL15" s="130">
        <f t="shared" si="43"/>
        <v>0</v>
      </c>
      <c r="HM15" s="130">
        <f t="shared" si="43"/>
        <v>0</v>
      </c>
      <c r="HN15" s="130">
        <f t="shared" si="43"/>
        <v>0</v>
      </c>
      <c r="HO15" s="130">
        <f t="shared" si="43"/>
        <v>0</v>
      </c>
      <c r="HP15" s="130">
        <f t="shared" si="43"/>
        <v>0</v>
      </c>
      <c r="HQ15" s="130">
        <f t="shared" si="43"/>
        <v>0</v>
      </c>
      <c r="HR15" s="130">
        <f t="shared" si="43"/>
        <v>0</v>
      </c>
      <c r="HS15" s="130">
        <f t="shared" si="43"/>
        <v>0</v>
      </c>
      <c r="HT15" s="130">
        <f t="shared" si="43"/>
        <v>0</v>
      </c>
      <c r="HU15" s="130">
        <f t="shared" si="43"/>
        <v>0</v>
      </c>
      <c r="HV15" s="130">
        <f t="shared" si="43"/>
        <v>0</v>
      </c>
      <c r="HW15" s="130">
        <f t="shared" si="43"/>
        <v>0</v>
      </c>
      <c r="HX15" s="130">
        <f t="shared" si="43"/>
        <v>0</v>
      </c>
      <c r="HY15" s="130">
        <f t="shared" si="43"/>
        <v>0</v>
      </c>
      <c r="HZ15" s="130">
        <f t="shared" si="43"/>
        <v>0</v>
      </c>
      <c r="IA15" s="130">
        <f t="shared" si="43"/>
        <v>0</v>
      </c>
      <c r="IB15" s="130">
        <f t="shared" si="43"/>
        <v>0</v>
      </c>
      <c r="IC15" s="130">
        <f t="shared" si="43"/>
        <v>0</v>
      </c>
      <c r="ID15" s="130">
        <f t="shared" si="43"/>
        <v>0</v>
      </c>
      <c r="IE15" s="130">
        <f t="shared" si="43"/>
        <v>0</v>
      </c>
      <c r="IF15" s="130">
        <f t="shared" si="43"/>
        <v>0</v>
      </c>
      <c r="IG15" s="130">
        <f t="shared" si="43"/>
        <v>0</v>
      </c>
      <c r="IH15" s="130">
        <f t="shared" si="43"/>
        <v>0</v>
      </c>
      <c r="II15" s="130">
        <f t="shared" si="43"/>
        <v>0</v>
      </c>
      <c r="IJ15" s="130">
        <f t="shared" si="43"/>
        <v>0</v>
      </c>
      <c r="IK15" s="130">
        <f t="shared" si="43"/>
        <v>0</v>
      </c>
      <c r="IL15" s="130">
        <f t="shared" si="43"/>
        <v>0</v>
      </c>
      <c r="IM15" s="130">
        <f t="shared" si="43"/>
        <v>0</v>
      </c>
      <c r="IN15" s="130">
        <f t="shared" si="43"/>
        <v>0</v>
      </c>
      <c r="IO15" s="130">
        <f t="shared" si="43"/>
        <v>0</v>
      </c>
      <c r="IP15" s="130">
        <f t="shared" si="43"/>
        <v>0</v>
      </c>
      <c r="IQ15" s="130">
        <f t="shared" si="43"/>
        <v>0</v>
      </c>
      <c r="IR15" s="130">
        <f t="shared" si="43"/>
        <v>0</v>
      </c>
      <c r="IS15" s="130">
        <f t="shared" si="43"/>
        <v>0</v>
      </c>
      <c r="IT15" s="130">
        <f t="shared" si="43"/>
        <v>0</v>
      </c>
      <c r="IU15" s="130">
        <f t="shared" si="43"/>
        <v>0</v>
      </c>
      <c r="IV15" s="130">
        <f t="shared" si="43"/>
        <v>0</v>
      </c>
      <c r="IW15" s="130">
        <f t="shared" si="43"/>
        <v>0</v>
      </c>
      <c r="IX15" s="130">
        <f t="shared" si="43"/>
        <v>0</v>
      </c>
      <c r="IY15" s="130">
        <f t="shared" si="43"/>
        <v>0</v>
      </c>
      <c r="IZ15" s="130">
        <f t="shared" si="43"/>
        <v>0</v>
      </c>
      <c r="JA15" s="130">
        <f t="shared" si="43"/>
        <v>0</v>
      </c>
      <c r="JB15" s="130">
        <f t="shared" si="43"/>
        <v>0</v>
      </c>
      <c r="JC15" s="130">
        <f t="shared" si="43"/>
        <v>0</v>
      </c>
      <c r="JD15" s="130">
        <f t="shared" si="43"/>
        <v>0</v>
      </c>
      <c r="JE15" s="130">
        <f t="shared" si="43"/>
        <v>0</v>
      </c>
      <c r="JF15" s="130">
        <f t="shared" si="43"/>
        <v>0</v>
      </c>
      <c r="JG15" s="130">
        <f t="shared" si="43"/>
        <v>0</v>
      </c>
      <c r="JH15" s="130">
        <f t="shared" si="43"/>
        <v>0</v>
      </c>
      <c r="JI15" s="130">
        <f t="shared" si="43"/>
        <v>0</v>
      </c>
      <c r="JJ15" s="130">
        <f t="shared" si="43"/>
        <v>0</v>
      </c>
      <c r="JK15" s="130">
        <f t="shared" ref="JK15:LV15" si="44">ROUND(JK57,0)</f>
        <v>0</v>
      </c>
      <c r="JL15" s="130">
        <f t="shared" si="44"/>
        <v>0</v>
      </c>
      <c r="JM15" s="130">
        <f t="shared" si="44"/>
        <v>0</v>
      </c>
      <c r="JN15" s="130">
        <f t="shared" si="44"/>
        <v>0</v>
      </c>
      <c r="JO15" s="130">
        <f t="shared" si="44"/>
        <v>0</v>
      </c>
      <c r="JP15" s="130">
        <f t="shared" si="44"/>
        <v>0</v>
      </c>
      <c r="JQ15" s="130">
        <f t="shared" si="44"/>
        <v>0</v>
      </c>
      <c r="JR15" s="130">
        <f t="shared" si="44"/>
        <v>0</v>
      </c>
      <c r="JS15" s="130">
        <f t="shared" si="44"/>
        <v>0</v>
      </c>
      <c r="JT15" s="130">
        <f t="shared" si="44"/>
        <v>0</v>
      </c>
      <c r="JU15" s="130">
        <f t="shared" si="44"/>
        <v>0</v>
      </c>
      <c r="JV15" s="130">
        <f t="shared" si="44"/>
        <v>0</v>
      </c>
      <c r="JW15" s="130">
        <f t="shared" si="44"/>
        <v>0</v>
      </c>
      <c r="JX15" s="130">
        <f t="shared" si="44"/>
        <v>0</v>
      </c>
      <c r="JY15" s="130">
        <f t="shared" si="44"/>
        <v>0</v>
      </c>
      <c r="JZ15" s="130">
        <f t="shared" si="44"/>
        <v>0</v>
      </c>
      <c r="KA15" s="130">
        <f t="shared" si="44"/>
        <v>0</v>
      </c>
      <c r="KB15" s="130">
        <f t="shared" si="44"/>
        <v>0</v>
      </c>
      <c r="KC15" s="130">
        <f t="shared" si="44"/>
        <v>0</v>
      </c>
      <c r="KD15" s="130">
        <f t="shared" si="44"/>
        <v>0</v>
      </c>
      <c r="KE15" s="130">
        <f t="shared" si="44"/>
        <v>0</v>
      </c>
      <c r="KF15" s="130">
        <f t="shared" si="44"/>
        <v>0</v>
      </c>
      <c r="KG15" s="130">
        <f t="shared" si="44"/>
        <v>0</v>
      </c>
      <c r="KH15" s="130">
        <f t="shared" si="44"/>
        <v>0</v>
      </c>
      <c r="KI15" s="130">
        <f t="shared" si="44"/>
        <v>0</v>
      </c>
      <c r="KJ15" s="130">
        <f t="shared" si="44"/>
        <v>0</v>
      </c>
      <c r="KK15" s="130">
        <f t="shared" si="44"/>
        <v>0</v>
      </c>
      <c r="KL15" s="130">
        <f t="shared" si="44"/>
        <v>0</v>
      </c>
      <c r="KM15" s="130">
        <f t="shared" si="44"/>
        <v>0</v>
      </c>
      <c r="KN15" s="130">
        <f t="shared" si="44"/>
        <v>0</v>
      </c>
      <c r="KO15" s="130">
        <f t="shared" si="44"/>
        <v>0</v>
      </c>
      <c r="KP15" s="130">
        <f t="shared" si="44"/>
        <v>0</v>
      </c>
      <c r="KQ15" s="130">
        <f t="shared" si="44"/>
        <v>0</v>
      </c>
      <c r="KR15" s="130">
        <f t="shared" si="44"/>
        <v>0</v>
      </c>
      <c r="KS15" s="130">
        <f t="shared" si="44"/>
        <v>0</v>
      </c>
      <c r="KT15" s="130">
        <f t="shared" si="44"/>
        <v>0</v>
      </c>
      <c r="KU15" s="130">
        <f t="shared" si="44"/>
        <v>0</v>
      </c>
      <c r="KV15" s="130">
        <f t="shared" si="44"/>
        <v>0</v>
      </c>
      <c r="KW15" s="130">
        <f t="shared" si="44"/>
        <v>0</v>
      </c>
      <c r="KX15" s="130">
        <f t="shared" si="44"/>
        <v>0</v>
      </c>
      <c r="KY15" s="130">
        <f t="shared" si="44"/>
        <v>0</v>
      </c>
      <c r="KZ15" s="130">
        <f t="shared" si="44"/>
        <v>0</v>
      </c>
      <c r="LA15" s="130">
        <f t="shared" si="44"/>
        <v>0</v>
      </c>
      <c r="LB15" s="130">
        <f t="shared" si="44"/>
        <v>0</v>
      </c>
      <c r="LC15" s="130">
        <f t="shared" si="44"/>
        <v>0</v>
      </c>
      <c r="LD15" s="130">
        <f t="shared" si="44"/>
        <v>0</v>
      </c>
      <c r="LE15" s="130">
        <f t="shared" si="44"/>
        <v>0</v>
      </c>
      <c r="LF15" s="130">
        <f t="shared" si="44"/>
        <v>0</v>
      </c>
      <c r="LG15" s="130">
        <f t="shared" si="44"/>
        <v>0</v>
      </c>
      <c r="LH15" s="130">
        <f t="shared" si="44"/>
        <v>0</v>
      </c>
      <c r="LI15" s="130">
        <f t="shared" si="44"/>
        <v>0</v>
      </c>
      <c r="LJ15" s="130">
        <f t="shared" si="44"/>
        <v>0</v>
      </c>
      <c r="LK15" s="130">
        <f t="shared" si="44"/>
        <v>0</v>
      </c>
      <c r="LL15" s="130">
        <f t="shared" si="44"/>
        <v>0</v>
      </c>
      <c r="LM15" s="130">
        <f t="shared" si="44"/>
        <v>0</v>
      </c>
      <c r="LN15" s="130">
        <f t="shared" si="44"/>
        <v>0</v>
      </c>
      <c r="LO15" s="130">
        <f t="shared" si="44"/>
        <v>0</v>
      </c>
      <c r="LP15" s="130">
        <f t="shared" si="44"/>
        <v>0</v>
      </c>
      <c r="LQ15" s="130">
        <f t="shared" si="44"/>
        <v>0</v>
      </c>
      <c r="LR15" s="130">
        <f t="shared" si="44"/>
        <v>0</v>
      </c>
      <c r="LS15" s="130">
        <f t="shared" si="44"/>
        <v>0</v>
      </c>
      <c r="LT15" s="130">
        <f t="shared" si="44"/>
        <v>0</v>
      </c>
      <c r="LU15" s="130">
        <f t="shared" si="44"/>
        <v>0</v>
      </c>
      <c r="LV15" s="130">
        <f t="shared" si="44"/>
        <v>0</v>
      </c>
      <c r="LW15" s="130">
        <f t="shared" ref="LW15:OH15" si="45">ROUND(LW57,0)</f>
        <v>0</v>
      </c>
      <c r="LX15" s="130">
        <f t="shared" si="45"/>
        <v>0</v>
      </c>
      <c r="LY15" s="130">
        <f t="shared" si="45"/>
        <v>0</v>
      </c>
      <c r="LZ15" s="130">
        <f t="shared" si="45"/>
        <v>0</v>
      </c>
      <c r="MA15" s="130">
        <f t="shared" si="45"/>
        <v>0</v>
      </c>
      <c r="MB15" s="130">
        <f t="shared" si="45"/>
        <v>0</v>
      </c>
      <c r="MC15" s="130">
        <f t="shared" si="45"/>
        <v>0</v>
      </c>
      <c r="MD15" s="130">
        <f t="shared" si="45"/>
        <v>0</v>
      </c>
      <c r="ME15" s="130">
        <f t="shared" si="45"/>
        <v>0</v>
      </c>
      <c r="MF15" s="130">
        <f t="shared" si="45"/>
        <v>0</v>
      </c>
      <c r="MG15" s="130">
        <f t="shared" si="45"/>
        <v>0</v>
      </c>
      <c r="MH15" s="130">
        <f t="shared" si="45"/>
        <v>0</v>
      </c>
      <c r="MI15" s="130">
        <f t="shared" si="45"/>
        <v>0</v>
      </c>
      <c r="MJ15" s="130">
        <f t="shared" si="45"/>
        <v>0</v>
      </c>
      <c r="MK15" s="130">
        <f t="shared" si="45"/>
        <v>0</v>
      </c>
      <c r="ML15" s="130">
        <f t="shared" si="45"/>
        <v>0</v>
      </c>
      <c r="MM15" s="130">
        <f t="shared" si="45"/>
        <v>0</v>
      </c>
      <c r="MN15" s="130">
        <f t="shared" si="45"/>
        <v>0</v>
      </c>
      <c r="MO15" s="130">
        <f t="shared" si="45"/>
        <v>0</v>
      </c>
      <c r="MP15" s="130">
        <f t="shared" si="45"/>
        <v>0</v>
      </c>
      <c r="MQ15" s="130">
        <f t="shared" si="45"/>
        <v>0</v>
      </c>
      <c r="MR15" s="130">
        <f t="shared" si="45"/>
        <v>0</v>
      </c>
      <c r="MS15" s="130">
        <f t="shared" si="45"/>
        <v>0</v>
      </c>
      <c r="MT15" s="130">
        <f t="shared" si="45"/>
        <v>0</v>
      </c>
      <c r="MU15" s="130">
        <f t="shared" si="45"/>
        <v>0</v>
      </c>
      <c r="MV15" s="130">
        <f t="shared" si="45"/>
        <v>0</v>
      </c>
      <c r="MW15" s="130">
        <f t="shared" si="45"/>
        <v>0</v>
      </c>
      <c r="MX15" s="130">
        <f t="shared" si="45"/>
        <v>0</v>
      </c>
      <c r="MY15" s="130">
        <f t="shared" si="45"/>
        <v>0</v>
      </c>
      <c r="MZ15" s="130">
        <f t="shared" si="45"/>
        <v>0</v>
      </c>
      <c r="NA15" s="130">
        <f t="shared" si="45"/>
        <v>0</v>
      </c>
      <c r="NB15" s="130">
        <f t="shared" si="45"/>
        <v>0</v>
      </c>
      <c r="NC15" s="130">
        <f t="shared" si="45"/>
        <v>0</v>
      </c>
      <c r="ND15" s="130">
        <f t="shared" si="45"/>
        <v>0</v>
      </c>
      <c r="NE15" s="130">
        <f t="shared" si="45"/>
        <v>0</v>
      </c>
      <c r="NF15" s="130">
        <f t="shared" si="45"/>
        <v>0</v>
      </c>
      <c r="NG15" s="130">
        <f t="shared" si="45"/>
        <v>0</v>
      </c>
      <c r="NH15" s="130">
        <f t="shared" si="45"/>
        <v>0</v>
      </c>
      <c r="NI15" s="130">
        <f t="shared" si="45"/>
        <v>0</v>
      </c>
      <c r="NJ15" s="130">
        <f t="shared" si="45"/>
        <v>0</v>
      </c>
      <c r="NK15" s="130">
        <f t="shared" si="45"/>
        <v>0</v>
      </c>
      <c r="NL15" s="130">
        <f t="shared" si="45"/>
        <v>0</v>
      </c>
      <c r="NM15" s="130">
        <f t="shared" si="45"/>
        <v>0</v>
      </c>
      <c r="NN15" s="130">
        <f t="shared" si="45"/>
        <v>0</v>
      </c>
      <c r="NO15" s="130">
        <f t="shared" si="45"/>
        <v>0</v>
      </c>
      <c r="NP15" s="130">
        <f t="shared" si="45"/>
        <v>0</v>
      </c>
      <c r="NQ15" s="130">
        <f t="shared" si="45"/>
        <v>0</v>
      </c>
      <c r="NR15" s="130">
        <f t="shared" si="45"/>
        <v>0</v>
      </c>
      <c r="NS15" s="130">
        <f t="shared" si="45"/>
        <v>0</v>
      </c>
      <c r="NT15" s="130">
        <f t="shared" si="45"/>
        <v>0</v>
      </c>
      <c r="NU15" s="130">
        <f t="shared" si="45"/>
        <v>0</v>
      </c>
      <c r="NV15" s="130">
        <f t="shared" si="45"/>
        <v>0</v>
      </c>
      <c r="NW15" s="130">
        <f t="shared" si="45"/>
        <v>0</v>
      </c>
      <c r="NX15" s="130">
        <f t="shared" si="45"/>
        <v>0</v>
      </c>
      <c r="NY15" s="130">
        <f t="shared" si="45"/>
        <v>0</v>
      </c>
      <c r="NZ15" s="130">
        <f t="shared" si="45"/>
        <v>0</v>
      </c>
      <c r="OA15" s="130">
        <f t="shared" si="45"/>
        <v>0</v>
      </c>
      <c r="OB15" s="130">
        <f t="shared" si="45"/>
        <v>0</v>
      </c>
      <c r="OC15" s="130">
        <f t="shared" si="45"/>
        <v>0</v>
      </c>
      <c r="OD15" s="130">
        <f t="shared" si="45"/>
        <v>0</v>
      </c>
      <c r="OE15" s="130">
        <f t="shared" si="45"/>
        <v>0</v>
      </c>
      <c r="OF15" s="130">
        <f t="shared" si="45"/>
        <v>0</v>
      </c>
      <c r="OG15" s="130">
        <f t="shared" si="45"/>
        <v>0</v>
      </c>
      <c r="OH15" s="130">
        <f t="shared" si="45"/>
        <v>0</v>
      </c>
      <c r="OI15" s="130">
        <f t="shared" ref="OI15:QT15" si="46">ROUND(OI57,0)</f>
        <v>0</v>
      </c>
      <c r="OJ15" s="130">
        <f t="shared" si="46"/>
        <v>0</v>
      </c>
      <c r="OK15" s="130">
        <f t="shared" si="46"/>
        <v>0</v>
      </c>
      <c r="OL15" s="130">
        <f t="shared" si="46"/>
        <v>0</v>
      </c>
      <c r="OM15" s="130">
        <f t="shared" si="46"/>
        <v>0</v>
      </c>
      <c r="ON15" s="130">
        <f t="shared" si="46"/>
        <v>0</v>
      </c>
      <c r="OO15" s="130">
        <f t="shared" si="46"/>
        <v>0</v>
      </c>
      <c r="OP15" s="130">
        <f t="shared" si="46"/>
        <v>0</v>
      </c>
      <c r="OQ15" s="130">
        <f t="shared" si="46"/>
        <v>0</v>
      </c>
      <c r="OR15" s="130">
        <f t="shared" si="46"/>
        <v>0</v>
      </c>
      <c r="OS15" s="130">
        <f t="shared" si="46"/>
        <v>0</v>
      </c>
      <c r="OT15" s="130">
        <f t="shared" si="46"/>
        <v>0</v>
      </c>
      <c r="OU15" s="130">
        <f t="shared" si="46"/>
        <v>0</v>
      </c>
      <c r="OV15" s="130">
        <f t="shared" si="46"/>
        <v>0</v>
      </c>
      <c r="OW15" s="130">
        <f t="shared" si="46"/>
        <v>0</v>
      </c>
      <c r="OX15" s="130">
        <f t="shared" si="46"/>
        <v>0</v>
      </c>
      <c r="OY15" s="130">
        <f t="shared" si="46"/>
        <v>0</v>
      </c>
      <c r="OZ15" s="130">
        <f t="shared" si="46"/>
        <v>0</v>
      </c>
      <c r="PA15" s="130">
        <f t="shared" si="46"/>
        <v>0</v>
      </c>
      <c r="PB15" s="130">
        <f t="shared" si="46"/>
        <v>0</v>
      </c>
      <c r="PC15" s="130">
        <f t="shared" si="46"/>
        <v>0</v>
      </c>
      <c r="PD15" s="130">
        <f t="shared" si="46"/>
        <v>0</v>
      </c>
      <c r="PE15" s="130">
        <f t="shared" si="46"/>
        <v>0</v>
      </c>
      <c r="PF15" s="130">
        <f t="shared" si="46"/>
        <v>0</v>
      </c>
      <c r="PG15" s="130">
        <f t="shared" si="46"/>
        <v>0</v>
      </c>
      <c r="PH15" s="130">
        <f t="shared" si="46"/>
        <v>0</v>
      </c>
      <c r="PI15" s="130">
        <f t="shared" si="46"/>
        <v>0</v>
      </c>
      <c r="PJ15" s="130">
        <f t="shared" si="46"/>
        <v>0</v>
      </c>
      <c r="PK15" s="130">
        <f t="shared" si="46"/>
        <v>0</v>
      </c>
      <c r="PL15" s="130">
        <f t="shared" si="46"/>
        <v>0</v>
      </c>
      <c r="PM15" s="130">
        <f t="shared" si="46"/>
        <v>0</v>
      </c>
      <c r="PN15" s="130">
        <f t="shared" si="46"/>
        <v>0</v>
      </c>
      <c r="PO15" s="130">
        <f t="shared" si="46"/>
        <v>0</v>
      </c>
      <c r="PP15" s="130">
        <f t="shared" si="46"/>
        <v>0</v>
      </c>
      <c r="PQ15" s="130">
        <f t="shared" si="46"/>
        <v>0</v>
      </c>
      <c r="PR15" s="130">
        <f t="shared" si="46"/>
        <v>0</v>
      </c>
      <c r="PS15" s="130">
        <f t="shared" si="46"/>
        <v>0</v>
      </c>
      <c r="PT15" s="130">
        <f t="shared" si="46"/>
        <v>0</v>
      </c>
      <c r="PU15" s="130">
        <f t="shared" si="46"/>
        <v>0</v>
      </c>
      <c r="PV15" s="130">
        <f t="shared" si="46"/>
        <v>0</v>
      </c>
      <c r="PW15" s="130">
        <f t="shared" si="46"/>
        <v>0</v>
      </c>
      <c r="PX15" s="130">
        <f t="shared" si="46"/>
        <v>0</v>
      </c>
      <c r="PY15" s="130">
        <f t="shared" si="46"/>
        <v>0</v>
      </c>
      <c r="PZ15" s="130">
        <f t="shared" si="46"/>
        <v>0</v>
      </c>
      <c r="QA15" s="130">
        <f t="shared" si="46"/>
        <v>0</v>
      </c>
      <c r="QB15" s="130">
        <f t="shared" si="46"/>
        <v>0</v>
      </c>
      <c r="QC15" s="130">
        <f t="shared" si="46"/>
        <v>0</v>
      </c>
      <c r="QD15" s="130">
        <f t="shared" si="46"/>
        <v>0</v>
      </c>
      <c r="QE15" s="130">
        <f t="shared" si="46"/>
        <v>0</v>
      </c>
      <c r="QF15" s="130">
        <f t="shared" si="46"/>
        <v>0</v>
      </c>
      <c r="QG15" s="130">
        <f t="shared" si="46"/>
        <v>0</v>
      </c>
      <c r="QH15" s="130">
        <f t="shared" si="46"/>
        <v>0</v>
      </c>
      <c r="QI15" s="130">
        <f t="shared" si="46"/>
        <v>0</v>
      </c>
      <c r="QJ15" s="130">
        <f t="shared" si="46"/>
        <v>0</v>
      </c>
      <c r="QK15" s="130">
        <f t="shared" si="46"/>
        <v>0</v>
      </c>
      <c r="QL15" s="130">
        <f t="shared" si="46"/>
        <v>0</v>
      </c>
      <c r="QM15" s="130">
        <f t="shared" si="46"/>
        <v>0</v>
      </c>
      <c r="QN15" s="130">
        <f t="shared" si="46"/>
        <v>0</v>
      </c>
      <c r="QO15" s="130">
        <f t="shared" si="46"/>
        <v>0</v>
      </c>
      <c r="QP15" s="130">
        <f t="shared" si="46"/>
        <v>0</v>
      </c>
      <c r="QQ15" s="130">
        <f t="shared" si="46"/>
        <v>0</v>
      </c>
      <c r="QR15" s="130">
        <f t="shared" si="46"/>
        <v>0</v>
      </c>
      <c r="QS15" s="130">
        <f t="shared" si="46"/>
        <v>0</v>
      </c>
      <c r="QT15" s="130">
        <f t="shared" si="46"/>
        <v>0</v>
      </c>
      <c r="QU15" s="130">
        <f t="shared" ref="QU15:TF15" si="47">ROUND(QU57,0)</f>
        <v>0</v>
      </c>
      <c r="QV15" s="130">
        <f t="shared" si="47"/>
        <v>0</v>
      </c>
      <c r="QW15" s="130">
        <f t="shared" si="47"/>
        <v>0</v>
      </c>
      <c r="QX15" s="130">
        <f t="shared" si="47"/>
        <v>0</v>
      </c>
      <c r="QY15" s="130">
        <f t="shared" si="47"/>
        <v>0</v>
      </c>
      <c r="QZ15" s="130">
        <f t="shared" si="47"/>
        <v>0</v>
      </c>
      <c r="RA15" s="130">
        <f t="shared" si="47"/>
        <v>0</v>
      </c>
      <c r="RB15" s="130">
        <f t="shared" si="47"/>
        <v>0</v>
      </c>
      <c r="RC15" s="130">
        <f t="shared" si="47"/>
        <v>0</v>
      </c>
      <c r="RD15" s="130">
        <f t="shared" si="47"/>
        <v>0</v>
      </c>
      <c r="RE15" s="130">
        <f t="shared" si="47"/>
        <v>0</v>
      </c>
      <c r="RF15" s="130">
        <f t="shared" si="47"/>
        <v>0</v>
      </c>
      <c r="RG15" s="130">
        <f t="shared" si="47"/>
        <v>0</v>
      </c>
      <c r="RH15" s="130">
        <f t="shared" si="47"/>
        <v>0</v>
      </c>
      <c r="RI15" s="130">
        <f t="shared" si="47"/>
        <v>0</v>
      </c>
      <c r="RJ15" s="130">
        <f t="shared" si="47"/>
        <v>0</v>
      </c>
      <c r="RK15" s="130">
        <f t="shared" si="47"/>
        <v>0</v>
      </c>
      <c r="RL15" s="130">
        <f t="shared" si="47"/>
        <v>0</v>
      </c>
      <c r="RM15" s="130">
        <f t="shared" si="47"/>
        <v>0</v>
      </c>
      <c r="RN15" s="130">
        <f t="shared" si="47"/>
        <v>0</v>
      </c>
      <c r="RO15" s="130">
        <f t="shared" si="47"/>
        <v>0</v>
      </c>
      <c r="RP15" s="130">
        <f t="shared" si="47"/>
        <v>0</v>
      </c>
      <c r="RQ15" s="130">
        <f t="shared" si="47"/>
        <v>0</v>
      </c>
      <c r="RR15" s="130">
        <f t="shared" si="47"/>
        <v>0</v>
      </c>
      <c r="RS15" s="130">
        <f t="shared" si="47"/>
        <v>0</v>
      </c>
      <c r="RT15" s="130">
        <f t="shared" si="47"/>
        <v>0</v>
      </c>
      <c r="RU15" s="130">
        <f t="shared" si="47"/>
        <v>0</v>
      </c>
      <c r="RV15" s="130">
        <f t="shared" si="47"/>
        <v>0</v>
      </c>
      <c r="RW15" s="130">
        <f t="shared" si="47"/>
        <v>0</v>
      </c>
      <c r="RX15" s="130">
        <f t="shared" si="47"/>
        <v>0</v>
      </c>
      <c r="RY15" s="130">
        <f t="shared" si="47"/>
        <v>0</v>
      </c>
      <c r="RZ15" s="130">
        <f t="shared" si="47"/>
        <v>0</v>
      </c>
      <c r="SA15" s="130">
        <f t="shared" si="47"/>
        <v>0</v>
      </c>
      <c r="SB15" s="130">
        <f t="shared" si="47"/>
        <v>0</v>
      </c>
      <c r="SC15" s="130">
        <f t="shared" si="47"/>
        <v>0</v>
      </c>
      <c r="SD15" s="130">
        <f t="shared" si="47"/>
        <v>0</v>
      </c>
      <c r="SE15" s="130">
        <f t="shared" si="47"/>
        <v>0</v>
      </c>
      <c r="SF15" s="130">
        <f t="shared" si="47"/>
        <v>0</v>
      </c>
      <c r="SG15" s="130">
        <f t="shared" si="47"/>
        <v>0</v>
      </c>
      <c r="SH15" s="130">
        <f t="shared" si="47"/>
        <v>0</v>
      </c>
      <c r="SI15" s="130">
        <f t="shared" si="47"/>
        <v>0</v>
      </c>
      <c r="SJ15" s="130">
        <f t="shared" si="47"/>
        <v>0</v>
      </c>
      <c r="SK15" s="130">
        <f t="shared" si="47"/>
        <v>0</v>
      </c>
      <c r="SL15" s="130">
        <f t="shared" si="47"/>
        <v>0</v>
      </c>
      <c r="SM15" s="130">
        <f t="shared" si="47"/>
        <v>0</v>
      </c>
      <c r="SN15" s="130">
        <f t="shared" si="47"/>
        <v>0</v>
      </c>
      <c r="SO15" s="130">
        <f t="shared" si="47"/>
        <v>0</v>
      </c>
      <c r="SP15" s="130">
        <f t="shared" si="47"/>
        <v>0</v>
      </c>
      <c r="SQ15" s="130">
        <f t="shared" si="47"/>
        <v>0</v>
      </c>
      <c r="SR15" s="130">
        <f t="shared" si="47"/>
        <v>0</v>
      </c>
      <c r="SS15" s="130">
        <f t="shared" si="47"/>
        <v>0</v>
      </c>
      <c r="ST15" s="130">
        <f t="shared" si="47"/>
        <v>0</v>
      </c>
      <c r="SU15" s="130">
        <f t="shared" si="47"/>
        <v>0</v>
      </c>
      <c r="SV15" s="130">
        <f t="shared" si="47"/>
        <v>0</v>
      </c>
      <c r="SW15" s="130">
        <f t="shared" si="47"/>
        <v>0</v>
      </c>
      <c r="SX15" s="130">
        <f t="shared" si="47"/>
        <v>0</v>
      </c>
      <c r="SY15" s="130">
        <f t="shared" si="47"/>
        <v>0</v>
      </c>
      <c r="SZ15" s="130">
        <f t="shared" si="47"/>
        <v>0</v>
      </c>
      <c r="TA15" s="130">
        <f t="shared" si="47"/>
        <v>0</v>
      </c>
      <c r="TB15" s="130">
        <f t="shared" si="47"/>
        <v>0</v>
      </c>
      <c r="TC15" s="130">
        <f t="shared" si="47"/>
        <v>0</v>
      </c>
      <c r="TD15" s="130">
        <f t="shared" si="47"/>
        <v>0</v>
      </c>
      <c r="TE15" s="130">
        <f t="shared" si="47"/>
        <v>0</v>
      </c>
      <c r="TF15" s="130">
        <f t="shared" si="47"/>
        <v>0</v>
      </c>
      <c r="TG15" s="130">
        <f t="shared" ref="TG15:VR15" si="48">ROUND(TG57,0)</f>
        <v>0</v>
      </c>
      <c r="TH15" s="130">
        <f t="shared" si="48"/>
        <v>0</v>
      </c>
      <c r="TI15" s="130">
        <f t="shared" si="48"/>
        <v>0</v>
      </c>
      <c r="TJ15" s="130">
        <f t="shared" si="48"/>
        <v>0</v>
      </c>
      <c r="TK15" s="130">
        <f t="shared" si="48"/>
        <v>0</v>
      </c>
      <c r="TL15" s="130">
        <f t="shared" si="48"/>
        <v>0</v>
      </c>
      <c r="TM15" s="130">
        <f t="shared" si="48"/>
        <v>0</v>
      </c>
      <c r="TN15" s="130">
        <f t="shared" si="48"/>
        <v>0</v>
      </c>
      <c r="TO15" s="130">
        <f t="shared" si="48"/>
        <v>0</v>
      </c>
      <c r="TP15" s="130">
        <f t="shared" si="48"/>
        <v>0</v>
      </c>
      <c r="TQ15" s="130">
        <f t="shared" si="48"/>
        <v>0</v>
      </c>
      <c r="TR15" s="130">
        <f t="shared" si="48"/>
        <v>0</v>
      </c>
      <c r="TS15" s="130">
        <f t="shared" si="48"/>
        <v>0</v>
      </c>
      <c r="TT15" s="130">
        <f t="shared" si="48"/>
        <v>0</v>
      </c>
      <c r="TU15" s="130">
        <f t="shared" si="48"/>
        <v>0</v>
      </c>
      <c r="TV15" s="130">
        <f t="shared" si="48"/>
        <v>0</v>
      </c>
      <c r="TW15" s="130">
        <f t="shared" si="48"/>
        <v>0</v>
      </c>
      <c r="TX15" s="130">
        <f t="shared" si="48"/>
        <v>0</v>
      </c>
      <c r="TY15" s="130">
        <f t="shared" si="48"/>
        <v>0</v>
      </c>
      <c r="TZ15" s="130">
        <f t="shared" si="48"/>
        <v>0</v>
      </c>
      <c r="UA15" s="130">
        <f t="shared" si="48"/>
        <v>0</v>
      </c>
      <c r="UB15" s="130">
        <f t="shared" si="48"/>
        <v>0</v>
      </c>
      <c r="UC15" s="130">
        <f t="shared" si="48"/>
        <v>0</v>
      </c>
      <c r="UD15" s="130">
        <f t="shared" si="48"/>
        <v>0</v>
      </c>
      <c r="UE15" s="130">
        <f t="shared" si="48"/>
        <v>0</v>
      </c>
      <c r="UF15" s="130">
        <f t="shared" si="48"/>
        <v>0</v>
      </c>
      <c r="UG15" s="130">
        <f t="shared" si="48"/>
        <v>0</v>
      </c>
      <c r="UH15" s="130">
        <f t="shared" si="48"/>
        <v>0</v>
      </c>
      <c r="UI15" s="130">
        <f t="shared" si="48"/>
        <v>0</v>
      </c>
      <c r="UJ15" s="130">
        <f t="shared" si="48"/>
        <v>0</v>
      </c>
      <c r="UK15" s="130">
        <f t="shared" si="48"/>
        <v>0</v>
      </c>
      <c r="UL15" s="130">
        <f t="shared" si="48"/>
        <v>0</v>
      </c>
      <c r="UM15" s="130">
        <f t="shared" si="48"/>
        <v>0</v>
      </c>
      <c r="UN15" s="130">
        <f t="shared" si="48"/>
        <v>0</v>
      </c>
      <c r="UO15" s="130">
        <f t="shared" si="48"/>
        <v>0</v>
      </c>
      <c r="UP15" s="130">
        <f t="shared" si="48"/>
        <v>0</v>
      </c>
      <c r="UQ15" s="130">
        <f t="shared" si="48"/>
        <v>0</v>
      </c>
      <c r="UR15" s="130">
        <f t="shared" si="48"/>
        <v>0</v>
      </c>
      <c r="US15" s="130">
        <f t="shared" si="48"/>
        <v>0</v>
      </c>
      <c r="UT15" s="130">
        <f t="shared" si="48"/>
        <v>0</v>
      </c>
      <c r="UU15" s="130">
        <f t="shared" si="48"/>
        <v>0</v>
      </c>
      <c r="UV15" s="130">
        <f t="shared" si="48"/>
        <v>0</v>
      </c>
      <c r="UW15" s="130">
        <f t="shared" si="48"/>
        <v>0</v>
      </c>
      <c r="UX15" s="130">
        <f t="shared" si="48"/>
        <v>0</v>
      </c>
      <c r="UY15" s="130">
        <f t="shared" si="48"/>
        <v>0</v>
      </c>
      <c r="UZ15" s="130">
        <f t="shared" si="48"/>
        <v>0</v>
      </c>
      <c r="VA15" s="130">
        <f t="shared" si="48"/>
        <v>0</v>
      </c>
      <c r="VB15" s="130">
        <f t="shared" si="48"/>
        <v>0</v>
      </c>
      <c r="VC15" s="130">
        <f t="shared" si="48"/>
        <v>0</v>
      </c>
      <c r="VD15" s="130">
        <f t="shared" si="48"/>
        <v>0</v>
      </c>
      <c r="VE15" s="130">
        <f t="shared" si="48"/>
        <v>0</v>
      </c>
      <c r="VF15" s="130">
        <f t="shared" si="48"/>
        <v>0</v>
      </c>
      <c r="VG15" s="130">
        <f t="shared" si="48"/>
        <v>0</v>
      </c>
      <c r="VH15" s="130">
        <f t="shared" si="48"/>
        <v>0</v>
      </c>
      <c r="VI15" s="130">
        <f t="shared" si="48"/>
        <v>0</v>
      </c>
      <c r="VJ15" s="130">
        <f t="shared" si="48"/>
        <v>0</v>
      </c>
      <c r="VK15" s="130">
        <f t="shared" si="48"/>
        <v>0</v>
      </c>
      <c r="VL15" s="130">
        <f t="shared" si="48"/>
        <v>0</v>
      </c>
      <c r="VM15" s="130">
        <f t="shared" si="48"/>
        <v>0</v>
      </c>
      <c r="VN15" s="130">
        <f t="shared" si="48"/>
        <v>0</v>
      </c>
      <c r="VO15" s="130">
        <f t="shared" si="48"/>
        <v>0</v>
      </c>
      <c r="VP15" s="130">
        <f t="shared" si="48"/>
        <v>0</v>
      </c>
      <c r="VQ15" s="130">
        <f t="shared" si="48"/>
        <v>0</v>
      </c>
      <c r="VR15" s="130">
        <f t="shared" si="48"/>
        <v>0</v>
      </c>
      <c r="VS15" s="130">
        <f t="shared" ref="VS15:YD15" si="49">ROUND(VS57,0)</f>
        <v>0</v>
      </c>
      <c r="VT15" s="130">
        <f t="shared" si="49"/>
        <v>0</v>
      </c>
      <c r="VU15" s="130">
        <f t="shared" si="49"/>
        <v>0</v>
      </c>
      <c r="VV15" s="130">
        <f t="shared" si="49"/>
        <v>0</v>
      </c>
      <c r="VW15" s="130">
        <f t="shared" si="49"/>
        <v>0</v>
      </c>
      <c r="VX15" s="130">
        <f t="shared" si="49"/>
        <v>0</v>
      </c>
      <c r="VY15" s="130">
        <f t="shared" si="49"/>
        <v>0</v>
      </c>
      <c r="VZ15" s="130">
        <f t="shared" si="49"/>
        <v>0</v>
      </c>
      <c r="WA15" s="130">
        <f t="shared" si="49"/>
        <v>0</v>
      </c>
      <c r="WB15" s="130">
        <f t="shared" si="49"/>
        <v>0</v>
      </c>
      <c r="WC15" s="130">
        <f t="shared" si="49"/>
        <v>0</v>
      </c>
      <c r="WD15" s="130">
        <f t="shared" si="49"/>
        <v>0</v>
      </c>
      <c r="WE15" s="130">
        <f t="shared" si="49"/>
        <v>0</v>
      </c>
      <c r="WF15" s="130">
        <f t="shared" si="49"/>
        <v>0</v>
      </c>
      <c r="WG15" s="130">
        <f t="shared" si="49"/>
        <v>0</v>
      </c>
      <c r="WH15" s="130">
        <f t="shared" si="49"/>
        <v>0</v>
      </c>
      <c r="WI15" s="130">
        <f t="shared" si="49"/>
        <v>0</v>
      </c>
      <c r="WJ15" s="130">
        <f t="shared" si="49"/>
        <v>0</v>
      </c>
      <c r="WK15" s="130">
        <f t="shared" si="49"/>
        <v>0</v>
      </c>
      <c r="WL15" s="130">
        <f t="shared" si="49"/>
        <v>0</v>
      </c>
      <c r="WM15" s="130">
        <f t="shared" si="49"/>
        <v>0</v>
      </c>
      <c r="WN15" s="130">
        <f t="shared" si="49"/>
        <v>0</v>
      </c>
      <c r="WO15" s="130">
        <f t="shared" si="49"/>
        <v>0</v>
      </c>
      <c r="WP15" s="130">
        <f t="shared" si="49"/>
        <v>0</v>
      </c>
      <c r="WQ15" s="130">
        <f t="shared" si="49"/>
        <v>0</v>
      </c>
      <c r="WR15" s="130">
        <f t="shared" si="49"/>
        <v>0</v>
      </c>
      <c r="WS15" s="130">
        <f t="shared" si="49"/>
        <v>0</v>
      </c>
      <c r="WT15" s="130">
        <f t="shared" si="49"/>
        <v>0</v>
      </c>
      <c r="WU15" s="130">
        <f t="shared" si="49"/>
        <v>0</v>
      </c>
      <c r="WV15" s="130">
        <f t="shared" si="49"/>
        <v>0</v>
      </c>
      <c r="WW15" s="130">
        <f t="shared" si="49"/>
        <v>0</v>
      </c>
      <c r="WX15" s="130">
        <f t="shared" si="49"/>
        <v>0</v>
      </c>
      <c r="WY15" s="130">
        <f t="shared" si="49"/>
        <v>0</v>
      </c>
      <c r="WZ15" s="130">
        <f t="shared" si="49"/>
        <v>0</v>
      </c>
      <c r="XA15" s="130">
        <f t="shared" si="49"/>
        <v>0</v>
      </c>
      <c r="XB15" s="130">
        <f t="shared" si="49"/>
        <v>0</v>
      </c>
      <c r="XC15" s="130">
        <f t="shared" si="49"/>
        <v>0</v>
      </c>
      <c r="XD15" s="130">
        <f t="shared" si="49"/>
        <v>0</v>
      </c>
      <c r="XE15" s="130">
        <f t="shared" si="49"/>
        <v>0</v>
      </c>
      <c r="XF15" s="130">
        <f t="shared" si="49"/>
        <v>0</v>
      </c>
      <c r="XG15" s="130">
        <f t="shared" si="49"/>
        <v>0</v>
      </c>
      <c r="XH15" s="130">
        <f t="shared" si="49"/>
        <v>0</v>
      </c>
      <c r="XI15" s="130">
        <f t="shared" si="49"/>
        <v>0</v>
      </c>
      <c r="XJ15" s="130">
        <f t="shared" si="49"/>
        <v>0</v>
      </c>
      <c r="XK15" s="130">
        <f t="shared" si="49"/>
        <v>0</v>
      </c>
      <c r="XL15" s="130">
        <f t="shared" si="49"/>
        <v>0</v>
      </c>
      <c r="XM15" s="130">
        <f t="shared" si="49"/>
        <v>0</v>
      </c>
      <c r="XN15" s="130">
        <f t="shared" si="49"/>
        <v>0</v>
      </c>
      <c r="XO15" s="130">
        <f t="shared" si="49"/>
        <v>0</v>
      </c>
      <c r="XP15" s="130">
        <f t="shared" si="49"/>
        <v>0</v>
      </c>
      <c r="XQ15" s="130">
        <f t="shared" si="49"/>
        <v>0</v>
      </c>
      <c r="XR15" s="130">
        <f t="shared" si="49"/>
        <v>0</v>
      </c>
      <c r="XS15" s="130">
        <f t="shared" si="49"/>
        <v>0</v>
      </c>
      <c r="XT15" s="130">
        <f t="shared" si="49"/>
        <v>0</v>
      </c>
      <c r="XU15" s="130">
        <f t="shared" si="49"/>
        <v>0</v>
      </c>
      <c r="XV15" s="130">
        <f t="shared" si="49"/>
        <v>0</v>
      </c>
      <c r="XW15" s="130">
        <f t="shared" si="49"/>
        <v>0</v>
      </c>
      <c r="XX15" s="130">
        <f t="shared" si="49"/>
        <v>0</v>
      </c>
      <c r="XY15" s="130">
        <f t="shared" si="49"/>
        <v>0</v>
      </c>
      <c r="XZ15" s="130">
        <f t="shared" si="49"/>
        <v>0</v>
      </c>
      <c r="YA15" s="130">
        <f t="shared" si="49"/>
        <v>0</v>
      </c>
      <c r="YB15" s="130">
        <f t="shared" si="49"/>
        <v>0</v>
      </c>
      <c r="YC15" s="130">
        <f t="shared" si="49"/>
        <v>0</v>
      </c>
      <c r="YD15" s="130">
        <f t="shared" si="49"/>
        <v>0</v>
      </c>
      <c r="YE15" s="130">
        <f t="shared" ref="YE15:AAP15" si="50">ROUND(YE57,0)</f>
        <v>0</v>
      </c>
      <c r="YF15" s="130">
        <f t="shared" si="50"/>
        <v>0</v>
      </c>
      <c r="YG15" s="130">
        <f t="shared" si="50"/>
        <v>0</v>
      </c>
      <c r="YH15" s="130">
        <f t="shared" si="50"/>
        <v>0</v>
      </c>
      <c r="YI15" s="130">
        <f t="shared" si="50"/>
        <v>0</v>
      </c>
      <c r="YJ15" s="130">
        <f t="shared" si="50"/>
        <v>0</v>
      </c>
      <c r="YK15" s="130">
        <f t="shared" si="50"/>
        <v>0</v>
      </c>
      <c r="YL15" s="130">
        <f t="shared" si="50"/>
        <v>0</v>
      </c>
      <c r="YM15" s="130">
        <f t="shared" si="50"/>
        <v>0</v>
      </c>
      <c r="YN15" s="130">
        <f t="shared" si="50"/>
        <v>0</v>
      </c>
      <c r="YO15" s="130">
        <f t="shared" si="50"/>
        <v>0</v>
      </c>
      <c r="YP15" s="130">
        <f t="shared" si="50"/>
        <v>0</v>
      </c>
      <c r="YQ15" s="130">
        <f t="shared" si="50"/>
        <v>0</v>
      </c>
      <c r="YR15" s="130">
        <f t="shared" si="50"/>
        <v>0</v>
      </c>
      <c r="YS15" s="130">
        <f t="shared" si="50"/>
        <v>0</v>
      </c>
      <c r="YT15" s="130">
        <f t="shared" si="50"/>
        <v>0</v>
      </c>
      <c r="YU15" s="130">
        <f t="shared" si="50"/>
        <v>0</v>
      </c>
      <c r="YV15" s="130">
        <f t="shared" si="50"/>
        <v>0</v>
      </c>
      <c r="YW15" s="130">
        <f t="shared" si="50"/>
        <v>0</v>
      </c>
      <c r="YX15" s="130">
        <f t="shared" si="50"/>
        <v>0</v>
      </c>
      <c r="YY15" s="130">
        <f t="shared" si="50"/>
        <v>0</v>
      </c>
      <c r="YZ15" s="130">
        <f t="shared" si="50"/>
        <v>0</v>
      </c>
      <c r="ZA15" s="130">
        <f t="shared" si="50"/>
        <v>0</v>
      </c>
      <c r="ZB15" s="130">
        <f t="shared" si="50"/>
        <v>0</v>
      </c>
      <c r="ZC15" s="130">
        <f t="shared" si="50"/>
        <v>0</v>
      </c>
      <c r="ZD15" s="130">
        <f t="shared" si="50"/>
        <v>0</v>
      </c>
      <c r="ZE15" s="130">
        <f t="shared" si="50"/>
        <v>0</v>
      </c>
      <c r="ZF15" s="130">
        <f t="shared" si="50"/>
        <v>0</v>
      </c>
      <c r="ZG15" s="130">
        <f t="shared" si="50"/>
        <v>0</v>
      </c>
      <c r="ZH15" s="130">
        <f t="shared" si="50"/>
        <v>0</v>
      </c>
      <c r="ZI15" s="130">
        <f t="shared" si="50"/>
        <v>0</v>
      </c>
      <c r="ZJ15" s="130">
        <f t="shared" si="50"/>
        <v>0</v>
      </c>
      <c r="ZK15" s="130">
        <f t="shared" si="50"/>
        <v>0</v>
      </c>
      <c r="ZL15" s="130">
        <f t="shared" si="50"/>
        <v>0</v>
      </c>
      <c r="ZM15" s="130">
        <f t="shared" si="50"/>
        <v>0</v>
      </c>
      <c r="ZN15" s="130">
        <f t="shared" si="50"/>
        <v>0</v>
      </c>
      <c r="ZO15" s="130">
        <f t="shared" si="50"/>
        <v>0</v>
      </c>
      <c r="ZP15" s="130">
        <f t="shared" si="50"/>
        <v>0</v>
      </c>
      <c r="ZQ15" s="130">
        <f t="shared" si="50"/>
        <v>0</v>
      </c>
      <c r="ZR15" s="130">
        <f t="shared" si="50"/>
        <v>0</v>
      </c>
      <c r="ZS15" s="130">
        <f t="shared" si="50"/>
        <v>0</v>
      </c>
      <c r="ZT15" s="130">
        <f t="shared" si="50"/>
        <v>0</v>
      </c>
      <c r="ZU15" s="130">
        <f t="shared" si="50"/>
        <v>0</v>
      </c>
      <c r="ZV15" s="130">
        <f t="shared" si="50"/>
        <v>0</v>
      </c>
      <c r="ZW15" s="130">
        <f t="shared" si="50"/>
        <v>0</v>
      </c>
      <c r="ZX15" s="130">
        <f t="shared" si="50"/>
        <v>0</v>
      </c>
      <c r="ZY15" s="130">
        <f t="shared" si="50"/>
        <v>0</v>
      </c>
      <c r="ZZ15" s="130">
        <f t="shared" si="50"/>
        <v>0</v>
      </c>
      <c r="AAA15" s="130">
        <f t="shared" si="50"/>
        <v>0</v>
      </c>
      <c r="AAB15" s="130">
        <f t="shared" si="50"/>
        <v>0</v>
      </c>
      <c r="AAC15" s="130">
        <f t="shared" si="50"/>
        <v>0</v>
      </c>
      <c r="AAD15" s="130">
        <f t="shared" si="50"/>
        <v>0</v>
      </c>
      <c r="AAE15" s="130">
        <f t="shared" si="50"/>
        <v>0</v>
      </c>
      <c r="AAF15" s="130">
        <f t="shared" si="50"/>
        <v>0</v>
      </c>
      <c r="AAG15" s="130">
        <f t="shared" si="50"/>
        <v>0</v>
      </c>
      <c r="AAH15" s="130">
        <f t="shared" si="50"/>
        <v>0</v>
      </c>
      <c r="AAI15" s="130">
        <f t="shared" si="50"/>
        <v>0</v>
      </c>
      <c r="AAJ15" s="130">
        <f t="shared" si="50"/>
        <v>0</v>
      </c>
      <c r="AAK15" s="130">
        <f t="shared" si="50"/>
        <v>0</v>
      </c>
      <c r="AAL15" s="130">
        <f t="shared" si="50"/>
        <v>0</v>
      </c>
      <c r="AAM15" s="130">
        <f t="shared" si="50"/>
        <v>0</v>
      </c>
      <c r="AAN15" s="130">
        <f t="shared" si="50"/>
        <v>0</v>
      </c>
      <c r="AAO15" s="130">
        <f t="shared" si="50"/>
        <v>0</v>
      </c>
      <c r="AAP15" s="130">
        <f t="shared" si="50"/>
        <v>0</v>
      </c>
      <c r="AAQ15" s="130">
        <f t="shared" ref="AAQ15:ADB15" si="51">ROUND(AAQ57,0)</f>
        <v>0</v>
      </c>
      <c r="AAR15" s="130">
        <f t="shared" si="51"/>
        <v>0</v>
      </c>
      <c r="AAS15" s="130">
        <f t="shared" si="51"/>
        <v>0</v>
      </c>
      <c r="AAT15" s="130">
        <f t="shared" si="51"/>
        <v>0</v>
      </c>
      <c r="AAU15" s="130">
        <f t="shared" si="51"/>
        <v>0</v>
      </c>
      <c r="AAV15" s="130">
        <f t="shared" si="51"/>
        <v>0</v>
      </c>
      <c r="AAW15" s="130">
        <f t="shared" si="51"/>
        <v>0</v>
      </c>
      <c r="AAX15" s="130">
        <f t="shared" si="51"/>
        <v>0</v>
      </c>
      <c r="AAY15" s="130">
        <f t="shared" si="51"/>
        <v>0</v>
      </c>
      <c r="AAZ15" s="130">
        <f t="shared" si="51"/>
        <v>0</v>
      </c>
      <c r="ABA15" s="130">
        <f t="shared" si="51"/>
        <v>0</v>
      </c>
      <c r="ABB15" s="130">
        <f t="shared" si="51"/>
        <v>0</v>
      </c>
      <c r="ABC15" s="130">
        <f t="shared" si="51"/>
        <v>0</v>
      </c>
      <c r="ABD15" s="130">
        <f t="shared" si="51"/>
        <v>0</v>
      </c>
      <c r="ABE15" s="130">
        <f t="shared" si="51"/>
        <v>0</v>
      </c>
      <c r="ABF15" s="130">
        <f t="shared" si="51"/>
        <v>0</v>
      </c>
      <c r="ABG15" s="130">
        <f t="shared" si="51"/>
        <v>0</v>
      </c>
      <c r="ABH15" s="130">
        <f t="shared" si="51"/>
        <v>0</v>
      </c>
      <c r="ABI15" s="130">
        <f t="shared" si="51"/>
        <v>0</v>
      </c>
      <c r="ABJ15" s="130">
        <f t="shared" si="51"/>
        <v>0</v>
      </c>
      <c r="ABK15" s="130">
        <f t="shared" si="51"/>
        <v>0</v>
      </c>
      <c r="ABL15" s="130">
        <f t="shared" si="51"/>
        <v>0</v>
      </c>
      <c r="ABM15" s="130">
        <f t="shared" si="51"/>
        <v>0</v>
      </c>
      <c r="ABN15" s="130">
        <f t="shared" si="51"/>
        <v>0</v>
      </c>
      <c r="ABO15" s="130">
        <f t="shared" si="51"/>
        <v>0</v>
      </c>
      <c r="ABP15" s="130">
        <f t="shared" si="51"/>
        <v>0</v>
      </c>
      <c r="ABQ15" s="130">
        <f t="shared" si="51"/>
        <v>0</v>
      </c>
      <c r="ABR15" s="130">
        <f t="shared" si="51"/>
        <v>0</v>
      </c>
      <c r="ABS15" s="130">
        <f t="shared" si="51"/>
        <v>0</v>
      </c>
      <c r="ABT15" s="130">
        <f t="shared" si="51"/>
        <v>0</v>
      </c>
      <c r="ABU15" s="130">
        <f t="shared" si="51"/>
        <v>0</v>
      </c>
      <c r="ABV15" s="130">
        <f t="shared" si="51"/>
        <v>0</v>
      </c>
      <c r="ABW15" s="130">
        <f t="shared" si="51"/>
        <v>0</v>
      </c>
      <c r="ABX15" s="130">
        <f t="shared" si="51"/>
        <v>0</v>
      </c>
      <c r="ABY15" s="130">
        <f t="shared" si="51"/>
        <v>0</v>
      </c>
      <c r="ABZ15" s="130">
        <f t="shared" si="51"/>
        <v>0</v>
      </c>
      <c r="ACA15" s="130">
        <f t="shared" si="51"/>
        <v>0</v>
      </c>
      <c r="ACB15" s="130">
        <f t="shared" si="51"/>
        <v>0</v>
      </c>
      <c r="ACC15" s="130">
        <f t="shared" si="51"/>
        <v>0</v>
      </c>
      <c r="ACD15" s="130">
        <f t="shared" si="51"/>
        <v>0</v>
      </c>
      <c r="ACE15" s="130">
        <f t="shared" si="51"/>
        <v>0</v>
      </c>
      <c r="ACF15" s="130">
        <f t="shared" si="51"/>
        <v>0</v>
      </c>
      <c r="ACG15" s="130">
        <f t="shared" si="51"/>
        <v>0</v>
      </c>
      <c r="ACH15" s="130">
        <f t="shared" si="51"/>
        <v>0</v>
      </c>
      <c r="ACI15" s="130">
        <f t="shared" si="51"/>
        <v>0</v>
      </c>
      <c r="ACJ15" s="130">
        <f t="shared" si="51"/>
        <v>0</v>
      </c>
      <c r="ACK15" s="130">
        <f t="shared" si="51"/>
        <v>0</v>
      </c>
      <c r="ACL15" s="130">
        <f t="shared" si="51"/>
        <v>0</v>
      </c>
      <c r="ACM15" s="130">
        <f t="shared" si="51"/>
        <v>0</v>
      </c>
      <c r="ACN15" s="130">
        <f t="shared" si="51"/>
        <v>0</v>
      </c>
      <c r="ACO15" s="130">
        <f t="shared" si="51"/>
        <v>0</v>
      </c>
      <c r="ACP15" s="130">
        <f t="shared" si="51"/>
        <v>0</v>
      </c>
      <c r="ACQ15" s="130">
        <f t="shared" si="51"/>
        <v>0</v>
      </c>
      <c r="ACR15" s="130">
        <f t="shared" si="51"/>
        <v>0</v>
      </c>
      <c r="ACS15" s="130">
        <f t="shared" si="51"/>
        <v>0</v>
      </c>
      <c r="ACT15" s="130">
        <f t="shared" si="51"/>
        <v>0</v>
      </c>
      <c r="ACU15" s="130">
        <f t="shared" si="51"/>
        <v>0</v>
      </c>
      <c r="ACV15" s="130">
        <f t="shared" si="51"/>
        <v>0</v>
      </c>
      <c r="ACW15" s="130">
        <f t="shared" si="51"/>
        <v>0</v>
      </c>
      <c r="ACX15" s="130">
        <f t="shared" si="51"/>
        <v>0</v>
      </c>
      <c r="ACY15" s="130">
        <f t="shared" si="51"/>
        <v>0</v>
      </c>
      <c r="ACZ15" s="130">
        <f t="shared" si="51"/>
        <v>0</v>
      </c>
      <c r="ADA15" s="130">
        <f t="shared" si="51"/>
        <v>0</v>
      </c>
      <c r="ADB15" s="130">
        <f t="shared" si="51"/>
        <v>0</v>
      </c>
      <c r="ADC15" s="130">
        <f t="shared" ref="ADC15:AEW15" si="52">ROUND(ADC57,0)</f>
        <v>0</v>
      </c>
      <c r="ADD15" s="130">
        <f t="shared" si="52"/>
        <v>0</v>
      </c>
      <c r="ADE15" s="130">
        <f t="shared" si="52"/>
        <v>0</v>
      </c>
      <c r="ADF15" s="130">
        <f t="shared" si="52"/>
        <v>0</v>
      </c>
      <c r="ADG15" s="130">
        <f t="shared" si="52"/>
        <v>0</v>
      </c>
      <c r="ADH15" s="130">
        <f t="shared" si="52"/>
        <v>0</v>
      </c>
      <c r="ADI15" s="130">
        <f t="shared" si="52"/>
        <v>0</v>
      </c>
      <c r="ADJ15" s="130">
        <f t="shared" si="52"/>
        <v>0</v>
      </c>
      <c r="ADK15" s="130">
        <f t="shared" si="52"/>
        <v>0</v>
      </c>
      <c r="ADL15" s="130">
        <f t="shared" si="52"/>
        <v>0</v>
      </c>
      <c r="ADM15" s="130">
        <f t="shared" si="52"/>
        <v>0</v>
      </c>
      <c r="ADN15" s="130">
        <f t="shared" si="52"/>
        <v>0</v>
      </c>
      <c r="ADO15" s="130">
        <f t="shared" si="52"/>
        <v>0</v>
      </c>
      <c r="ADP15" s="130">
        <f t="shared" si="52"/>
        <v>0</v>
      </c>
      <c r="ADQ15" s="130">
        <f t="shared" si="52"/>
        <v>0</v>
      </c>
      <c r="ADR15" s="130">
        <f t="shared" si="52"/>
        <v>0</v>
      </c>
      <c r="ADS15" s="130">
        <f t="shared" si="52"/>
        <v>0</v>
      </c>
      <c r="ADT15" s="130">
        <f t="shared" si="52"/>
        <v>0</v>
      </c>
      <c r="ADU15" s="130">
        <f t="shared" si="52"/>
        <v>0</v>
      </c>
      <c r="ADV15" s="130">
        <f t="shared" si="52"/>
        <v>0</v>
      </c>
      <c r="ADW15" s="130">
        <f t="shared" si="52"/>
        <v>0</v>
      </c>
      <c r="ADX15" s="130">
        <f t="shared" si="52"/>
        <v>0</v>
      </c>
      <c r="ADY15" s="130">
        <f t="shared" si="52"/>
        <v>0</v>
      </c>
      <c r="ADZ15" s="130">
        <f t="shared" si="52"/>
        <v>0</v>
      </c>
      <c r="AEA15" s="130">
        <f t="shared" si="52"/>
        <v>0</v>
      </c>
      <c r="AEB15" s="130">
        <f t="shared" si="52"/>
        <v>0</v>
      </c>
      <c r="AEC15" s="130">
        <f t="shared" si="52"/>
        <v>0</v>
      </c>
      <c r="AED15" s="130">
        <f t="shared" si="52"/>
        <v>0</v>
      </c>
      <c r="AEE15" s="130">
        <f t="shared" si="52"/>
        <v>0</v>
      </c>
      <c r="AEF15" s="130">
        <f t="shared" si="52"/>
        <v>0</v>
      </c>
      <c r="AEG15" s="130">
        <f t="shared" si="52"/>
        <v>0</v>
      </c>
      <c r="AEH15" s="130">
        <f t="shared" si="52"/>
        <v>0</v>
      </c>
      <c r="AEI15" s="130">
        <f t="shared" si="52"/>
        <v>0</v>
      </c>
      <c r="AEJ15" s="130">
        <f t="shared" si="52"/>
        <v>0</v>
      </c>
      <c r="AEK15" s="130">
        <f t="shared" si="52"/>
        <v>0</v>
      </c>
      <c r="AEL15" s="130">
        <f t="shared" si="52"/>
        <v>0</v>
      </c>
      <c r="AEM15" s="130">
        <f t="shared" si="52"/>
        <v>0</v>
      </c>
      <c r="AEN15" s="130">
        <f t="shared" si="52"/>
        <v>0</v>
      </c>
      <c r="AEO15" s="130">
        <f t="shared" si="52"/>
        <v>0</v>
      </c>
      <c r="AEP15" s="130">
        <f t="shared" si="52"/>
        <v>0</v>
      </c>
      <c r="AEQ15" s="130">
        <f t="shared" si="52"/>
        <v>0</v>
      </c>
      <c r="AER15" s="130">
        <f t="shared" si="52"/>
        <v>0</v>
      </c>
      <c r="AES15" s="130">
        <f t="shared" si="52"/>
        <v>0</v>
      </c>
      <c r="AET15" s="130">
        <f t="shared" si="52"/>
        <v>0</v>
      </c>
      <c r="AEU15" s="130">
        <f t="shared" si="52"/>
        <v>0</v>
      </c>
      <c r="AEV15" s="130">
        <f t="shared" si="52"/>
        <v>0</v>
      </c>
      <c r="AEW15" s="130">
        <f t="shared" si="52"/>
        <v>0</v>
      </c>
      <c r="AEX15" s="144" t="s">
        <v>221</v>
      </c>
    </row>
    <row r="16" spans="1:830" ht="22.5" customHeight="1" x14ac:dyDescent="0.25">
      <c r="A16" s="36"/>
      <c r="B16" s="128" t="s">
        <v>412</v>
      </c>
      <c r="C16" s="160">
        <f>REKAP!$J$6</f>
        <v>0</v>
      </c>
      <c r="D16" s="124">
        <f>REKAP!$J$4</f>
        <v>0</v>
      </c>
      <c r="E16" s="159">
        <f>REKAP!$J$5</f>
        <v>0</v>
      </c>
      <c r="F16" s="36"/>
      <c r="G16" s="138" t="s">
        <v>219</v>
      </c>
      <c r="H16" s="4" t="s">
        <v>220</v>
      </c>
      <c r="I16" s="143"/>
      <c r="J16" s="141">
        <f t="shared" ref="J16" si="53">SUM(N16:AEW16)</f>
        <v>0</v>
      </c>
      <c r="K16" s="7"/>
      <c r="L16" s="7"/>
      <c r="M16" s="7"/>
      <c r="N16" s="130"/>
      <c r="O16" s="130"/>
      <c r="P16" s="130"/>
      <c r="Q16" s="130"/>
      <c r="R16" s="130"/>
      <c r="S16" s="130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0"/>
      <c r="AX16" s="130"/>
      <c r="AY16" s="130"/>
      <c r="AZ16" s="130"/>
      <c r="BA16" s="130"/>
      <c r="BB16" s="130"/>
      <c r="BC16" s="130"/>
      <c r="BD16" s="130"/>
      <c r="BE16" s="130"/>
      <c r="BF16" s="130"/>
      <c r="BG16" s="130"/>
      <c r="BH16" s="130"/>
      <c r="BI16" s="130"/>
      <c r="BJ16" s="130"/>
      <c r="BK16" s="130"/>
      <c r="BL16" s="130"/>
      <c r="BM16" s="130"/>
      <c r="BN16" s="130"/>
      <c r="BO16" s="130"/>
      <c r="BP16" s="130"/>
      <c r="BQ16" s="130"/>
      <c r="BR16" s="130"/>
      <c r="BS16" s="130"/>
      <c r="BT16" s="130"/>
      <c r="BU16" s="130"/>
      <c r="BV16" s="130"/>
      <c r="BW16" s="130"/>
      <c r="BX16" s="130"/>
      <c r="BY16" s="130"/>
      <c r="BZ16" s="130"/>
      <c r="CA16" s="130"/>
      <c r="CB16" s="130"/>
      <c r="CC16" s="130"/>
      <c r="CD16" s="130"/>
      <c r="CE16" s="130"/>
      <c r="CF16" s="130"/>
      <c r="CG16" s="130"/>
      <c r="CH16" s="130"/>
      <c r="CI16" s="130"/>
      <c r="CJ16" s="130"/>
      <c r="CK16" s="130"/>
      <c r="CL16" s="130"/>
      <c r="CM16" s="130"/>
      <c r="CN16" s="130"/>
      <c r="CO16" s="130"/>
      <c r="CP16" s="130"/>
      <c r="CQ16" s="130"/>
      <c r="CR16" s="130"/>
      <c r="CS16" s="130"/>
      <c r="CT16" s="130"/>
      <c r="CU16" s="130"/>
      <c r="CV16" s="130"/>
      <c r="CW16" s="130"/>
      <c r="CX16" s="130"/>
      <c r="CY16" s="130"/>
      <c r="CZ16" s="130"/>
      <c r="DA16" s="130"/>
      <c r="DB16" s="130"/>
      <c r="DC16" s="130"/>
      <c r="DD16" s="130"/>
      <c r="DE16" s="130"/>
      <c r="DF16" s="130"/>
      <c r="DG16" s="130"/>
      <c r="DH16" s="130"/>
      <c r="DI16" s="130"/>
      <c r="DJ16" s="130"/>
      <c r="DK16" s="130"/>
      <c r="DL16" s="130"/>
      <c r="DM16" s="130"/>
      <c r="DN16" s="130"/>
      <c r="DO16" s="130"/>
      <c r="DP16" s="130"/>
      <c r="DQ16" s="130"/>
      <c r="DR16" s="130"/>
      <c r="DS16" s="130"/>
      <c r="DT16" s="130"/>
      <c r="DU16" s="130"/>
      <c r="DV16" s="130"/>
      <c r="DW16" s="130"/>
      <c r="DX16" s="130"/>
      <c r="DY16" s="130"/>
      <c r="DZ16" s="130"/>
      <c r="EA16" s="130"/>
      <c r="EB16" s="130"/>
      <c r="EC16" s="130"/>
      <c r="ED16" s="130"/>
      <c r="EE16" s="130"/>
      <c r="EF16" s="130"/>
      <c r="EG16" s="130"/>
      <c r="EH16" s="130"/>
      <c r="EI16" s="130"/>
      <c r="EJ16" s="130"/>
      <c r="EK16" s="130"/>
      <c r="EL16" s="130"/>
      <c r="EM16" s="130"/>
      <c r="EN16" s="130"/>
      <c r="EO16" s="130"/>
      <c r="EP16" s="130"/>
      <c r="EQ16" s="130"/>
      <c r="ER16" s="130"/>
      <c r="ES16" s="130"/>
      <c r="ET16" s="130"/>
      <c r="EU16" s="130"/>
      <c r="EV16" s="130"/>
      <c r="EW16" s="130"/>
      <c r="EX16" s="130"/>
      <c r="EY16" s="130"/>
      <c r="EZ16" s="130"/>
      <c r="FA16" s="130"/>
      <c r="FB16" s="130"/>
      <c r="FC16" s="130"/>
      <c r="FD16" s="130"/>
      <c r="FE16" s="130"/>
      <c r="FF16" s="130"/>
      <c r="FG16" s="130"/>
      <c r="FH16" s="130"/>
      <c r="FI16" s="130"/>
      <c r="FJ16" s="130"/>
      <c r="FK16" s="130"/>
      <c r="FL16" s="130"/>
      <c r="FM16" s="130"/>
      <c r="FN16" s="130"/>
      <c r="FO16" s="130"/>
      <c r="FP16" s="130"/>
      <c r="FQ16" s="130"/>
      <c r="FR16" s="130"/>
      <c r="FS16" s="130"/>
      <c r="FT16" s="130"/>
      <c r="FU16" s="130"/>
      <c r="FV16" s="130"/>
      <c r="FW16" s="130"/>
      <c r="FX16" s="130"/>
      <c r="FY16" s="130"/>
      <c r="FZ16" s="130"/>
      <c r="GA16" s="130"/>
      <c r="GB16" s="130"/>
      <c r="GC16" s="130"/>
      <c r="GD16" s="130"/>
      <c r="GE16" s="130"/>
      <c r="GF16" s="130"/>
      <c r="GG16" s="130"/>
      <c r="GH16" s="130"/>
      <c r="GI16" s="130"/>
      <c r="GJ16" s="130"/>
      <c r="GK16" s="130"/>
      <c r="GL16" s="130"/>
      <c r="GM16" s="130"/>
      <c r="GN16" s="130"/>
      <c r="GO16" s="130"/>
      <c r="GP16" s="130"/>
      <c r="GQ16" s="130"/>
      <c r="GR16" s="130"/>
      <c r="GS16" s="130"/>
      <c r="GT16" s="130"/>
      <c r="GU16" s="130"/>
      <c r="GV16" s="130"/>
      <c r="GW16" s="140">
        <f>SMK!$I$6</f>
        <v>0</v>
      </c>
      <c r="GX16" s="140">
        <f>SMK!$I$7</f>
        <v>0</v>
      </c>
      <c r="GY16" s="140">
        <f>SMK!$I$8</f>
        <v>0</v>
      </c>
      <c r="GZ16" s="140">
        <f>SMK!$I$9</f>
        <v>0</v>
      </c>
      <c r="HA16" s="140">
        <f>SMK!$I$10</f>
        <v>0</v>
      </c>
      <c r="HB16" s="130"/>
      <c r="HC16" s="130"/>
      <c r="HD16" s="130"/>
      <c r="HE16" s="130"/>
      <c r="HF16" s="130"/>
      <c r="HG16" s="130"/>
      <c r="HH16" s="130"/>
      <c r="HI16" s="130"/>
      <c r="HJ16" s="130"/>
      <c r="HK16" s="130"/>
      <c r="HL16" s="130"/>
      <c r="HM16" s="130"/>
      <c r="HN16" s="130"/>
      <c r="HO16" s="130"/>
      <c r="HP16" s="130"/>
      <c r="HQ16" s="130"/>
      <c r="HR16" s="130"/>
      <c r="HS16" s="130"/>
      <c r="HT16" s="130"/>
      <c r="HU16" s="130"/>
      <c r="HV16" s="130"/>
      <c r="HW16" s="130"/>
      <c r="HX16" s="130"/>
      <c r="HY16" s="130"/>
      <c r="HZ16" s="130"/>
      <c r="IA16" s="130"/>
      <c r="IB16" s="130"/>
      <c r="IC16" s="130"/>
      <c r="ID16" s="130"/>
      <c r="IE16" s="130"/>
      <c r="IF16" s="130"/>
      <c r="IG16" s="130"/>
      <c r="IH16" s="130"/>
      <c r="II16" s="130"/>
      <c r="IJ16" s="130"/>
      <c r="IK16" s="130"/>
      <c r="IL16" s="130"/>
      <c r="IM16" s="130"/>
      <c r="IN16" s="130"/>
      <c r="IO16" s="130"/>
      <c r="IP16" s="130"/>
      <c r="IQ16" s="130"/>
      <c r="IR16" s="130"/>
      <c r="IS16" s="130"/>
      <c r="IT16" s="130"/>
      <c r="IU16" s="130"/>
      <c r="IV16" s="130"/>
      <c r="IW16" s="130"/>
      <c r="IX16" s="130"/>
      <c r="IY16" s="130"/>
      <c r="IZ16" s="130"/>
      <c r="JA16" s="130"/>
      <c r="JB16" s="130"/>
      <c r="JC16" s="130"/>
      <c r="JD16" s="130"/>
      <c r="JE16" s="130"/>
      <c r="JF16" s="130"/>
      <c r="JG16" s="130"/>
      <c r="JH16" s="130"/>
      <c r="JI16" s="130"/>
      <c r="JJ16" s="130"/>
      <c r="JK16" s="130"/>
      <c r="JL16" s="130"/>
      <c r="JM16" s="130"/>
      <c r="JN16" s="130"/>
      <c r="JO16" s="130"/>
      <c r="JP16" s="130"/>
      <c r="JQ16" s="130"/>
      <c r="JR16" s="130"/>
      <c r="JS16" s="130"/>
      <c r="JT16" s="130"/>
      <c r="JU16" s="130"/>
      <c r="JV16" s="130"/>
      <c r="JW16" s="130"/>
      <c r="JX16" s="130"/>
      <c r="JY16" s="130"/>
      <c r="JZ16" s="130"/>
      <c r="KA16" s="130"/>
      <c r="KB16" s="130"/>
      <c r="KC16" s="130"/>
      <c r="KD16" s="130"/>
      <c r="KE16" s="130"/>
      <c r="KF16" s="130"/>
      <c r="KG16" s="130"/>
      <c r="KH16" s="130"/>
      <c r="KI16" s="130"/>
      <c r="KJ16" s="130"/>
      <c r="KK16" s="130"/>
      <c r="KL16" s="130"/>
      <c r="KM16" s="130"/>
      <c r="KN16" s="130"/>
      <c r="KO16" s="130"/>
      <c r="KP16" s="130"/>
      <c r="KQ16" s="130"/>
      <c r="KR16" s="130"/>
      <c r="KS16" s="130"/>
      <c r="KT16" s="130"/>
      <c r="KU16" s="130"/>
      <c r="KV16" s="130"/>
      <c r="KW16" s="130"/>
      <c r="KX16" s="130"/>
      <c r="KY16" s="130"/>
      <c r="KZ16" s="130"/>
      <c r="LA16" s="130"/>
      <c r="LB16" s="130"/>
      <c r="LC16" s="130"/>
      <c r="LD16" s="130"/>
      <c r="LE16" s="130"/>
      <c r="LF16" s="130"/>
      <c r="LG16" s="130"/>
      <c r="LH16" s="130"/>
      <c r="LI16" s="130"/>
      <c r="LJ16" s="130"/>
      <c r="LK16" s="130"/>
      <c r="LL16" s="130"/>
      <c r="LM16" s="130"/>
      <c r="LN16" s="130"/>
      <c r="LO16" s="130"/>
      <c r="LP16" s="130"/>
      <c r="LQ16" s="130"/>
      <c r="LR16" s="130"/>
      <c r="LS16" s="130"/>
      <c r="LT16" s="130"/>
      <c r="LU16" s="130"/>
      <c r="LV16" s="130"/>
      <c r="LW16" s="130"/>
      <c r="LX16" s="130"/>
      <c r="LY16" s="130"/>
      <c r="LZ16" s="130"/>
      <c r="MA16" s="130"/>
      <c r="MB16" s="130"/>
      <c r="MC16" s="130"/>
      <c r="MD16" s="130"/>
      <c r="ME16" s="130"/>
      <c r="MF16" s="130"/>
      <c r="MG16" s="130"/>
      <c r="MH16" s="130"/>
      <c r="MI16" s="130"/>
      <c r="MJ16" s="130"/>
      <c r="MK16" s="130"/>
      <c r="ML16" s="130"/>
      <c r="MM16" s="130"/>
      <c r="MN16" s="130"/>
      <c r="MO16" s="130"/>
      <c r="MP16" s="130"/>
      <c r="MQ16" s="130"/>
      <c r="MR16" s="130"/>
      <c r="MS16" s="130"/>
      <c r="MT16" s="130"/>
      <c r="MU16" s="130"/>
      <c r="MV16" s="130"/>
      <c r="MW16" s="130"/>
      <c r="MX16" s="130"/>
      <c r="MY16" s="130"/>
      <c r="MZ16" s="130"/>
      <c r="NA16" s="130"/>
      <c r="NB16" s="130"/>
      <c r="NC16" s="130"/>
      <c r="ND16" s="130"/>
      <c r="NE16" s="130"/>
      <c r="NF16" s="130"/>
      <c r="NG16" s="130"/>
      <c r="NH16" s="130"/>
      <c r="NI16" s="130"/>
      <c r="NJ16" s="130"/>
      <c r="NK16" s="130"/>
      <c r="NL16" s="130"/>
      <c r="NM16" s="130"/>
      <c r="NN16" s="130"/>
      <c r="NO16" s="130"/>
      <c r="NP16" s="130"/>
      <c r="NQ16" s="130"/>
      <c r="NR16" s="130"/>
      <c r="NS16" s="130"/>
      <c r="NT16" s="130"/>
      <c r="NU16" s="130"/>
      <c r="NV16" s="130"/>
      <c r="NW16" s="130"/>
      <c r="NX16" s="130"/>
      <c r="NY16" s="130"/>
      <c r="NZ16" s="130"/>
      <c r="OA16" s="130"/>
      <c r="OB16" s="130"/>
      <c r="OC16" s="130"/>
      <c r="OD16" s="130"/>
      <c r="OE16" s="130"/>
      <c r="OF16" s="130"/>
      <c r="OG16" s="130"/>
      <c r="OH16" s="130"/>
      <c r="OI16" s="130"/>
      <c r="OJ16" s="130"/>
      <c r="OK16" s="130"/>
      <c r="OL16" s="130"/>
      <c r="OM16" s="130"/>
      <c r="ON16" s="130"/>
      <c r="OO16" s="130"/>
      <c r="OP16" s="130"/>
      <c r="OQ16" s="130"/>
      <c r="OR16" s="130"/>
      <c r="OS16" s="130"/>
      <c r="OT16" s="130"/>
      <c r="OU16" s="130"/>
      <c r="OV16" s="130"/>
      <c r="OW16" s="130"/>
      <c r="OX16" s="130"/>
      <c r="OY16" s="130"/>
      <c r="OZ16" s="130"/>
      <c r="PA16" s="130"/>
      <c r="PB16" s="130"/>
      <c r="PC16" s="130"/>
      <c r="PD16" s="130"/>
      <c r="PE16" s="130"/>
      <c r="PF16" s="130"/>
      <c r="PG16" s="130"/>
      <c r="PH16" s="130"/>
      <c r="PI16" s="130"/>
      <c r="PJ16" s="130"/>
      <c r="PK16" s="130"/>
      <c r="PL16" s="130"/>
      <c r="PM16" s="130"/>
      <c r="PN16" s="130"/>
      <c r="PO16" s="130"/>
      <c r="PP16" s="130"/>
      <c r="PQ16" s="130"/>
      <c r="PR16" s="130"/>
      <c r="PS16" s="130"/>
      <c r="PT16" s="130"/>
      <c r="PU16" s="130"/>
      <c r="PV16" s="130"/>
      <c r="PW16" s="130"/>
      <c r="PX16" s="130"/>
      <c r="PY16" s="130"/>
      <c r="PZ16" s="130"/>
      <c r="QA16" s="130"/>
      <c r="QB16" s="130"/>
      <c r="QC16" s="130"/>
      <c r="QD16" s="130"/>
      <c r="QE16" s="130"/>
      <c r="QF16" s="130"/>
      <c r="QG16" s="130"/>
      <c r="QH16" s="130"/>
      <c r="QI16" s="130"/>
      <c r="QJ16" s="130"/>
      <c r="QK16" s="130"/>
      <c r="QL16" s="130"/>
      <c r="QM16" s="130"/>
      <c r="QN16" s="130"/>
      <c r="QO16" s="130"/>
      <c r="QP16" s="130"/>
      <c r="QQ16" s="130"/>
      <c r="QR16" s="130"/>
      <c r="QS16" s="130"/>
      <c r="QT16" s="130"/>
      <c r="QU16" s="130"/>
      <c r="QV16" s="130"/>
      <c r="QW16" s="130"/>
      <c r="QX16" s="130"/>
      <c r="QY16" s="130"/>
      <c r="QZ16" s="130"/>
      <c r="RA16" s="130"/>
      <c r="RB16" s="130"/>
      <c r="RC16" s="130"/>
      <c r="RD16" s="130"/>
      <c r="RE16" s="130"/>
      <c r="RF16" s="130"/>
      <c r="RG16" s="130"/>
      <c r="RH16" s="130"/>
      <c r="RI16" s="130"/>
      <c r="RJ16" s="130"/>
      <c r="RK16" s="130"/>
      <c r="RL16" s="130"/>
      <c r="RM16" s="130"/>
      <c r="RN16" s="130"/>
      <c r="RO16" s="130"/>
      <c r="RP16" s="130"/>
      <c r="RQ16" s="130"/>
      <c r="RR16" s="130"/>
      <c r="RS16" s="130"/>
      <c r="RT16" s="130"/>
      <c r="RU16" s="130"/>
      <c r="RV16" s="130"/>
      <c r="RW16" s="130"/>
      <c r="RX16" s="130"/>
      <c r="RY16" s="130"/>
      <c r="RZ16" s="130"/>
      <c r="SA16" s="130"/>
      <c r="SB16" s="130"/>
      <c r="SC16" s="130"/>
      <c r="SD16" s="130"/>
      <c r="SE16" s="130"/>
      <c r="SF16" s="130"/>
      <c r="SG16" s="130"/>
      <c r="SH16" s="130"/>
      <c r="SI16" s="130"/>
      <c r="SJ16" s="130"/>
      <c r="SK16" s="130"/>
      <c r="SL16" s="130"/>
      <c r="SM16" s="130"/>
      <c r="SN16" s="130"/>
      <c r="SO16" s="130"/>
      <c r="SP16" s="130"/>
      <c r="SQ16" s="130"/>
      <c r="SR16" s="130"/>
      <c r="SS16" s="130"/>
      <c r="ST16" s="130"/>
      <c r="SU16" s="130"/>
      <c r="SV16" s="130"/>
      <c r="SW16" s="130"/>
      <c r="SX16" s="130"/>
      <c r="SY16" s="130"/>
      <c r="SZ16" s="130"/>
      <c r="TA16" s="130"/>
      <c r="TB16" s="130"/>
      <c r="TC16" s="130"/>
      <c r="TD16" s="130"/>
      <c r="TE16" s="130"/>
      <c r="TF16" s="130"/>
      <c r="TG16" s="130"/>
      <c r="TH16" s="130"/>
      <c r="TI16" s="130"/>
      <c r="TJ16" s="130"/>
      <c r="TK16" s="130"/>
      <c r="TL16" s="130"/>
      <c r="TM16" s="130"/>
      <c r="TN16" s="130"/>
      <c r="TO16" s="130"/>
      <c r="TP16" s="130"/>
      <c r="TQ16" s="130"/>
      <c r="TR16" s="130"/>
      <c r="TS16" s="130"/>
      <c r="TT16" s="130"/>
      <c r="TU16" s="130"/>
      <c r="TV16" s="130"/>
      <c r="TW16" s="130"/>
      <c r="TX16" s="130"/>
      <c r="TY16" s="130"/>
      <c r="TZ16" s="130"/>
      <c r="UA16" s="130"/>
      <c r="UB16" s="130"/>
      <c r="UC16" s="130"/>
      <c r="UD16" s="130"/>
      <c r="UE16" s="130"/>
      <c r="UF16" s="130"/>
      <c r="UG16" s="130"/>
      <c r="UH16" s="130"/>
      <c r="UI16" s="130"/>
      <c r="UJ16" s="130"/>
      <c r="UK16" s="130"/>
      <c r="UL16" s="130"/>
      <c r="UM16" s="130"/>
      <c r="UN16" s="130"/>
      <c r="UO16" s="130"/>
      <c r="UP16" s="130"/>
      <c r="UQ16" s="130"/>
      <c r="UR16" s="130"/>
      <c r="US16" s="130"/>
      <c r="UT16" s="130"/>
      <c r="UU16" s="130"/>
      <c r="UV16" s="130"/>
      <c r="UW16" s="130"/>
      <c r="UX16" s="130"/>
      <c r="UY16" s="130"/>
      <c r="UZ16" s="130"/>
      <c r="VA16" s="130"/>
      <c r="VB16" s="130"/>
      <c r="VC16" s="130"/>
      <c r="VD16" s="130"/>
      <c r="VE16" s="130"/>
      <c r="VF16" s="130"/>
      <c r="VG16" s="130"/>
      <c r="VH16" s="130"/>
      <c r="VI16" s="130"/>
      <c r="VJ16" s="130"/>
      <c r="VK16" s="130"/>
      <c r="VL16" s="130"/>
      <c r="VM16" s="130"/>
      <c r="VN16" s="130"/>
      <c r="VO16" s="130"/>
      <c r="VP16" s="130"/>
      <c r="VQ16" s="130"/>
      <c r="VR16" s="130"/>
      <c r="VS16" s="130"/>
      <c r="VT16" s="130"/>
      <c r="VU16" s="130"/>
      <c r="VV16" s="130"/>
      <c r="VW16" s="130"/>
      <c r="VX16" s="130"/>
      <c r="VY16" s="130"/>
      <c r="VZ16" s="130"/>
      <c r="WA16" s="130"/>
      <c r="WB16" s="130"/>
      <c r="WC16" s="130"/>
      <c r="WD16" s="130"/>
      <c r="WE16" s="130"/>
      <c r="WF16" s="130"/>
      <c r="WG16" s="130"/>
      <c r="WH16" s="130"/>
      <c r="WI16" s="130"/>
      <c r="WJ16" s="130"/>
      <c r="WK16" s="130"/>
      <c r="WL16" s="130"/>
      <c r="WM16" s="130"/>
      <c r="WN16" s="130"/>
      <c r="WO16" s="130"/>
      <c r="WP16" s="130"/>
      <c r="WQ16" s="130"/>
      <c r="WR16" s="130"/>
      <c r="WS16" s="130"/>
      <c r="WT16" s="130"/>
      <c r="WU16" s="130"/>
      <c r="WV16" s="130"/>
      <c r="WW16" s="130"/>
      <c r="WX16" s="130"/>
      <c r="WY16" s="130"/>
      <c r="WZ16" s="130"/>
      <c r="XA16" s="130"/>
      <c r="XB16" s="130"/>
      <c r="XC16" s="130"/>
      <c r="XD16" s="130"/>
      <c r="XE16" s="130"/>
      <c r="XF16" s="130"/>
      <c r="XG16" s="130"/>
      <c r="XH16" s="130"/>
      <c r="XI16" s="130"/>
      <c r="XJ16" s="130"/>
      <c r="XK16" s="130"/>
      <c r="XL16" s="130"/>
      <c r="XM16" s="130"/>
      <c r="XN16" s="130"/>
      <c r="XO16" s="130"/>
      <c r="XP16" s="130"/>
      <c r="XQ16" s="130"/>
      <c r="XR16" s="130"/>
      <c r="XS16" s="130"/>
      <c r="XT16" s="130"/>
      <c r="XU16" s="130"/>
      <c r="XV16" s="130"/>
      <c r="XW16" s="130"/>
      <c r="XX16" s="130"/>
      <c r="XY16" s="130"/>
      <c r="XZ16" s="130"/>
      <c r="YA16" s="130"/>
      <c r="YB16" s="130"/>
      <c r="YC16" s="130"/>
      <c r="YD16" s="130"/>
      <c r="YE16" s="130"/>
      <c r="YF16" s="130"/>
      <c r="YG16" s="130"/>
      <c r="YH16" s="130"/>
      <c r="YI16" s="130"/>
      <c r="YJ16" s="130"/>
      <c r="YK16" s="130"/>
      <c r="YL16" s="130"/>
      <c r="YM16" s="130"/>
      <c r="YN16" s="130"/>
      <c r="YO16" s="130"/>
      <c r="YP16" s="130"/>
      <c r="YQ16" s="130"/>
      <c r="YR16" s="130"/>
      <c r="YS16" s="130"/>
      <c r="YT16" s="130"/>
      <c r="YU16" s="130"/>
      <c r="YV16" s="130"/>
      <c r="YW16" s="130"/>
      <c r="YX16" s="130"/>
      <c r="YY16" s="130"/>
      <c r="YZ16" s="130"/>
      <c r="ZA16" s="130"/>
      <c r="ZB16" s="130"/>
      <c r="ZC16" s="130"/>
      <c r="ZD16" s="130"/>
      <c r="ZE16" s="130"/>
      <c r="ZF16" s="130"/>
      <c r="ZG16" s="130"/>
      <c r="ZH16" s="130"/>
      <c r="ZI16" s="130"/>
      <c r="ZJ16" s="130"/>
      <c r="ZK16" s="130"/>
      <c r="ZL16" s="130"/>
      <c r="ZM16" s="130"/>
      <c r="ZN16" s="130"/>
      <c r="ZO16" s="130"/>
      <c r="ZP16" s="130"/>
      <c r="ZQ16" s="130"/>
      <c r="ZR16" s="130"/>
      <c r="ZS16" s="130"/>
      <c r="ZT16" s="130"/>
      <c r="ZU16" s="130"/>
      <c r="ZV16" s="130"/>
      <c r="ZW16" s="130"/>
      <c r="ZX16" s="130"/>
      <c r="ZY16" s="130"/>
      <c r="ZZ16" s="130"/>
      <c r="AAA16" s="130"/>
      <c r="AAB16" s="130"/>
      <c r="AAC16" s="130"/>
      <c r="AAD16" s="130"/>
      <c r="AAE16" s="130"/>
      <c r="AAF16" s="130"/>
      <c r="AAG16" s="130"/>
      <c r="AAH16" s="130"/>
      <c r="AAI16" s="130"/>
      <c r="AAJ16" s="130"/>
      <c r="AAK16" s="130"/>
      <c r="AAL16" s="130"/>
      <c r="AAM16" s="130"/>
      <c r="AAN16" s="130"/>
      <c r="AAO16" s="130"/>
      <c r="AAP16" s="130"/>
      <c r="AAQ16" s="130"/>
      <c r="AAR16" s="130"/>
      <c r="AAS16" s="130"/>
      <c r="AAT16" s="130"/>
      <c r="AAU16" s="130"/>
      <c r="AAV16" s="130"/>
      <c r="AAW16" s="130"/>
      <c r="AAX16" s="130"/>
      <c r="AAY16" s="130"/>
      <c r="AAZ16" s="130"/>
      <c r="ABA16" s="130"/>
      <c r="ABB16" s="130"/>
      <c r="ABC16" s="130"/>
      <c r="ABD16" s="130"/>
      <c r="ABE16" s="130"/>
      <c r="ABF16" s="130"/>
      <c r="ABG16" s="130"/>
      <c r="ABH16" s="130"/>
      <c r="ABI16" s="130"/>
      <c r="ABJ16" s="130"/>
      <c r="ABK16" s="130"/>
      <c r="ABL16" s="130"/>
      <c r="ABM16" s="130"/>
      <c r="ABN16" s="130"/>
      <c r="ABO16" s="130"/>
      <c r="ABP16" s="130"/>
      <c r="ABQ16" s="130"/>
      <c r="ABR16" s="130"/>
      <c r="ABS16" s="130"/>
      <c r="ABT16" s="130"/>
      <c r="ABU16" s="130"/>
      <c r="ABV16" s="130"/>
      <c r="ABW16" s="130"/>
      <c r="ABX16" s="130"/>
      <c r="ABY16" s="130"/>
      <c r="ABZ16" s="130"/>
      <c r="ACA16" s="130"/>
      <c r="ACB16" s="130"/>
      <c r="ACC16" s="130"/>
      <c r="ACD16" s="130"/>
      <c r="ACE16" s="130"/>
      <c r="ACF16" s="130"/>
      <c r="ACG16" s="130"/>
      <c r="ACH16" s="130"/>
      <c r="ACI16" s="130"/>
      <c r="ACJ16" s="130"/>
      <c r="ACK16" s="130"/>
      <c r="ACL16" s="130"/>
      <c r="ACM16" s="130"/>
      <c r="ACN16" s="130"/>
      <c r="ACO16" s="130"/>
      <c r="ACP16" s="130"/>
      <c r="ACQ16" s="130"/>
      <c r="ACR16" s="130"/>
      <c r="ACS16" s="130"/>
      <c r="ACT16" s="130"/>
      <c r="ACU16" s="130"/>
      <c r="ACV16" s="130"/>
      <c r="ACW16" s="130"/>
      <c r="ACX16" s="130"/>
      <c r="ACY16" s="130"/>
      <c r="ACZ16" s="130"/>
      <c r="ADA16" s="130"/>
      <c r="ADB16" s="130"/>
      <c r="ADC16" s="130"/>
      <c r="ADD16" s="130"/>
      <c r="ADE16" s="130"/>
      <c r="ADF16" s="130"/>
      <c r="ADG16" s="130"/>
      <c r="ADH16" s="130"/>
      <c r="ADI16" s="130"/>
      <c r="ADJ16" s="130"/>
      <c r="ADK16" s="130"/>
      <c r="ADL16" s="130"/>
      <c r="ADM16" s="130"/>
      <c r="ADN16" s="130"/>
      <c r="ADO16" s="130"/>
      <c r="ADP16" s="130"/>
      <c r="ADQ16" s="130"/>
      <c r="ADR16" s="130"/>
      <c r="ADS16" s="130"/>
      <c r="ADT16" s="130"/>
      <c r="ADU16" s="130"/>
      <c r="ADV16" s="130"/>
      <c r="ADW16" s="130"/>
      <c r="ADX16" s="130"/>
      <c r="ADY16" s="130"/>
      <c r="ADZ16" s="130"/>
      <c r="AEA16" s="130"/>
      <c r="AEB16" s="130"/>
      <c r="AEC16" s="130"/>
      <c r="AED16" s="130"/>
      <c r="AEE16" s="130"/>
      <c r="AEF16" s="130"/>
      <c r="AEG16" s="130"/>
      <c r="AEH16" s="130"/>
      <c r="AEI16" s="130"/>
      <c r="AEJ16" s="130"/>
      <c r="AEK16" s="130"/>
      <c r="AEL16" s="130"/>
      <c r="AEM16" s="130"/>
      <c r="AEN16" s="130"/>
      <c r="AEO16" s="130"/>
      <c r="AEP16" s="130"/>
      <c r="AEQ16" s="130"/>
      <c r="AER16" s="130"/>
      <c r="AES16" s="130"/>
      <c r="AET16" s="130"/>
      <c r="AEU16" s="130"/>
      <c r="AEV16" s="130"/>
      <c r="AEW16" s="130"/>
    </row>
    <row r="17" spans="1:830" ht="22.5" customHeight="1" x14ac:dyDescent="0.25">
      <c r="A17" s="36"/>
      <c r="B17" s="128" t="s">
        <v>406</v>
      </c>
      <c r="C17" s="160">
        <f>REKAP!$J$6</f>
        <v>0</v>
      </c>
      <c r="D17" s="124">
        <f>REKAP!$J$4</f>
        <v>0</v>
      </c>
      <c r="E17" s="159">
        <f>REKAP!$J$5</f>
        <v>0</v>
      </c>
      <c r="F17" s="36"/>
      <c r="G17" s="138" t="s">
        <v>218</v>
      </c>
      <c r="H17" s="4" t="s">
        <v>220</v>
      </c>
      <c r="I17" s="143"/>
      <c r="J17" s="141">
        <f t="shared" si="0"/>
        <v>0</v>
      </c>
      <c r="K17" s="7"/>
      <c r="L17" s="7"/>
      <c r="M17" s="7"/>
      <c r="N17" s="130"/>
      <c r="O17" s="7"/>
      <c r="P17" s="7"/>
      <c r="Q17" s="7"/>
      <c r="R17" s="7"/>
      <c r="S17" s="7"/>
      <c r="T17" s="130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130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130"/>
      <c r="BL17" s="7"/>
      <c r="BM17" s="7"/>
      <c r="BN17" s="7"/>
      <c r="BO17" s="7"/>
      <c r="BP17" s="7"/>
      <c r="BQ17" s="7"/>
      <c r="BR17" s="7"/>
      <c r="BS17" s="7"/>
      <c r="BT17" s="129"/>
      <c r="BU17" s="7"/>
      <c r="BV17" s="7"/>
      <c r="BW17" s="7"/>
      <c r="BX17" s="7"/>
      <c r="BY17" s="7"/>
      <c r="BZ17" s="140"/>
      <c r="CA17" s="140"/>
      <c r="CB17" s="140"/>
      <c r="CC17" s="140"/>
      <c r="CD17" s="130"/>
      <c r="CE17" s="140"/>
      <c r="CF17" s="140"/>
      <c r="CG17" s="140"/>
      <c r="CH17" s="140"/>
      <c r="CI17" s="140"/>
      <c r="CJ17" s="129"/>
      <c r="CK17" s="140"/>
      <c r="CL17" s="140"/>
      <c r="CM17" s="140"/>
      <c r="CN17" s="140"/>
      <c r="CO17" s="140"/>
      <c r="CP17" s="140"/>
      <c r="CQ17" s="140"/>
      <c r="CR17" s="140"/>
      <c r="CS17" s="140"/>
      <c r="CT17" s="140"/>
      <c r="CU17" s="140"/>
      <c r="CV17" s="140"/>
      <c r="CW17" s="140"/>
      <c r="CX17" s="140"/>
      <c r="CY17" s="140"/>
      <c r="CZ17" s="140"/>
      <c r="DA17" s="140"/>
      <c r="DB17" s="140"/>
      <c r="DC17" s="140"/>
      <c r="DD17" s="140"/>
      <c r="DE17" s="140"/>
      <c r="DF17" s="140"/>
      <c r="DG17" s="140"/>
      <c r="DH17" s="140"/>
      <c r="DI17" s="140"/>
      <c r="DJ17" s="140"/>
      <c r="DK17" s="140"/>
      <c r="DL17" s="140"/>
      <c r="DM17" s="140"/>
      <c r="DN17" s="140"/>
      <c r="DO17" s="140"/>
      <c r="DP17" s="140"/>
      <c r="DQ17" s="140"/>
      <c r="DR17" s="140"/>
      <c r="DS17" s="140"/>
      <c r="DT17" s="140"/>
      <c r="DU17" s="140"/>
      <c r="DV17" s="140"/>
      <c r="DW17" s="140"/>
      <c r="DX17" s="140"/>
      <c r="DY17" s="140"/>
      <c r="DZ17" s="140"/>
      <c r="EA17" s="140"/>
      <c r="EB17" s="140"/>
      <c r="EC17" s="140"/>
      <c r="ED17" s="140"/>
      <c r="EE17" s="140"/>
      <c r="EF17" s="140"/>
      <c r="EG17" s="140"/>
      <c r="EH17" s="140"/>
      <c r="EI17" s="140"/>
      <c r="EJ17" s="140"/>
      <c r="EK17" s="140"/>
      <c r="EL17" s="140"/>
      <c r="EM17" s="140"/>
      <c r="EN17" s="140"/>
      <c r="EO17" s="140"/>
      <c r="EP17" s="140"/>
      <c r="EQ17" s="140"/>
      <c r="ER17" s="140"/>
      <c r="ES17" s="140"/>
      <c r="ET17" s="140"/>
      <c r="EU17" s="140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130"/>
      <c r="GI17" s="130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140"/>
      <c r="GX17" s="7"/>
      <c r="GY17" s="7"/>
      <c r="GZ17" s="7"/>
      <c r="HA17" s="7"/>
      <c r="HB17" s="140">
        <f>MADRASAH!$G$6</f>
        <v>0</v>
      </c>
      <c r="HC17" s="140">
        <f>MADRASAH!$G$7</f>
        <v>0</v>
      </c>
      <c r="HD17" s="140">
        <f>MADRASAH!$G$8</f>
        <v>0</v>
      </c>
      <c r="HE17" s="140">
        <f>MADRASAH!$G$9</f>
        <v>0</v>
      </c>
      <c r="HF17" s="140">
        <f>MADRASAH!$G$10</f>
        <v>0</v>
      </c>
      <c r="HG17" s="140">
        <f>MADRASAH!$G$11</f>
        <v>0</v>
      </c>
      <c r="HH17" s="140">
        <f>MADRASAH!$G$12</f>
        <v>0</v>
      </c>
      <c r="HI17" s="140">
        <f>MADRASAH!$G$13</f>
        <v>0</v>
      </c>
      <c r="HJ17" s="140">
        <f>MADRASAH!$G$14</f>
        <v>0</v>
      </c>
      <c r="HK17" s="140">
        <f>MADRASAH!$G$15</f>
        <v>0</v>
      </c>
      <c r="HL17" s="140">
        <f>MADRASAH!$G$16</f>
        <v>0</v>
      </c>
      <c r="HM17" s="140">
        <f>MADRASAH!$G$17</f>
        <v>0</v>
      </c>
      <c r="HN17" s="140">
        <f>MADRASAH!$G$18</f>
        <v>0</v>
      </c>
      <c r="HO17" s="140">
        <f>MADRASAH!$G$19</f>
        <v>0</v>
      </c>
      <c r="HP17" s="140">
        <f>MADRASAH!$G$20</f>
        <v>0</v>
      </c>
      <c r="HQ17" s="140">
        <f>MADRASAH!$G$21</f>
        <v>0</v>
      </c>
      <c r="HR17" s="140">
        <f>MADRASAH!$G$22</f>
        <v>0</v>
      </c>
      <c r="HS17" s="140">
        <f>MADRASAH!$G$23</f>
        <v>0</v>
      </c>
      <c r="HT17" s="140">
        <f>MADRASAH!$G$24</f>
        <v>0</v>
      </c>
      <c r="HU17" s="140">
        <f>MADRASAH!$G$25</f>
        <v>0</v>
      </c>
      <c r="HV17" s="140">
        <f>MADRASAH!$G$26</f>
        <v>0</v>
      </c>
      <c r="HW17" s="140">
        <f>MADRASAH!$G$27</f>
        <v>0</v>
      </c>
      <c r="HX17" s="140">
        <f>MADRASAH!$G$28</f>
        <v>0</v>
      </c>
      <c r="HY17" s="140">
        <f>MADRASAH!$G$29</f>
        <v>0</v>
      </c>
      <c r="HZ17" s="140">
        <f>MADRASAH!$G$30</f>
        <v>0</v>
      </c>
      <c r="IA17" s="140">
        <f>MADRASAH!$G$31</f>
        <v>0</v>
      </c>
      <c r="IB17" s="140">
        <f>MADRASAH!$G$32</f>
        <v>0</v>
      </c>
      <c r="IC17" s="140">
        <f>MADRASAH!$G$33</f>
        <v>0</v>
      </c>
      <c r="ID17" s="140">
        <f>MADRASAH!$G$34</f>
        <v>0</v>
      </c>
      <c r="IE17" s="140">
        <f>MADRASAH!$G$35</f>
        <v>0</v>
      </c>
      <c r="IF17" s="140">
        <f>MADRASAH!$G$36</f>
        <v>0</v>
      </c>
      <c r="IG17" s="140">
        <f>MADRASAH!$G$37</f>
        <v>0</v>
      </c>
      <c r="IH17" s="140">
        <f>MADRASAH!$G$38</f>
        <v>0</v>
      </c>
      <c r="II17" s="140">
        <f>MADRASAH!$G$39</f>
        <v>0</v>
      </c>
      <c r="IJ17" s="140">
        <f>MADRASAH!$G$40</f>
        <v>0</v>
      </c>
      <c r="IK17" s="140">
        <f>MADRASAH!$G$41</f>
        <v>0</v>
      </c>
      <c r="IL17" s="140">
        <f>MADRASAH!$G$42</f>
        <v>0</v>
      </c>
      <c r="IM17" s="140">
        <f>MADRASAH!$G$43</f>
        <v>0</v>
      </c>
      <c r="IN17" s="140">
        <f>MADRASAH!$G$44</f>
        <v>0</v>
      </c>
      <c r="IO17" s="140">
        <f>MADRASAH!$G$45</f>
        <v>0</v>
      </c>
      <c r="IP17" s="140">
        <f>MADRASAH!$G$46</f>
        <v>0</v>
      </c>
      <c r="IQ17" s="140">
        <f>MADRASAH!$G$47</f>
        <v>0</v>
      </c>
      <c r="IR17" s="140">
        <f>MADRASAH!$G$48</f>
        <v>0</v>
      </c>
      <c r="IS17" s="140">
        <f>MADRASAH!$G$49</f>
        <v>0</v>
      </c>
      <c r="IT17" s="140">
        <f>MADRASAH!$G$50</f>
        <v>0</v>
      </c>
      <c r="IU17" s="140">
        <f>MADRASAH!$G$51</f>
        <v>0</v>
      </c>
      <c r="IV17" s="140">
        <f>MADRASAH!$G$52</f>
        <v>0</v>
      </c>
      <c r="IW17" s="140">
        <f>MADRASAH!$G$53</f>
        <v>0</v>
      </c>
      <c r="IX17" s="140">
        <f>MADRASAH!$G$54</f>
        <v>0</v>
      </c>
      <c r="IY17" s="140">
        <f>MADRASAH!$G$55</f>
        <v>0</v>
      </c>
      <c r="IZ17" s="140">
        <f>MADRASAH!$G$56</f>
        <v>0</v>
      </c>
      <c r="JA17" s="140">
        <f>MADRASAH!$G$57</f>
        <v>0</v>
      </c>
      <c r="JB17" s="140">
        <f>MADRASAH!$G$58</f>
        <v>0</v>
      </c>
      <c r="JC17" s="140">
        <f>MADRASAH!$G$59</f>
        <v>0</v>
      </c>
      <c r="JD17" s="140">
        <f>MADRASAH!$G$60</f>
        <v>0</v>
      </c>
      <c r="JE17" s="140">
        <f>MADRASAH!$G$61</f>
        <v>0</v>
      </c>
      <c r="JF17" s="140">
        <f>MADRASAH!$G$62</f>
        <v>0</v>
      </c>
      <c r="JG17" s="140">
        <f>MADRASAH!$G$63</f>
        <v>0</v>
      </c>
      <c r="JH17" s="140">
        <f>MADRASAH!$G$64</f>
        <v>0</v>
      </c>
      <c r="JI17" s="140">
        <f>MADRASAH!$G$65</f>
        <v>0</v>
      </c>
      <c r="JJ17" s="140">
        <f>MADRASAH!$G$66</f>
        <v>0</v>
      </c>
      <c r="JK17" s="140">
        <f>MADRASAH!$G$67</f>
        <v>0</v>
      </c>
      <c r="JL17" s="140">
        <f>MADRASAH!$G$68</f>
        <v>0</v>
      </c>
      <c r="JM17" s="140">
        <f>MADRASAH!$G$69</f>
        <v>0</v>
      </c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/>
      <c r="LT17" s="7"/>
      <c r="LU17" s="7"/>
      <c r="LV17" s="7"/>
      <c r="LW17" s="7"/>
      <c r="LX17" s="7"/>
      <c r="LY17" s="7"/>
      <c r="LZ17" s="7"/>
      <c r="MA17" s="7"/>
      <c r="MB17" s="7"/>
      <c r="MC17" s="7"/>
      <c r="MD17" s="7"/>
      <c r="ME17" s="7"/>
      <c r="MF17" s="7"/>
      <c r="MG17" s="7"/>
      <c r="MH17" s="7"/>
      <c r="MI17" s="7"/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/>
      <c r="NJ17" s="7"/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/>
      <c r="OQ17" s="7"/>
      <c r="OR17" s="7"/>
      <c r="OS17" s="7"/>
      <c r="OT17" s="7"/>
      <c r="OU17" s="7"/>
      <c r="OV17" s="7"/>
      <c r="OW17" s="7"/>
      <c r="OX17" s="7"/>
      <c r="OY17" s="7"/>
      <c r="OZ17" s="7"/>
      <c r="PA17" s="7"/>
      <c r="PB17" s="36"/>
      <c r="PC17" s="7"/>
      <c r="PD17" s="7"/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/>
      <c r="PP17" s="7"/>
      <c r="PQ17" s="7"/>
      <c r="PR17" s="7"/>
      <c r="PS17" s="7"/>
      <c r="PT17" s="7"/>
      <c r="PU17" s="7"/>
      <c r="PV17" s="7"/>
      <c r="PW17" s="7"/>
      <c r="PX17" s="7"/>
      <c r="PY17" s="7"/>
      <c r="PZ17" s="7"/>
      <c r="QA17" s="7"/>
      <c r="QB17" s="7"/>
      <c r="QC17" s="7"/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/>
      <c r="QO17" s="7"/>
      <c r="QP17" s="7"/>
      <c r="QQ17" s="7"/>
      <c r="QR17" s="7"/>
      <c r="QS17" s="7"/>
      <c r="QT17" s="7"/>
      <c r="QU17" s="7"/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/>
      <c r="RL17" s="7"/>
      <c r="RM17" s="7"/>
      <c r="RN17" s="7"/>
      <c r="RO17" s="36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36"/>
      <c r="SC17" s="7"/>
      <c r="SD17" s="7"/>
      <c r="SE17" s="7"/>
      <c r="SF17" s="7"/>
      <c r="SG17" s="7"/>
      <c r="SH17" s="7"/>
      <c r="SI17" s="7"/>
      <c r="SJ17" s="7"/>
      <c r="SK17" s="7"/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/>
      <c r="SX17" s="7"/>
      <c r="SY17" s="7"/>
      <c r="SZ17" s="7"/>
      <c r="TA17" s="7"/>
      <c r="TB17" s="7"/>
      <c r="TC17" s="7"/>
      <c r="TD17" s="36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7"/>
      <c r="YG17" s="7"/>
      <c r="YH17" s="7"/>
      <c r="YI17" s="7"/>
      <c r="YJ17" s="7"/>
      <c r="YK17" s="7"/>
      <c r="YL17" s="7"/>
      <c r="YM17" s="7"/>
      <c r="YN17" s="7"/>
      <c r="YO17" s="7"/>
      <c r="YP17" s="7"/>
      <c r="YQ17" s="7"/>
      <c r="YR17" s="7"/>
      <c r="YS17" s="7"/>
      <c r="YT17" s="7"/>
      <c r="YU17" s="7"/>
      <c r="YV17" s="7"/>
      <c r="YW17" s="7"/>
      <c r="YX17" s="7"/>
      <c r="YY17" s="7"/>
      <c r="YZ17" s="7"/>
      <c r="ZA17" s="7"/>
      <c r="ZB17" s="7"/>
      <c r="ZC17" s="7"/>
      <c r="ZD17" s="7"/>
      <c r="ZE17" s="7"/>
      <c r="ZF17" s="7"/>
      <c r="ZG17" s="7"/>
      <c r="ZH17" s="7"/>
      <c r="ZI17" s="7"/>
      <c r="ZJ17" s="7"/>
      <c r="ZK17" s="7"/>
      <c r="ZL17" s="7"/>
      <c r="ZM17" s="7"/>
      <c r="ZN17" s="7"/>
      <c r="ZO17" s="7"/>
      <c r="ZP17" s="7"/>
      <c r="ZQ17" s="7"/>
      <c r="ZR17" s="7"/>
      <c r="ZS17" s="7"/>
      <c r="ZT17" s="7"/>
      <c r="ZU17" s="7"/>
      <c r="ZV17" s="4"/>
      <c r="ZW17" s="7"/>
      <c r="ZX17" s="7"/>
      <c r="ZY17" s="7"/>
      <c r="ZZ17" s="7"/>
      <c r="AAA17" s="7"/>
      <c r="AAB17" s="7"/>
      <c r="AAC17" s="7"/>
      <c r="AAD17" s="7"/>
      <c r="AAE17" s="7"/>
      <c r="AAF17" s="36"/>
      <c r="AAG17" s="7"/>
      <c r="AAH17" s="7"/>
      <c r="AAI17" s="7"/>
      <c r="AAJ17" s="7"/>
      <c r="AAK17" s="7"/>
      <c r="AAL17" s="7"/>
      <c r="AAM17" s="7"/>
      <c r="AAN17" s="7"/>
      <c r="AAO17" s="7"/>
      <c r="AAP17" s="7"/>
      <c r="AAQ17" s="7"/>
      <c r="AAR17" s="7"/>
      <c r="AAS17" s="7"/>
      <c r="AAT17" s="7"/>
      <c r="AAU17" s="7"/>
      <c r="AAV17" s="7"/>
      <c r="AAW17" s="7"/>
      <c r="AAX17" s="7"/>
      <c r="AAY17" s="7"/>
      <c r="AAZ17" s="4"/>
      <c r="ABA17" s="7"/>
      <c r="ABB17" s="7"/>
      <c r="ABC17" s="7"/>
      <c r="ABD17" s="7"/>
      <c r="ABE17" s="7"/>
      <c r="ABF17" s="7"/>
      <c r="ABG17" s="7"/>
      <c r="ABH17" s="7"/>
      <c r="ABI17" s="7"/>
      <c r="ABJ17" s="7"/>
      <c r="ABK17" s="7"/>
      <c r="ABL17" s="7"/>
      <c r="ABM17" s="7"/>
      <c r="ABN17" s="7"/>
      <c r="ABO17" s="7"/>
      <c r="ABP17" s="7"/>
      <c r="ABQ17" s="7"/>
      <c r="ABR17" s="7"/>
      <c r="ABS17" s="7"/>
      <c r="ABT17" s="7"/>
      <c r="ABU17" s="7"/>
      <c r="ABV17" s="7"/>
      <c r="ABW17" s="7"/>
      <c r="ABX17" s="7"/>
      <c r="ABY17" s="7"/>
      <c r="ABZ17" s="7"/>
      <c r="ACA17" s="7"/>
      <c r="ACB17" s="7"/>
      <c r="ACC17" s="7"/>
      <c r="ACD17" s="7"/>
      <c r="ACE17" s="7"/>
      <c r="ACF17" s="7"/>
      <c r="ACG17" s="7"/>
      <c r="ACH17" s="7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144" t="s">
        <v>221</v>
      </c>
    </row>
    <row r="18" spans="1:830" ht="22.5" customHeight="1" x14ac:dyDescent="0.25">
      <c r="A18" s="36"/>
      <c r="B18" s="128" t="s">
        <v>413</v>
      </c>
      <c r="C18" s="160">
        <f>REKAP!$J$6</f>
        <v>0</v>
      </c>
      <c r="D18" s="124">
        <f>REKAP!$J$4</f>
        <v>0</v>
      </c>
      <c r="E18" s="159">
        <f>REKAP!$J$5</f>
        <v>0</v>
      </c>
      <c r="F18" s="36"/>
      <c r="G18" s="138" t="s">
        <v>219</v>
      </c>
      <c r="H18" s="4" t="s">
        <v>193</v>
      </c>
      <c r="I18" s="143"/>
      <c r="J18" s="141">
        <f t="shared" si="0"/>
        <v>0</v>
      </c>
      <c r="K18" s="7"/>
      <c r="L18" s="7"/>
      <c r="M18" s="7"/>
      <c r="N18" s="130">
        <f>ROUND(N58,0)</f>
        <v>0</v>
      </c>
      <c r="O18" s="130">
        <f t="shared" ref="O18:BZ18" si="54">ROUND(O58,0)</f>
        <v>0</v>
      </c>
      <c r="P18" s="130">
        <f t="shared" si="54"/>
        <v>0</v>
      </c>
      <c r="Q18" s="130">
        <f t="shared" si="54"/>
        <v>0</v>
      </c>
      <c r="R18" s="130">
        <f t="shared" si="54"/>
        <v>0</v>
      </c>
      <c r="S18" s="130">
        <f t="shared" si="54"/>
        <v>0</v>
      </c>
      <c r="T18" s="130">
        <f t="shared" si="54"/>
        <v>0</v>
      </c>
      <c r="U18" s="130">
        <f t="shared" si="54"/>
        <v>0</v>
      </c>
      <c r="V18" s="130">
        <f t="shared" si="54"/>
        <v>0</v>
      </c>
      <c r="W18" s="130">
        <f t="shared" si="54"/>
        <v>0</v>
      </c>
      <c r="X18" s="130">
        <f t="shared" si="54"/>
        <v>0</v>
      </c>
      <c r="Y18" s="130">
        <f t="shared" si="54"/>
        <v>0</v>
      </c>
      <c r="Z18" s="130">
        <f t="shared" si="54"/>
        <v>0</v>
      </c>
      <c r="AA18" s="130">
        <f t="shared" si="54"/>
        <v>0</v>
      </c>
      <c r="AB18" s="130">
        <f t="shared" si="54"/>
        <v>0</v>
      </c>
      <c r="AC18" s="130">
        <f t="shared" si="54"/>
        <v>0</v>
      </c>
      <c r="AD18" s="130">
        <f t="shared" si="54"/>
        <v>0</v>
      </c>
      <c r="AE18" s="130">
        <f t="shared" si="54"/>
        <v>0</v>
      </c>
      <c r="AF18" s="130">
        <f t="shared" si="54"/>
        <v>0</v>
      </c>
      <c r="AG18" s="130">
        <f t="shared" si="54"/>
        <v>0</v>
      </c>
      <c r="AH18" s="130">
        <f t="shared" si="54"/>
        <v>0</v>
      </c>
      <c r="AI18" s="130">
        <f t="shared" si="54"/>
        <v>0</v>
      </c>
      <c r="AJ18" s="130">
        <f t="shared" si="54"/>
        <v>0</v>
      </c>
      <c r="AK18" s="130">
        <f t="shared" si="54"/>
        <v>0</v>
      </c>
      <c r="AL18" s="130">
        <f t="shared" si="54"/>
        <v>0</v>
      </c>
      <c r="AM18" s="130">
        <f t="shared" si="54"/>
        <v>0</v>
      </c>
      <c r="AN18" s="130">
        <f t="shared" si="54"/>
        <v>0</v>
      </c>
      <c r="AO18" s="130">
        <f t="shared" si="54"/>
        <v>0</v>
      </c>
      <c r="AP18" s="130">
        <f t="shared" si="54"/>
        <v>0</v>
      </c>
      <c r="AQ18" s="130">
        <f t="shared" si="54"/>
        <v>0</v>
      </c>
      <c r="AR18" s="130">
        <f t="shared" si="54"/>
        <v>0</v>
      </c>
      <c r="AS18" s="130">
        <f t="shared" si="54"/>
        <v>0</v>
      </c>
      <c r="AT18" s="130">
        <f t="shared" si="54"/>
        <v>0</v>
      </c>
      <c r="AU18" s="130">
        <f t="shared" si="54"/>
        <v>0</v>
      </c>
      <c r="AV18" s="130">
        <f t="shared" si="54"/>
        <v>0</v>
      </c>
      <c r="AW18" s="130">
        <f t="shared" si="54"/>
        <v>0</v>
      </c>
      <c r="AX18" s="130">
        <f t="shared" si="54"/>
        <v>0</v>
      </c>
      <c r="AY18" s="130">
        <f t="shared" si="54"/>
        <v>0</v>
      </c>
      <c r="AZ18" s="130">
        <f t="shared" si="54"/>
        <v>0</v>
      </c>
      <c r="BA18" s="130">
        <f t="shared" si="54"/>
        <v>0</v>
      </c>
      <c r="BB18" s="130">
        <f t="shared" si="54"/>
        <v>0</v>
      </c>
      <c r="BC18" s="130">
        <f t="shared" si="54"/>
        <v>0</v>
      </c>
      <c r="BD18" s="130">
        <f t="shared" si="54"/>
        <v>0</v>
      </c>
      <c r="BE18" s="130">
        <f t="shared" si="54"/>
        <v>0</v>
      </c>
      <c r="BF18" s="130">
        <f t="shared" si="54"/>
        <v>0</v>
      </c>
      <c r="BG18" s="130">
        <f t="shared" si="54"/>
        <v>0</v>
      </c>
      <c r="BH18" s="130">
        <f t="shared" si="54"/>
        <v>0</v>
      </c>
      <c r="BI18" s="130">
        <f t="shared" si="54"/>
        <v>0</v>
      </c>
      <c r="BJ18" s="130">
        <f t="shared" si="54"/>
        <v>0</v>
      </c>
      <c r="BK18" s="130">
        <f t="shared" si="54"/>
        <v>0</v>
      </c>
      <c r="BL18" s="130">
        <f t="shared" si="54"/>
        <v>0</v>
      </c>
      <c r="BM18" s="130">
        <f t="shared" si="54"/>
        <v>0</v>
      </c>
      <c r="BN18" s="130">
        <f t="shared" si="54"/>
        <v>0</v>
      </c>
      <c r="BO18" s="130">
        <f t="shared" si="54"/>
        <v>0</v>
      </c>
      <c r="BP18" s="130">
        <f t="shared" si="54"/>
        <v>0</v>
      </c>
      <c r="BQ18" s="130">
        <f t="shared" si="54"/>
        <v>0</v>
      </c>
      <c r="BR18" s="130">
        <f t="shared" si="54"/>
        <v>0</v>
      </c>
      <c r="BS18" s="130">
        <f t="shared" si="54"/>
        <v>0</v>
      </c>
      <c r="BT18" s="130">
        <f t="shared" si="54"/>
        <v>0</v>
      </c>
      <c r="BU18" s="130">
        <f t="shared" si="54"/>
        <v>0</v>
      </c>
      <c r="BV18" s="130">
        <f t="shared" si="54"/>
        <v>0</v>
      </c>
      <c r="BW18" s="130">
        <f t="shared" si="54"/>
        <v>0</v>
      </c>
      <c r="BX18" s="130">
        <f t="shared" si="54"/>
        <v>0</v>
      </c>
      <c r="BY18" s="130">
        <f t="shared" si="54"/>
        <v>0</v>
      </c>
      <c r="BZ18" s="130">
        <f t="shared" si="54"/>
        <v>0</v>
      </c>
      <c r="CA18" s="130">
        <f t="shared" ref="CA18:EL18" si="55">ROUND(CA58,0)</f>
        <v>0</v>
      </c>
      <c r="CB18" s="130">
        <f t="shared" si="55"/>
        <v>0</v>
      </c>
      <c r="CC18" s="130">
        <f t="shared" si="55"/>
        <v>0</v>
      </c>
      <c r="CD18" s="130">
        <f t="shared" si="55"/>
        <v>0</v>
      </c>
      <c r="CE18" s="130">
        <f t="shared" si="55"/>
        <v>0</v>
      </c>
      <c r="CF18" s="130">
        <f t="shared" si="55"/>
        <v>0</v>
      </c>
      <c r="CG18" s="130">
        <f t="shared" si="55"/>
        <v>0</v>
      </c>
      <c r="CH18" s="130">
        <f t="shared" si="55"/>
        <v>0</v>
      </c>
      <c r="CI18" s="130">
        <f t="shared" si="55"/>
        <v>0</v>
      </c>
      <c r="CJ18" s="130">
        <f t="shared" si="55"/>
        <v>0</v>
      </c>
      <c r="CK18" s="130">
        <f t="shared" si="55"/>
        <v>0</v>
      </c>
      <c r="CL18" s="130">
        <f t="shared" si="55"/>
        <v>0</v>
      </c>
      <c r="CM18" s="130">
        <f t="shared" si="55"/>
        <v>0</v>
      </c>
      <c r="CN18" s="130">
        <f t="shared" si="55"/>
        <v>0</v>
      </c>
      <c r="CO18" s="130">
        <f t="shared" si="55"/>
        <v>0</v>
      </c>
      <c r="CP18" s="130">
        <f t="shared" si="55"/>
        <v>0</v>
      </c>
      <c r="CQ18" s="130">
        <f t="shared" si="55"/>
        <v>0</v>
      </c>
      <c r="CR18" s="130">
        <f t="shared" si="55"/>
        <v>0</v>
      </c>
      <c r="CS18" s="130">
        <f t="shared" si="55"/>
        <v>0</v>
      </c>
      <c r="CT18" s="130">
        <f t="shared" si="55"/>
        <v>0</v>
      </c>
      <c r="CU18" s="130">
        <f t="shared" si="55"/>
        <v>0</v>
      </c>
      <c r="CV18" s="130">
        <f t="shared" si="55"/>
        <v>0</v>
      </c>
      <c r="CW18" s="130">
        <f t="shared" si="55"/>
        <v>0</v>
      </c>
      <c r="CX18" s="130">
        <f t="shared" si="55"/>
        <v>0</v>
      </c>
      <c r="CY18" s="130">
        <f t="shared" si="55"/>
        <v>0</v>
      </c>
      <c r="CZ18" s="130">
        <f t="shared" si="55"/>
        <v>0</v>
      </c>
      <c r="DA18" s="130">
        <f t="shared" si="55"/>
        <v>0</v>
      </c>
      <c r="DB18" s="130">
        <f t="shared" si="55"/>
        <v>0</v>
      </c>
      <c r="DC18" s="130">
        <f t="shared" si="55"/>
        <v>0</v>
      </c>
      <c r="DD18" s="130">
        <f t="shared" si="55"/>
        <v>0</v>
      </c>
      <c r="DE18" s="130">
        <f t="shared" si="55"/>
        <v>0</v>
      </c>
      <c r="DF18" s="130">
        <f t="shared" si="55"/>
        <v>0</v>
      </c>
      <c r="DG18" s="130">
        <f t="shared" si="55"/>
        <v>0</v>
      </c>
      <c r="DH18" s="130">
        <f t="shared" si="55"/>
        <v>0</v>
      </c>
      <c r="DI18" s="130">
        <f t="shared" si="55"/>
        <v>0</v>
      </c>
      <c r="DJ18" s="130">
        <f t="shared" si="55"/>
        <v>0</v>
      </c>
      <c r="DK18" s="130">
        <f t="shared" si="55"/>
        <v>0</v>
      </c>
      <c r="DL18" s="130">
        <f t="shared" si="55"/>
        <v>0</v>
      </c>
      <c r="DM18" s="130">
        <f t="shared" si="55"/>
        <v>0</v>
      </c>
      <c r="DN18" s="130">
        <f t="shared" si="55"/>
        <v>0</v>
      </c>
      <c r="DO18" s="130">
        <f t="shared" si="55"/>
        <v>0</v>
      </c>
      <c r="DP18" s="130">
        <f t="shared" si="55"/>
        <v>0</v>
      </c>
      <c r="DQ18" s="130">
        <f t="shared" si="55"/>
        <v>0</v>
      </c>
      <c r="DR18" s="130">
        <f t="shared" si="55"/>
        <v>0</v>
      </c>
      <c r="DS18" s="130">
        <f t="shared" si="55"/>
        <v>0</v>
      </c>
      <c r="DT18" s="130">
        <f t="shared" si="55"/>
        <v>0</v>
      </c>
      <c r="DU18" s="130">
        <f t="shared" si="55"/>
        <v>0</v>
      </c>
      <c r="DV18" s="130">
        <f t="shared" si="55"/>
        <v>0</v>
      </c>
      <c r="DW18" s="130">
        <f t="shared" si="55"/>
        <v>0</v>
      </c>
      <c r="DX18" s="130">
        <f t="shared" si="55"/>
        <v>0</v>
      </c>
      <c r="DY18" s="130">
        <f t="shared" si="55"/>
        <v>0</v>
      </c>
      <c r="DZ18" s="130">
        <f t="shared" si="55"/>
        <v>0</v>
      </c>
      <c r="EA18" s="130">
        <f t="shared" si="55"/>
        <v>0</v>
      </c>
      <c r="EB18" s="130">
        <f t="shared" si="55"/>
        <v>0</v>
      </c>
      <c r="EC18" s="130">
        <f t="shared" si="55"/>
        <v>0</v>
      </c>
      <c r="ED18" s="130">
        <f t="shared" si="55"/>
        <v>0</v>
      </c>
      <c r="EE18" s="130">
        <f t="shared" si="55"/>
        <v>0</v>
      </c>
      <c r="EF18" s="130">
        <f t="shared" si="55"/>
        <v>0</v>
      </c>
      <c r="EG18" s="130">
        <f t="shared" si="55"/>
        <v>0</v>
      </c>
      <c r="EH18" s="130">
        <f t="shared" si="55"/>
        <v>0</v>
      </c>
      <c r="EI18" s="130">
        <f t="shared" si="55"/>
        <v>0</v>
      </c>
      <c r="EJ18" s="130">
        <f t="shared" si="55"/>
        <v>0</v>
      </c>
      <c r="EK18" s="130">
        <f t="shared" si="55"/>
        <v>0</v>
      </c>
      <c r="EL18" s="130">
        <f t="shared" si="55"/>
        <v>0</v>
      </c>
      <c r="EM18" s="130">
        <f t="shared" ref="EM18:GX18" si="56">ROUND(EM58,0)</f>
        <v>0</v>
      </c>
      <c r="EN18" s="130">
        <f t="shared" si="56"/>
        <v>0</v>
      </c>
      <c r="EO18" s="130">
        <f t="shared" si="56"/>
        <v>0</v>
      </c>
      <c r="EP18" s="130">
        <f t="shared" si="56"/>
        <v>0</v>
      </c>
      <c r="EQ18" s="130">
        <f t="shared" si="56"/>
        <v>0</v>
      </c>
      <c r="ER18" s="130">
        <f t="shared" si="56"/>
        <v>0</v>
      </c>
      <c r="ES18" s="130">
        <f t="shared" si="56"/>
        <v>0</v>
      </c>
      <c r="ET18" s="130">
        <f t="shared" si="56"/>
        <v>0</v>
      </c>
      <c r="EU18" s="130">
        <f t="shared" si="56"/>
        <v>0</v>
      </c>
      <c r="EV18" s="130">
        <f t="shared" si="56"/>
        <v>0</v>
      </c>
      <c r="EW18" s="130">
        <f t="shared" si="56"/>
        <v>0</v>
      </c>
      <c r="EX18" s="130">
        <f t="shared" si="56"/>
        <v>0</v>
      </c>
      <c r="EY18" s="130">
        <f t="shared" si="56"/>
        <v>0</v>
      </c>
      <c r="EZ18" s="130">
        <f t="shared" si="56"/>
        <v>0</v>
      </c>
      <c r="FA18" s="130">
        <f t="shared" si="56"/>
        <v>0</v>
      </c>
      <c r="FB18" s="130">
        <f t="shared" si="56"/>
        <v>0</v>
      </c>
      <c r="FC18" s="130">
        <f t="shared" si="56"/>
        <v>0</v>
      </c>
      <c r="FD18" s="130">
        <f t="shared" si="56"/>
        <v>0</v>
      </c>
      <c r="FE18" s="130">
        <f t="shared" si="56"/>
        <v>0</v>
      </c>
      <c r="FF18" s="130">
        <f t="shared" si="56"/>
        <v>0</v>
      </c>
      <c r="FG18" s="130">
        <f t="shared" si="56"/>
        <v>0</v>
      </c>
      <c r="FH18" s="130">
        <f t="shared" si="56"/>
        <v>0</v>
      </c>
      <c r="FI18" s="130">
        <f t="shared" si="56"/>
        <v>0</v>
      </c>
      <c r="FJ18" s="130">
        <f t="shared" si="56"/>
        <v>0</v>
      </c>
      <c r="FK18" s="130">
        <f t="shared" si="56"/>
        <v>0</v>
      </c>
      <c r="FL18" s="130">
        <f t="shared" si="56"/>
        <v>0</v>
      </c>
      <c r="FM18" s="130">
        <f t="shared" si="56"/>
        <v>0</v>
      </c>
      <c r="FN18" s="130">
        <f t="shared" si="56"/>
        <v>0</v>
      </c>
      <c r="FO18" s="130">
        <f t="shared" si="56"/>
        <v>0</v>
      </c>
      <c r="FP18" s="130">
        <f t="shared" si="56"/>
        <v>0</v>
      </c>
      <c r="FQ18" s="130">
        <f t="shared" si="56"/>
        <v>0</v>
      </c>
      <c r="FR18" s="130">
        <f t="shared" si="56"/>
        <v>0</v>
      </c>
      <c r="FS18" s="130">
        <f t="shared" si="56"/>
        <v>0</v>
      </c>
      <c r="FT18" s="130">
        <f t="shared" si="56"/>
        <v>0</v>
      </c>
      <c r="FU18" s="130">
        <f t="shared" si="56"/>
        <v>0</v>
      </c>
      <c r="FV18" s="130">
        <f t="shared" si="56"/>
        <v>0</v>
      </c>
      <c r="FW18" s="130">
        <f t="shared" si="56"/>
        <v>0</v>
      </c>
      <c r="FX18" s="130">
        <f t="shared" si="56"/>
        <v>0</v>
      </c>
      <c r="FY18" s="130">
        <f t="shared" si="56"/>
        <v>0</v>
      </c>
      <c r="FZ18" s="130">
        <f t="shared" si="56"/>
        <v>0</v>
      </c>
      <c r="GA18" s="130">
        <f t="shared" si="56"/>
        <v>0</v>
      </c>
      <c r="GB18" s="130">
        <f t="shared" si="56"/>
        <v>0</v>
      </c>
      <c r="GC18" s="130">
        <f t="shared" si="56"/>
        <v>0</v>
      </c>
      <c r="GD18" s="130">
        <f t="shared" si="56"/>
        <v>0</v>
      </c>
      <c r="GE18" s="130">
        <f t="shared" si="56"/>
        <v>0</v>
      </c>
      <c r="GF18" s="130">
        <f t="shared" si="56"/>
        <v>0</v>
      </c>
      <c r="GG18" s="130">
        <f t="shared" si="56"/>
        <v>0</v>
      </c>
      <c r="GH18" s="130">
        <f t="shared" si="56"/>
        <v>0</v>
      </c>
      <c r="GI18" s="130">
        <f t="shared" si="56"/>
        <v>0</v>
      </c>
      <c r="GJ18" s="130">
        <f t="shared" si="56"/>
        <v>0</v>
      </c>
      <c r="GK18" s="130">
        <f t="shared" si="56"/>
        <v>0</v>
      </c>
      <c r="GL18" s="130">
        <f t="shared" si="56"/>
        <v>0</v>
      </c>
      <c r="GM18" s="130">
        <f t="shared" si="56"/>
        <v>0</v>
      </c>
      <c r="GN18" s="130">
        <f t="shared" si="56"/>
        <v>0</v>
      </c>
      <c r="GO18" s="130">
        <f t="shared" si="56"/>
        <v>0</v>
      </c>
      <c r="GP18" s="130">
        <f t="shared" si="56"/>
        <v>0</v>
      </c>
      <c r="GQ18" s="130">
        <f t="shared" si="56"/>
        <v>0</v>
      </c>
      <c r="GR18" s="130">
        <f t="shared" si="56"/>
        <v>0</v>
      </c>
      <c r="GS18" s="130">
        <f t="shared" si="56"/>
        <v>0</v>
      </c>
      <c r="GT18" s="130">
        <f t="shared" si="56"/>
        <v>0</v>
      </c>
      <c r="GU18" s="130">
        <f t="shared" si="56"/>
        <v>0</v>
      </c>
      <c r="GV18" s="130">
        <f t="shared" si="56"/>
        <v>0</v>
      </c>
      <c r="GW18" s="130">
        <f t="shared" si="56"/>
        <v>0</v>
      </c>
      <c r="GX18" s="130">
        <f t="shared" si="56"/>
        <v>0</v>
      </c>
      <c r="GY18" s="130">
        <f t="shared" ref="GY18:JJ18" si="57">ROUND(GY58,0)</f>
        <v>0</v>
      </c>
      <c r="GZ18" s="130">
        <f t="shared" si="57"/>
        <v>0</v>
      </c>
      <c r="HA18" s="130">
        <f t="shared" si="57"/>
        <v>0</v>
      </c>
      <c r="HB18" s="130">
        <f t="shared" si="57"/>
        <v>0</v>
      </c>
      <c r="HC18" s="130">
        <f t="shared" si="57"/>
        <v>0</v>
      </c>
      <c r="HD18" s="130">
        <f t="shared" si="57"/>
        <v>0</v>
      </c>
      <c r="HE18" s="130">
        <f t="shared" si="57"/>
        <v>0</v>
      </c>
      <c r="HF18" s="130">
        <f t="shared" si="57"/>
        <v>0</v>
      </c>
      <c r="HG18" s="130">
        <f t="shared" si="57"/>
        <v>0</v>
      </c>
      <c r="HH18" s="130">
        <f t="shared" si="57"/>
        <v>0</v>
      </c>
      <c r="HI18" s="130">
        <f t="shared" si="57"/>
        <v>0</v>
      </c>
      <c r="HJ18" s="130">
        <f t="shared" si="57"/>
        <v>0</v>
      </c>
      <c r="HK18" s="130">
        <f t="shared" si="57"/>
        <v>0</v>
      </c>
      <c r="HL18" s="130">
        <f t="shared" si="57"/>
        <v>0</v>
      </c>
      <c r="HM18" s="130">
        <f t="shared" si="57"/>
        <v>0</v>
      </c>
      <c r="HN18" s="130">
        <f t="shared" si="57"/>
        <v>0</v>
      </c>
      <c r="HO18" s="130">
        <f t="shared" si="57"/>
        <v>0</v>
      </c>
      <c r="HP18" s="130">
        <f t="shared" si="57"/>
        <v>0</v>
      </c>
      <c r="HQ18" s="130">
        <f t="shared" si="57"/>
        <v>0</v>
      </c>
      <c r="HR18" s="130">
        <f t="shared" si="57"/>
        <v>0</v>
      </c>
      <c r="HS18" s="130">
        <f t="shared" si="57"/>
        <v>0</v>
      </c>
      <c r="HT18" s="130">
        <f t="shared" si="57"/>
        <v>0</v>
      </c>
      <c r="HU18" s="130">
        <f t="shared" si="57"/>
        <v>0</v>
      </c>
      <c r="HV18" s="130">
        <f t="shared" si="57"/>
        <v>0</v>
      </c>
      <c r="HW18" s="130">
        <f t="shared" si="57"/>
        <v>0</v>
      </c>
      <c r="HX18" s="130">
        <f t="shared" si="57"/>
        <v>0</v>
      </c>
      <c r="HY18" s="130">
        <f t="shared" si="57"/>
        <v>0</v>
      </c>
      <c r="HZ18" s="130">
        <f t="shared" si="57"/>
        <v>0</v>
      </c>
      <c r="IA18" s="130">
        <f t="shared" si="57"/>
        <v>0</v>
      </c>
      <c r="IB18" s="130">
        <f t="shared" si="57"/>
        <v>0</v>
      </c>
      <c r="IC18" s="130">
        <f t="shared" si="57"/>
        <v>0</v>
      </c>
      <c r="ID18" s="130">
        <f t="shared" si="57"/>
        <v>0</v>
      </c>
      <c r="IE18" s="130">
        <f t="shared" si="57"/>
        <v>0</v>
      </c>
      <c r="IF18" s="130">
        <f t="shared" si="57"/>
        <v>0</v>
      </c>
      <c r="IG18" s="130">
        <f t="shared" si="57"/>
        <v>0</v>
      </c>
      <c r="IH18" s="130">
        <f t="shared" si="57"/>
        <v>0</v>
      </c>
      <c r="II18" s="130">
        <f t="shared" si="57"/>
        <v>0</v>
      </c>
      <c r="IJ18" s="130">
        <f t="shared" si="57"/>
        <v>0</v>
      </c>
      <c r="IK18" s="130">
        <f t="shared" si="57"/>
        <v>0</v>
      </c>
      <c r="IL18" s="130">
        <f t="shared" si="57"/>
        <v>0</v>
      </c>
      <c r="IM18" s="130">
        <f t="shared" si="57"/>
        <v>0</v>
      </c>
      <c r="IN18" s="130">
        <f t="shared" si="57"/>
        <v>0</v>
      </c>
      <c r="IO18" s="130">
        <f t="shared" si="57"/>
        <v>0</v>
      </c>
      <c r="IP18" s="130">
        <f t="shared" si="57"/>
        <v>0</v>
      </c>
      <c r="IQ18" s="130">
        <f t="shared" si="57"/>
        <v>0</v>
      </c>
      <c r="IR18" s="130">
        <f t="shared" si="57"/>
        <v>0</v>
      </c>
      <c r="IS18" s="130">
        <f t="shared" si="57"/>
        <v>0</v>
      </c>
      <c r="IT18" s="130">
        <f t="shared" si="57"/>
        <v>0</v>
      </c>
      <c r="IU18" s="130">
        <f t="shared" si="57"/>
        <v>0</v>
      </c>
      <c r="IV18" s="130">
        <f t="shared" si="57"/>
        <v>0</v>
      </c>
      <c r="IW18" s="130">
        <f t="shared" si="57"/>
        <v>0</v>
      </c>
      <c r="IX18" s="130">
        <f t="shared" si="57"/>
        <v>0</v>
      </c>
      <c r="IY18" s="130">
        <f t="shared" si="57"/>
        <v>0</v>
      </c>
      <c r="IZ18" s="130">
        <f t="shared" si="57"/>
        <v>0</v>
      </c>
      <c r="JA18" s="130">
        <f t="shared" si="57"/>
        <v>0</v>
      </c>
      <c r="JB18" s="130">
        <f t="shared" si="57"/>
        <v>0</v>
      </c>
      <c r="JC18" s="130">
        <f t="shared" si="57"/>
        <v>0</v>
      </c>
      <c r="JD18" s="130">
        <f t="shared" si="57"/>
        <v>0</v>
      </c>
      <c r="JE18" s="130">
        <f t="shared" si="57"/>
        <v>0</v>
      </c>
      <c r="JF18" s="130">
        <f t="shared" si="57"/>
        <v>0</v>
      </c>
      <c r="JG18" s="130">
        <f t="shared" si="57"/>
        <v>0</v>
      </c>
      <c r="JH18" s="130">
        <f t="shared" si="57"/>
        <v>0</v>
      </c>
      <c r="JI18" s="130">
        <f t="shared" si="57"/>
        <v>0</v>
      </c>
      <c r="JJ18" s="130">
        <f t="shared" si="57"/>
        <v>0</v>
      </c>
      <c r="JK18" s="130">
        <f t="shared" ref="JK18:LV18" si="58">ROUND(JK58,0)</f>
        <v>0</v>
      </c>
      <c r="JL18" s="130">
        <f t="shared" si="58"/>
        <v>0</v>
      </c>
      <c r="JM18" s="130">
        <f t="shared" si="58"/>
        <v>0</v>
      </c>
      <c r="JN18" s="130">
        <f t="shared" si="58"/>
        <v>0</v>
      </c>
      <c r="JO18" s="130">
        <f t="shared" si="58"/>
        <v>0</v>
      </c>
      <c r="JP18" s="130">
        <f t="shared" si="58"/>
        <v>0</v>
      </c>
      <c r="JQ18" s="130">
        <f t="shared" si="58"/>
        <v>0</v>
      </c>
      <c r="JR18" s="130">
        <f t="shared" si="58"/>
        <v>0</v>
      </c>
      <c r="JS18" s="130">
        <f t="shared" si="58"/>
        <v>0</v>
      </c>
      <c r="JT18" s="130">
        <f t="shared" si="58"/>
        <v>0</v>
      </c>
      <c r="JU18" s="130">
        <f t="shared" si="58"/>
        <v>0</v>
      </c>
      <c r="JV18" s="130">
        <f t="shared" si="58"/>
        <v>0</v>
      </c>
      <c r="JW18" s="130">
        <f t="shared" si="58"/>
        <v>0</v>
      </c>
      <c r="JX18" s="130">
        <f t="shared" si="58"/>
        <v>0</v>
      </c>
      <c r="JY18" s="130">
        <f t="shared" si="58"/>
        <v>0</v>
      </c>
      <c r="JZ18" s="130">
        <f t="shared" si="58"/>
        <v>0</v>
      </c>
      <c r="KA18" s="130">
        <f t="shared" si="58"/>
        <v>0</v>
      </c>
      <c r="KB18" s="130">
        <f t="shared" si="58"/>
        <v>0</v>
      </c>
      <c r="KC18" s="130">
        <f t="shared" si="58"/>
        <v>0</v>
      </c>
      <c r="KD18" s="130">
        <f t="shared" si="58"/>
        <v>0</v>
      </c>
      <c r="KE18" s="130">
        <f t="shared" si="58"/>
        <v>0</v>
      </c>
      <c r="KF18" s="130">
        <f t="shared" si="58"/>
        <v>0</v>
      </c>
      <c r="KG18" s="130">
        <f t="shared" si="58"/>
        <v>0</v>
      </c>
      <c r="KH18" s="130">
        <f t="shared" si="58"/>
        <v>0</v>
      </c>
      <c r="KI18" s="130">
        <f t="shared" si="58"/>
        <v>0</v>
      </c>
      <c r="KJ18" s="130">
        <f t="shared" si="58"/>
        <v>0</v>
      </c>
      <c r="KK18" s="130">
        <f t="shared" si="58"/>
        <v>0</v>
      </c>
      <c r="KL18" s="130">
        <f t="shared" si="58"/>
        <v>0</v>
      </c>
      <c r="KM18" s="130">
        <f t="shared" si="58"/>
        <v>0</v>
      </c>
      <c r="KN18" s="130">
        <f t="shared" si="58"/>
        <v>0</v>
      </c>
      <c r="KO18" s="130">
        <f t="shared" si="58"/>
        <v>0</v>
      </c>
      <c r="KP18" s="130">
        <f t="shared" si="58"/>
        <v>0</v>
      </c>
      <c r="KQ18" s="130">
        <f t="shared" si="58"/>
        <v>0</v>
      </c>
      <c r="KR18" s="130">
        <f t="shared" si="58"/>
        <v>0</v>
      </c>
      <c r="KS18" s="130">
        <f t="shared" si="58"/>
        <v>0</v>
      </c>
      <c r="KT18" s="130">
        <f t="shared" si="58"/>
        <v>0</v>
      </c>
      <c r="KU18" s="130">
        <f t="shared" si="58"/>
        <v>0</v>
      </c>
      <c r="KV18" s="130">
        <f t="shared" si="58"/>
        <v>0</v>
      </c>
      <c r="KW18" s="130">
        <f t="shared" si="58"/>
        <v>0</v>
      </c>
      <c r="KX18" s="130">
        <f t="shared" si="58"/>
        <v>0</v>
      </c>
      <c r="KY18" s="130">
        <f t="shared" si="58"/>
        <v>0</v>
      </c>
      <c r="KZ18" s="130">
        <f t="shared" si="58"/>
        <v>0</v>
      </c>
      <c r="LA18" s="130">
        <f t="shared" si="58"/>
        <v>0</v>
      </c>
      <c r="LB18" s="130">
        <f t="shared" si="58"/>
        <v>0</v>
      </c>
      <c r="LC18" s="130">
        <f t="shared" si="58"/>
        <v>0</v>
      </c>
      <c r="LD18" s="130">
        <f t="shared" si="58"/>
        <v>0</v>
      </c>
      <c r="LE18" s="130">
        <f t="shared" si="58"/>
        <v>0</v>
      </c>
      <c r="LF18" s="130">
        <f t="shared" si="58"/>
        <v>0</v>
      </c>
      <c r="LG18" s="130">
        <f t="shared" si="58"/>
        <v>0</v>
      </c>
      <c r="LH18" s="130">
        <f t="shared" si="58"/>
        <v>0</v>
      </c>
      <c r="LI18" s="130">
        <f t="shared" si="58"/>
        <v>0</v>
      </c>
      <c r="LJ18" s="130">
        <f t="shared" si="58"/>
        <v>0</v>
      </c>
      <c r="LK18" s="130">
        <f t="shared" si="58"/>
        <v>0</v>
      </c>
      <c r="LL18" s="130">
        <f t="shared" si="58"/>
        <v>0</v>
      </c>
      <c r="LM18" s="130">
        <f t="shared" si="58"/>
        <v>0</v>
      </c>
      <c r="LN18" s="130">
        <f t="shared" si="58"/>
        <v>0</v>
      </c>
      <c r="LO18" s="130">
        <f t="shared" si="58"/>
        <v>0</v>
      </c>
      <c r="LP18" s="130">
        <f t="shared" si="58"/>
        <v>0</v>
      </c>
      <c r="LQ18" s="130">
        <f t="shared" si="58"/>
        <v>0</v>
      </c>
      <c r="LR18" s="130">
        <f t="shared" si="58"/>
        <v>0</v>
      </c>
      <c r="LS18" s="130">
        <f t="shared" si="58"/>
        <v>0</v>
      </c>
      <c r="LT18" s="130">
        <f t="shared" si="58"/>
        <v>0</v>
      </c>
      <c r="LU18" s="130">
        <f t="shared" si="58"/>
        <v>0</v>
      </c>
      <c r="LV18" s="130">
        <f t="shared" si="58"/>
        <v>0</v>
      </c>
      <c r="LW18" s="130">
        <f t="shared" ref="LW18:OH18" si="59">ROUND(LW58,0)</f>
        <v>0</v>
      </c>
      <c r="LX18" s="130">
        <f t="shared" si="59"/>
        <v>0</v>
      </c>
      <c r="LY18" s="130">
        <f t="shared" si="59"/>
        <v>0</v>
      </c>
      <c r="LZ18" s="130">
        <f t="shared" si="59"/>
        <v>0</v>
      </c>
      <c r="MA18" s="130">
        <f t="shared" si="59"/>
        <v>0</v>
      </c>
      <c r="MB18" s="130">
        <f t="shared" si="59"/>
        <v>0</v>
      </c>
      <c r="MC18" s="130">
        <f t="shared" si="59"/>
        <v>0</v>
      </c>
      <c r="MD18" s="130">
        <f t="shared" si="59"/>
        <v>0</v>
      </c>
      <c r="ME18" s="130">
        <f t="shared" si="59"/>
        <v>0</v>
      </c>
      <c r="MF18" s="130">
        <f t="shared" si="59"/>
        <v>0</v>
      </c>
      <c r="MG18" s="130">
        <f t="shared" si="59"/>
        <v>0</v>
      </c>
      <c r="MH18" s="130">
        <f t="shared" si="59"/>
        <v>0</v>
      </c>
      <c r="MI18" s="130">
        <f t="shared" si="59"/>
        <v>0</v>
      </c>
      <c r="MJ18" s="130">
        <f t="shared" si="59"/>
        <v>0</v>
      </c>
      <c r="MK18" s="130">
        <f t="shared" si="59"/>
        <v>0</v>
      </c>
      <c r="ML18" s="130">
        <f t="shared" si="59"/>
        <v>0</v>
      </c>
      <c r="MM18" s="130">
        <f t="shared" si="59"/>
        <v>0</v>
      </c>
      <c r="MN18" s="130">
        <f t="shared" si="59"/>
        <v>0</v>
      </c>
      <c r="MO18" s="130">
        <f t="shared" si="59"/>
        <v>0</v>
      </c>
      <c r="MP18" s="130">
        <f t="shared" si="59"/>
        <v>0</v>
      </c>
      <c r="MQ18" s="130">
        <f t="shared" si="59"/>
        <v>0</v>
      </c>
      <c r="MR18" s="130">
        <f t="shared" si="59"/>
        <v>0</v>
      </c>
      <c r="MS18" s="130">
        <f t="shared" si="59"/>
        <v>0</v>
      </c>
      <c r="MT18" s="130">
        <f t="shared" si="59"/>
        <v>0</v>
      </c>
      <c r="MU18" s="130">
        <f t="shared" si="59"/>
        <v>0</v>
      </c>
      <c r="MV18" s="130">
        <f t="shared" si="59"/>
        <v>0</v>
      </c>
      <c r="MW18" s="130">
        <f t="shared" si="59"/>
        <v>0</v>
      </c>
      <c r="MX18" s="130">
        <f t="shared" si="59"/>
        <v>0</v>
      </c>
      <c r="MY18" s="130">
        <f t="shared" si="59"/>
        <v>0</v>
      </c>
      <c r="MZ18" s="130">
        <f t="shared" si="59"/>
        <v>0</v>
      </c>
      <c r="NA18" s="130">
        <f t="shared" si="59"/>
        <v>0</v>
      </c>
      <c r="NB18" s="130">
        <f t="shared" si="59"/>
        <v>0</v>
      </c>
      <c r="NC18" s="130">
        <f t="shared" si="59"/>
        <v>0</v>
      </c>
      <c r="ND18" s="130">
        <f t="shared" si="59"/>
        <v>0</v>
      </c>
      <c r="NE18" s="130">
        <f t="shared" si="59"/>
        <v>0</v>
      </c>
      <c r="NF18" s="130">
        <f t="shared" si="59"/>
        <v>0</v>
      </c>
      <c r="NG18" s="130">
        <f t="shared" si="59"/>
        <v>0</v>
      </c>
      <c r="NH18" s="130">
        <f t="shared" si="59"/>
        <v>0</v>
      </c>
      <c r="NI18" s="130">
        <f t="shared" si="59"/>
        <v>0</v>
      </c>
      <c r="NJ18" s="130">
        <f t="shared" si="59"/>
        <v>0</v>
      </c>
      <c r="NK18" s="130">
        <f t="shared" si="59"/>
        <v>0</v>
      </c>
      <c r="NL18" s="130">
        <f t="shared" si="59"/>
        <v>0</v>
      </c>
      <c r="NM18" s="130">
        <f t="shared" si="59"/>
        <v>0</v>
      </c>
      <c r="NN18" s="130">
        <f t="shared" si="59"/>
        <v>0</v>
      </c>
      <c r="NO18" s="130">
        <f t="shared" si="59"/>
        <v>0</v>
      </c>
      <c r="NP18" s="130">
        <f t="shared" si="59"/>
        <v>0</v>
      </c>
      <c r="NQ18" s="130">
        <f t="shared" si="59"/>
        <v>0</v>
      </c>
      <c r="NR18" s="130">
        <f t="shared" si="59"/>
        <v>0</v>
      </c>
      <c r="NS18" s="130">
        <f t="shared" si="59"/>
        <v>0</v>
      </c>
      <c r="NT18" s="130">
        <f t="shared" si="59"/>
        <v>0</v>
      </c>
      <c r="NU18" s="130">
        <f t="shared" si="59"/>
        <v>0</v>
      </c>
      <c r="NV18" s="130">
        <f t="shared" si="59"/>
        <v>0</v>
      </c>
      <c r="NW18" s="130">
        <f t="shared" si="59"/>
        <v>0</v>
      </c>
      <c r="NX18" s="130">
        <f t="shared" si="59"/>
        <v>0</v>
      </c>
      <c r="NY18" s="130">
        <f t="shared" si="59"/>
        <v>0</v>
      </c>
      <c r="NZ18" s="130">
        <f t="shared" si="59"/>
        <v>0</v>
      </c>
      <c r="OA18" s="130">
        <f t="shared" si="59"/>
        <v>0</v>
      </c>
      <c r="OB18" s="130">
        <f t="shared" si="59"/>
        <v>0</v>
      </c>
      <c r="OC18" s="130">
        <f t="shared" si="59"/>
        <v>0</v>
      </c>
      <c r="OD18" s="130">
        <f t="shared" si="59"/>
        <v>0</v>
      </c>
      <c r="OE18" s="130">
        <f t="shared" si="59"/>
        <v>0</v>
      </c>
      <c r="OF18" s="130">
        <f t="shared" si="59"/>
        <v>0</v>
      </c>
      <c r="OG18" s="130">
        <f t="shared" si="59"/>
        <v>0</v>
      </c>
      <c r="OH18" s="130">
        <f t="shared" si="59"/>
        <v>0</v>
      </c>
      <c r="OI18" s="130">
        <f t="shared" ref="OI18:QT18" si="60">ROUND(OI58,0)</f>
        <v>0</v>
      </c>
      <c r="OJ18" s="130">
        <f t="shared" si="60"/>
        <v>0</v>
      </c>
      <c r="OK18" s="130">
        <f t="shared" si="60"/>
        <v>0</v>
      </c>
      <c r="OL18" s="130">
        <f t="shared" si="60"/>
        <v>0</v>
      </c>
      <c r="OM18" s="130">
        <f t="shared" si="60"/>
        <v>0</v>
      </c>
      <c r="ON18" s="130">
        <f t="shared" si="60"/>
        <v>0</v>
      </c>
      <c r="OO18" s="130">
        <f t="shared" si="60"/>
        <v>0</v>
      </c>
      <c r="OP18" s="130">
        <f t="shared" si="60"/>
        <v>0</v>
      </c>
      <c r="OQ18" s="130">
        <f t="shared" si="60"/>
        <v>0</v>
      </c>
      <c r="OR18" s="130">
        <f t="shared" si="60"/>
        <v>0</v>
      </c>
      <c r="OS18" s="130">
        <f t="shared" si="60"/>
        <v>0</v>
      </c>
      <c r="OT18" s="130">
        <f t="shared" si="60"/>
        <v>0</v>
      </c>
      <c r="OU18" s="130">
        <f t="shared" si="60"/>
        <v>0</v>
      </c>
      <c r="OV18" s="130">
        <f t="shared" si="60"/>
        <v>0</v>
      </c>
      <c r="OW18" s="130">
        <f t="shared" si="60"/>
        <v>0</v>
      </c>
      <c r="OX18" s="130">
        <f t="shared" si="60"/>
        <v>0</v>
      </c>
      <c r="OY18" s="130">
        <f t="shared" si="60"/>
        <v>0</v>
      </c>
      <c r="OZ18" s="130">
        <f t="shared" si="60"/>
        <v>0</v>
      </c>
      <c r="PA18" s="130">
        <f t="shared" si="60"/>
        <v>0</v>
      </c>
      <c r="PB18" s="130">
        <f t="shared" si="60"/>
        <v>0</v>
      </c>
      <c r="PC18" s="130">
        <f t="shared" si="60"/>
        <v>0</v>
      </c>
      <c r="PD18" s="130">
        <f t="shared" si="60"/>
        <v>0</v>
      </c>
      <c r="PE18" s="130">
        <f t="shared" si="60"/>
        <v>0</v>
      </c>
      <c r="PF18" s="130">
        <f t="shared" si="60"/>
        <v>0</v>
      </c>
      <c r="PG18" s="130">
        <f t="shared" si="60"/>
        <v>0</v>
      </c>
      <c r="PH18" s="130">
        <f t="shared" si="60"/>
        <v>0</v>
      </c>
      <c r="PI18" s="130">
        <f t="shared" si="60"/>
        <v>0</v>
      </c>
      <c r="PJ18" s="130">
        <f t="shared" si="60"/>
        <v>0</v>
      </c>
      <c r="PK18" s="130">
        <f t="shared" si="60"/>
        <v>0</v>
      </c>
      <c r="PL18" s="130">
        <f t="shared" si="60"/>
        <v>0</v>
      </c>
      <c r="PM18" s="130">
        <f t="shared" si="60"/>
        <v>0</v>
      </c>
      <c r="PN18" s="130">
        <f t="shared" si="60"/>
        <v>0</v>
      </c>
      <c r="PO18" s="130">
        <f t="shared" si="60"/>
        <v>0</v>
      </c>
      <c r="PP18" s="130">
        <f t="shared" si="60"/>
        <v>0</v>
      </c>
      <c r="PQ18" s="130">
        <f t="shared" si="60"/>
        <v>0</v>
      </c>
      <c r="PR18" s="130">
        <f t="shared" si="60"/>
        <v>0</v>
      </c>
      <c r="PS18" s="130">
        <f t="shared" si="60"/>
        <v>0</v>
      </c>
      <c r="PT18" s="130">
        <f t="shared" si="60"/>
        <v>0</v>
      </c>
      <c r="PU18" s="130">
        <f t="shared" si="60"/>
        <v>0</v>
      </c>
      <c r="PV18" s="130">
        <f t="shared" si="60"/>
        <v>0</v>
      </c>
      <c r="PW18" s="130">
        <f t="shared" si="60"/>
        <v>0</v>
      </c>
      <c r="PX18" s="130">
        <f t="shared" si="60"/>
        <v>0</v>
      </c>
      <c r="PY18" s="130">
        <f t="shared" si="60"/>
        <v>0</v>
      </c>
      <c r="PZ18" s="130">
        <f t="shared" si="60"/>
        <v>0</v>
      </c>
      <c r="QA18" s="130">
        <f t="shared" si="60"/>
        <v>0</v>
      </c>
      <c r="QB18" s="130">
        <f t="shared" si="60"/>
        <v>0</v>
      </c>
      <c r="QC18" s="130">
        <f t="shared" si="60"/>
        <v>0</v>
      </c>
      <c r="QD18" s="130">
        <f t="shared" si="60"/>
        <v>0</v>
      </c>
      <c r="QE18" s="130">
        <f t="shared" si="60"/>
        <v>0</v>
      </c>
      <c r="QF18" s="130">
        <f t="shared" si="60"/>
        <v>0</v>
      </c>
      <c r="QG18" s="130">
        <f t="shared" si="60"/>
        <v>0</v>
      </c>
      <c r="QH18" s="130">
        <f t="shared" si="60"/>
        <v>0</v>
      </c>
      <c r="QI18" s="130">
        <f t="shared" si="60"/>
        <v>0</v>
      </c>
      <c r="QJ18" s="130">
        <f t="shared" si="60"/>
        <v>0</v>
      </c>
      <c r="QK18" s="130">
        <f t="shared" si="60"/>
        <v>0</v>
      </c>
      <c r="QL18" s="130">
        <f t="shared" si="60"/>
        <v>0</v>
      </c>
      <c r="QM18" s="130">
        <f t="shared" si="60"/>
        <v>0</v>
      </c>
      <c r="QN18" s="130">
        <f t="shared" si="60"/>
        <v>0</v>
      </c>
      <c r="QO18" s="130">
        <f t="shared" si="60"/>
        <v>0</v>
      </c>
      <c r="QP18" s="130">
        <f t="shared" si="60"/>
        <v>0</v>
      </c>
      <c r="QQ18" s="130">
        <f t="shared" si="60"/>
        <v>0</v>
      </c>
      <c r="QR18" s="130">
        <f t="shared" si="60"/>
        <v>0</v>
      </c>
      <c r="QS18" s="130">
        <f t="shared" si="60"/>
        <v>0</v>
      </c>
      <c r="QT18" s="130">
        <f t="shared" si="60"/>
        <v>0</v>
      </c>
      <c r="QU18" s="130">
        <f t="shared" ref="QU18:TF18" si="61">ROUND(QU58,0)</f>
        <v>0</v>
      </c>
      <c r="QV18" s="130">
        <f t="shared" si="61"/>
        <v>0</v>
      </c>
      <c r="QW18" s="130">
        <f t="shared" si="61"/>
        <v>0</v>
      </c>
      <c r="QX18" s="130">
        <f t="shared" si="61"/>
        <v>0</v>
      </c>
      <c r="QY18" s="130">
        <f t="shared" si="61"/>
        <v>0</v>
      </c>
      <c r="QZ18" s="130">
        <f t="shared" si="61"/>
        <v>0</v>
      </c>
      <c r="RA18" s="130">
        <f t="shared" si="61"/>
        <v>0</v>
      </c>
      <c r="RB18" s="130">
        <f t="shared" si="61"/>
        <v>0</v>
      </c>
      <c r="RC18" s="130">
        <f t="shared" si="61"/>
        <v>0</v>
      </c>
      <c r="RD18" s="130">
        <f t="shared" si="61"/>
        <v>0</v>
      </c>
      <c r="RE18" s="130">
        <f t="shared" si="61"/>
        <v>0</v>
      </c>
      <c r="RF18" s="130">
        <f t="shared" si="61"/>
        <v>0</v>
      </c>
      <c r="RG18" s="130">
        <f t="shared" si="61"/>
        <v>0</v>
      </c>
      <c r="RH18" s="130">
        <f t="shared" si="61"/>
        <v>0</v>
      </c>
      <c r="RI18" s="130">
        <f t="shared" si="61"/>
        <v>0</v>
      </c>
      <c r="RJ18" s="130">
        <f t="shared" si="61"/>
        <v>0</v>
      </c>
      <c r="RK18" s="130">
        <f t="shared" si="61"/>
        <v>0</v>
      </c>
      <c r="RL18" s="130">
        <f t="shared" si="61"/>
        <v>0</v>
      </c>
      <c r="RM18" s="130">
        <f t="shared" si="61"/>
        <v>0</v>
      </c>
      <c r="RN18" s="130">
        <f t="shared" si="61"/>
        <v>0</v>
      </c>
      <c r="RO18" s="130">
        <f t="shared" si="61"/>
        <v>0</v>
      </c>
      <c r="RP18" s="130">
        <f t="shared" si="61"/>
        <v>0</v>
      </c>
      <c r="RQ18" s="130">
        <f t="shared" si="61"/>
        <v>0</v>
      </c>
      <c r="RR18" s="130">
        <f t="shared" si="61"/>
        <v>0</v>
      </c>
      <c r="RS18" s="130">
        <f t="shared" si="61"/>
        <v>0</v>
      </c>
      <c r="RT18" s="130">
        <f t="shared" si="61"/>
        <v>0</v>
      </c>
      <c r="RU18" s="130">
        <f t="shared" si="61"/>
        <v>0</v>
      </c>
      <c r="RV18" s="130">
        <f t="shared" si="61"/>
        <v>0</v>
      </c>
      <c r="RW18" s="130">
        <f t="shared" si="61"/>
        <v>0</v>
      </c>
      <c r="RX18" s="130">
        <f t="shared" si="61"/>
        <v>0</v>
      </c>
      <c r="RY18" s="130">
        <f t="shared" si="61"/>
        <v>0</v>
      </c>
      <c r="RZ18" s="130">
        <f t="shared" si="61"/>
        <v>0</v>
      </c>
      <c r="SA18" s="130">
        <f t="shared" si="61"/>
        <v>0</v>
      </c>
      <c r="SB18" s="130">
        <f t="shared" si="61"/>
        <v>0</v>
      </c>
      <c r="SC18" s="130">
        <f t="shared" si="61"/>
        <v>0</v>
      </c>
      <c r="SD18" s="130">
        <f t="shared" si="61"/>
        <v>0</v>
      </c>
      <c r="SE18" s="130">
        <f t="shared" si="61"/>
        <v>0</v>
      </c>
      <c r="SF18" s="130">
        <f t="shared" si="61"/>
        <v>0</v>
      </c>
      <c r="SG18" s="130">
        <f t="shared" si="61"/>
        <v>0</v>
      </c>
      <c r="SH18" s="130">
        <f t="shared" si="61"/>
        <v>0</v>
      </c>
      <c r="SI18" s="130">
        <f t="shared" si="61"/>
        <v>0</v>
      </c>
      <c r="SJ18" s="130">
        <f t="shared" si="61"/>
        <v>0</v>
      </c>
      <c r="SK18" s="130">
        <f t="shared" si="61"/>
        <v>0</v>
      </c>
      <c r="SL18" s="130">
        <f t="shared" si="61"/>
        <v>0</v>
      </c>
      <c r="SM18" s="130">
        <f t="shared" si="61"/>
        <v>0</v>
      </c>
      <c r="SN18" s="130">
        <f t="shared" si="61"/>
        <v>0</v>
      </c>
      <c r="SO18" s="130">
        <f t="shared" si="61"/>
        <v>0</v>
      </c>
      <c r="SP18" s="130">
        <f t="shared" si="61"/>
        <v>0</v>
      </c>
      <c r="SQ18" s="130">
        <f t="shared" si="61"/>
        <v>0</v>
      </c>
      <c r="SR18" s="130">
        <f t="shared" si="61"/>
        <v>0</v>
      </c>
      <c r="SS18" s="130">
        <f t="shared" si="61"/>
        <v>0</v>
      </c>
      <c r="ST18" s="130">
        <f t="shared" si="61"/>
        <v>0</v>
      </c>
      <c r="SU18" s="130">
        <f t="shared" si="61"/>
        <v>0</v>
      </c>
      <c r="SV18" s="130">
        <f t="shared" si="61"/>
        <v>0</v>
      </c>
      <c r="SW18" s="130">
        <f t="shared" si="61"/>
        <v>0</v>
      </c>
      <c r="SX18" s="130">
        <f t="shared" si="61"/>
        <v>0</v>
      </c>
      <c r="SY18" s="130">
        <f t="shared" si="61"/>
        <v>0</v>
      </c>
      <c r="SZ18" s="130">
        <f t="shared" si="61"/>
        <v>0</v>
      </c>
      <c r="TA18" s="130">
        <f t="shared" si="61"/>
        <v>0</v>
      </c>
      <c r="TB18" s="130">
        <f t="shared" si="61"/>
        <v>0</v>
      </c>
      <c r="TC18" s="130">
        <f t="shared" si="61"/>
        <v>0</v>
      </c>
      <c r="TD18" s="130">
        <f t="shared" si="61"/>
        <v>0</v>
      </c>
      <c r="TE18" s="130">
        <f t="shared" si="61"/>
        <v>0</v>
      </c>
      <c r="TF18" s="130">
        <f t="shared" si="61"/>
        <v>0</v>
      </c>
      <c r="TG18" s="130">
        <f t="shared" ref="TG18:VR18" si="62">ROUND(TG58,0)</f>
        <v>0</v>
      </c>
      <c r="TH18" s="130">
        <f t="shared" si="62"/>
        <v>0</v>
      </c>
      <c r="TI18" s="130">
        <f t="shared" si="62"/>
        <v>0</v>
      </c>
      <c r="TJ18" s="130">
        <f t="shared" si="62"/>
        <v>0</v>
      </c>
      <c r="TK18" s="130">
        <f t="shared" si="62"/>
        <v>0</v>
      </c>
      <c r="TL18" s="130">
        <f t="shared" si="62"/>
        <v>0</v>
      </c>
      <c r="TM18" s="130">
        <f t="shared" si="62"/>
        <v>0</v>
      </c>
      <c r="TN18" s="130">
        <f t="shared" si="62"/>
        <v>0</v>
      </c>
      <c r="TO18" s="130">
        <f t="shared" si="62"/>
        <v>0</v>
      </c>
      <c r="TP18" s="130">
        <f t="shared" si="62"/>
        <v>0</v>
      </c>
      <c r="TQ18" s="130">
        <f t="shared" si="62"/>
        <v>0</v>
      </c>
      <c r="TR18" s="130">
        <f t="shared" si="62"/>
        <v>0</v>
      </c>
      <c r="TS18" s="130">
        <f t="shared" si="62"/>
        <v>0</v>
      </c>
      <c r="TT18" s="130">
        <f t="shared" si="62"/>
        <v>0</v>
      </c>
      <c r="TU18" s="130">
        <f t="shared" si="62"/>
        <v>0</v>
      </c>
      <c r="TV18" s="130">
        <f t="shared" si="62"/>
        <v>0</v>
      </c>
      <c r="TW18" s="130">
        <f t="shared" si="62"/>
        <v>0</v>
      </c>
      <c r="TX18" s="130">
        <f t="shared" si="62"/>
        <v>0</v>
      </c>
      <c r="TY18" s="130">
        <f t="shared" si="62"/>
        <v>0</v>
      </c>
      <c r="TZ18" s="130">
        <f t="shared" si="62"/>
        <v>0</v>
      </c>
      <c r="UA18" s="130">
        <f t="shared" si="62"/>
        <v>0</v>
      </c>
      <c r="UB18" s="130">
        <f t="shared" si="62"/>
        <v>0</v>
      </c>
      <c r="UC18" s="130">
        <f t="shared" si="62"/>
        <v>0</v>
      </c>
      <c r="UD18" s="130">
        <f t="shared" si="62"/>
        <v>0</v>
      </c>
      <c r="UE18" s="130">
        <f t="shared" si="62"/>
        <v>0</v>
      </c>
      <c r="UF18" s="130">
        <f t="shared" si="62"/>
        <v>0</v>
      </c>
      <c r="UG18" s="130">
        <f t="shared" si="62"/>
        <v>0</v>
      </c>
      <c r="UH18" s="130">
        <f t="shared" si="62"/>
        <v>0</v>
      </c>
      <c r="UI18" s="130">
        <f t="shared" si="62"/>
        <v>0</v>
      </c>
      <c r="UJ18" s="130">
        <f t="shared" si="62"/>
        <v>0</v>
      </c>
      <c r="UK18" s="130">
        <f t="shared" si="62"/>
        <v>0</v>
      </c>
      <c r="UL18" s="130">
        <f t="shared" si="62"/>
        <v>0</v>
      </c>
      <c r="UM18" s="130">
        <f t="shared" si="62"/>
        <v>0</v>
      </c>
      <c r="UN18" s="130">
        <f t="shared" si="62"/>
        <v>0</v>
      </c>
      <c r="UO18" s="130">
        <f t="shared" si="62"/>
        <v>0</v>
      </c>
      <c r="UP18" s="130">
        <f t="shared" si="62"/>
        <v>0</v>
      </c>
      <c r="UQ18" s="130">
        <f t="shared" si="62"/>
        <v>0</v>
      </c>
      <c r="UR18" s="130">
        <f t="shared" si="62"/>
        <v>0</v>
      </c>
      <c r="US18" s="130">
        <f t="shared" si="62"/>
        <v>0</v>
      </c>
      <c r="UT18" s="130">
        <f t="shared" si="62"/>
        <v>0</v>
      </c>
      <c r="UU18" s="130">
        <f t="shared" si="62"/>
        <v>0</v>
      </c>
      <c r="UV18" s="130">
        <f t="shared" si="62"/>
        <v>0</v>
      </c>
      <c r="UW18" s="130">
        <f t="shared" si="62"/>
        <v>0</v>
      </c>
      <c r="UX18" s="130">
        <f t="shared" si="62"/>
        <v>0</v>
      </c>
      <c r="UY18" s="130">
        <f t="shared" si="62"/>
        <v>0</v>
      </c>
      <c r="UZ18" s="130">
        <f t="shared" si="62"/>
        <v>0</v>
      </c>
      <c r="VA18" s="130">
        <f t="shared" si="62"/>
        <v>0</v>
      </c>
      <c r="VB18" s="130">
        <f t="shared" si="62"/>
        <v>0</v>
      </c>
      <c r="VC18" s="130">
        <f t="shared" si="62"/>
        <v>0</v>
      </c>
      <c r="VD18" s="130">
        <f t="shared" si="62"/>
        <v>0</v>
      </c>
      <c r="VE18" s="130">
        <f t="shared" si="62"/>
        <v>0</v>
      </c>
      <c r="VF18" s="130">
        <f t="shared" si="62"/>
        <v>0</v>
      </c>
      <c r="VG18" s="130">
        <f t="shared" si="62"/>
        <v>0</v>
      </c>
      <c r="VH18" s="130">
        <f t="shared" si="62"/>
        <v>0</v>
      </c>
      <c r="VI18" s="130">
        <f t="shared" si="62"/>
        <v>0</v>
      </c>
      <c r="VJ18" s="130">
        <f t="shared" si="62"/>
        <v>0</v>
      </c>
      <c r="VK18" s="130">
        <f t="shared" si="62"/>
        <v>0</v>
      </c>
      <c r="VL18" s="130">
        <f t="shared" si="62"/>
        <v>0</v>
      </c>
      <c r="VM18" s="130">
        <f t="shared" si="62"/>
        <v>0</v>
      </c>
      <c r="VN18" s="130">
        <f t="shared" si="62"/>
        <v>0</v>
      </c>
      <c r="VO18" s="130">
        <f t="shared" si="62"/>
        <v>0</v>
      </c>
      <c r="VP18" s="130">
        <f t="shared" si="62"/>
        <v>0</v>
      </c>
      <c r="VQ18" s="130">
        <f t="shared" si="62"/>
        <v>0</v>
      </c>
      <c r="VR18" s="130">
        <f t="shared" si="62"/>
        <v>0</v>
      </c>
      <c r="VS18" s="130">
        <f t="shared" ref="VS18:YD18" si="63">ROUND(VS58,0)</f>
        <v>0</v>
      </c>
      <c r="VT18" s="130">
        <f t="shared" si="63"/>
        <v>0</v>
      </c>
      <c r="VU18" s="130">
        <f t="shared" si="63"/>
        <v>0</v>
      </c>
      <c r="VV18" s="130">
        <f t="shared" si="63"/>
        <v>0</v>
      </c>
      <c r="VW18" s="130">
        <f t="shared" si="63"/>
        <v>0</v>
      </c>
      <c r="VX18" s="130">
        <f t="shared" si="63"/>
        <v>0</v>
      </c>
      <c r="VY18" s="130">
        <f t="shared" si="63"/>
        <v>0</v>
      </c>
      <c r="VZ18" s="130">
        <f t="shared" si="63"/>
        <v>0</v>
      </c>
      <c r="WA18" s="130">
        <f t="shared" si="63"/>
        <v>0</v>
      </c>
      <c r="WB18" s="130">
        <f t="shared" si="63"/>
        <v>0</v>
      </c>
      <c r="WC18" s="130">
        <f t="shared" si="63"/>
        <v>0</v>
      </c>
      <c r="WD18" s="130">
        <f t="shared" si="63"/>
        <v>0</v>
      </c>
      <c r="WE18" s="130">
        <f t="shared" si="63"/>
        <v>0</v>
      </c>
      <c r="WF18" s="130">
        <f t="shared" si="63"/>
        <v>0</v>
      </c>
      <c r="WG18" s="130">
        <f t="shared" si="63"/>
        <v>0</v>
      </c>
      <c r="WH18" s="130">
        <f t="shared" si="63"/>
        <v>0</v>
      </c>
      <c r="WI18" s="130">
        <f t="shared" si="63"/>
        <v>0</v>
      </c>
      <c r="WJ18" s="130">
        <f t="shared" si="63"/>
        <v>0</v>
      </c>
      <c r="WK18" s="130">
        <f t="shared" si="63"/>
        <v>0</v>
      </c>
      <c r="WL18" s="130">
        <f t="shared" si="63"/>
        <v>0</v>
      </c>
      <c r="WM18" s="130">
        <f t="shared" si="63"/>
        <v>0</v>
      </c>
      <c r="WN18" s="130">
        <f t="shared" si="63"/>
        <v>0</v>
      </c>
      <c r="WO18" s="130">
        <f t="shared" si="63"/>
        <v>0</v>
      </c>
      <c r="WP18" s="130">
        <f t="shared" si="63"/>
        <v>0</v>
      </c>
      <c r="WQ18" s="130">
        <f t="shared" si="63"/>
        <v>0</v>
      </c>
      <c r="WR18" s="130">
        <f t="shared" si="63"/>
        <v>0</v>
      </c>
      <c r="WS18" s="130">
        <f t="shared" si="63"/>
        <v>0</v>
      </c>
      <c r="WT18" s="130">
        <f t="shared" si="63"/>
        <v>0</v>
      </c>
      <c r="WU18" s="130">
        <f t="shared" si="63"/>
        <v>0</v>
      </c>
      <c r="WV18" s="130">
        <f t="shared" si="63"/>
        <v>0</v>
      </c>
      <c r="WW18" s="130">
        <f t="shared" si="63"/>
        <v>0</v>
      </c>
      <c r="WX18" s="130">
        <f t="shared" si="63"/>
        <v>0</v>
      </c>
      <c r="WY18" s="130">
        <f t="shared" si="63"/>
        <v>0</v>
      </c>
      <c r="WZ18" s="130">
        <f t="shared" si="63"/>
        <v>0</v>
      </c>
      <c r="XA18" s="130">
        <f t="shared" si="63"/>
        <v>0</v>
      </c>
      <c r="XB18" s="130">
        <f t="shared" si="63"/>
        <v>0</v>
      </c>
      <c r="XC18" s="130">
        <f t="shared" si="63"/>
        <v>0</v>
      </c>
      <c r="XD18" s="130">
        <f t="shared" si="63"/>
        <v>0</v>
      </c>
      <c r="XE18" s="130">
        <f t="shared" si="63"/>
        <v>0</v>
      </c>
      <c r="XF18" s="130">
        <f t="shared" si="63"/>
        <v>0</v>
      </c>
      <c r="XG18" s="130">
        <f t="shared" si="63"/>
        <v>0</v>
      </c>
      <c r="XH18" s="130">
        <f t="shared" si="63"/>
        <v>0</v>
      </c>
      <c r="XI18" s="130">
        <f t="shared" si="63"/>
        <v>0</v>
      </c>
      <c r="XJ18" s="130">
        <f t="shared" si="63"/>
        <v>0</v>
      </c>
      <c r="XK18" s="130">
        <f t="shared" si="63"/>
        <v>0</v>
      </c>
      <c r="XL18" s="130">
        <f t="shared" si="63"/>
        <v>0</v>
      </c>
      <c r="XM18" s="130">
        <f t="shared" si="63"/>
        <v>0</v>
      </c>
      <c r="XN18" s="130">
        <f t="shared" si="63"/>
        <v>0</v>
      </c>
      <c r="XO18" s="130">
        <f t="shared" si="63"/>
        <v>0</v>
      </c>
      <c r="XP18" s="130">
        <f t="shared" si="63"/>
        <v>0</v>
      </c>
      <c r="XQ18" s="130">
        <f t="shared" si="63"/>
        <v>0</v>
      </c>
      <c r="XR18" s="130">
        <f t="shared" si="63"/>
        <v>0</v>
      </c>
      <c r="XS18" s="130">
        <f t="shared" si="63"/>
        <v>0</v>
      </c>
      <c r="XT18" s="130">
        <f t="shared" si="63"/>
        <v>0</v>
      </c>
      <c r="XU18" s="130">
        <f t="shared" si="63"/>
        <v>0</v>
      </c>
      <c r="XV18" s="130">
        <f t="shared" si="63"/>
        <v>0</v>
      </c>
      <c r="XW18" s="130">
        <f t="shared" si="63"/>
        <v>0</v>
      </c>
      <c r="XX18" s="130">
        <f t="shared" si="63"/>
        <v>0</v>
      </c>
      <c r="XY18" s="130">
        <f t="shared" si="63"/>
        <v>0</v>
      </c>
      <c r="XZ18" s="130">
        <f t="shared" si="63"/>
        <v>0</v>
      </c>
      <c r="YA18" s="130">
        <f t="shared" si="63"/>
        <v>0</v>
      </c>
      <c r="YB18" s="130">
        <f t="shared" si="63"/>
        <v>0</v>
      </c>
      <c r="YC18" s="130">
        <f t="shared" si="63"/>
        <v>0</v>
      </c>
      <c r="YD18" s="130">
        <f t="shared" si="63"/>
        <v>0</v>
      </c>
      <c r="YE18" s="130">
        <f t="shared" ref="YE18:AAP18" si="64">ROUND(YE58,0)</f>
        <v>0</v>
      </c>
      <c r="YF18" s="130">
        <f t="shared" si="64"/>
        <v>0</v>
      </c>
      <c r="YG18" s="130">
        <f t="shared" si="64"/>
        <v>0</v>
      </c>
      <c r="YH18" s="130">
        <f t="shared" si="64"/>
        <v>0</v>
      </c>
      <c r="YI18" s="130">
        <f t="shared" si="64"/>
        <v>0</v>
      </c>
      <c r="YJ18" s="130">
        <f t="shared" si="64"/>
        <v>0</v>
      </c>
      <c r="YK18" s="130">
        <f t="shared" si="64"/>
        <v>0</v>
      </c>
      <c r="YL18" s="130">
        <f t="shared" si="64"/>
        <v>0</v>
      </c>
      <c r="YM18" s="130">
        <f t="shared" si="64"/>
        <v>0</v>
      </c>
      <c r="YN18" s="130">
        <f t="shared" si="64"/>
        <v>0</v>
      </c>
      <c r="YO18" s="130">
        <f t="shared" si="64"/>
        <v>0</v>
      </c>
      <c r="YP18" s="130">
        <f t="shared" si="64"/>
        <v>0</v>
      </c>
      <c r="YQ18" s="130">
        <f t="shared" si="64"/>
        <v>0</v>
      </c>
      <c r="YR18" s="130">
        <f t="shared" si="64"/>
        <v>0</v>
      </c>
      <c r="YS18" s="130">
        <f t="shared" si="64"/>
        <v>0</v>
      </c>
      <c r="YT18" s="130">
        <f t="shared" si="64"/>
        <v>0</v>
      </c>
      <c r="YU18" s="130">
        <f t="shared" si="64"/>
        <v>0</v>
      </c>
      <c r="YV18" s="130">
        <f t="shared" si="64"/>
        <v>0</v>
      </c>
      <c r="YW18" s="130">
        <f t="shared" si="64"/>
        <v>0</v>
      </c>
      <c r="YX18" s="130">
        <f t="shared" si="64"/>
        <v>0</v>
      </c>
      <c r="YY18" s="130">
        <f t="shared" si="64"/>
        <v>0</v>
      </c>
      <c r="YZ18" s="130">
        <f t="shared" si="64"/>
        <v>0</v>
      </c>
      <c r="ZA18" s="130">
        <f t="shared" si="64"/>
        <v>0</v>
      </c>
      <c r="ZB18" s="130">
        <f t="shared" si="64"/>
        <v>0</v>
      </c>
      <c r="ZC18" s="130">
        <f t="shared" si="64"/>
        <v>0</v>
      </c>
      <c r="ZD18" s="130">
        <f t="shared" si="64"/>
        <v>0</v>
      </c>
      <c r="ZE18" s="130">
        <f t="shared" si="64"/>
        <v>0</v>
      </c>
      <c r="ZF18" s="130">
        <f t="shared" si="64"/>
        <v>0</v>
      </c>
      <c r="ZG18" s="130">
        <f t="shared" si="64"/>
        <v>0</v>
      </c>
      <c r="ZH18" s="130">
        <f t="shared" si="64"/>
        <v>0</v>
      </c>
      <c r="ZI18" s="130">
        <f t="shared" si="64"/>
        <v>0</v>
      </c>
      <c r="ZJ18" s="130">
        <f t="shared" si="64"/>
        <v>0</v>
      </c>
      <c r="ZK18" s="130">
        <f t="shared" si="64"/>
        <v>0</v>
      </c>
      <c r="ZL18" s="130">
        <f t="shared" si="64"/>
        <v>0</v>
      </c>
      <c r="ZM18" s="130">
        <f t="shared" si="64"/>
        <v>0</v>
      </c>
      <c r="ZN18" s="130">
        <f t="shared" si="64"/>
        <v>0</v>
      </c>
      <c r="ZO18" s="130">
        <f t="shared" si="64"/>
        <v>0</v>
      </c>
      <c r="ZP18" s="130">
        <f t="shared" si="64"/>
        <v>0</v>
      </c>
      <c r="ZQ18" s="130">
        <f t="shared" si="64"/>
        <v>0</v>
      </c>
      <c r="ZR18" s="130">
        <f t="shared" si="64"/>
        <v>0</v>
      </c>
      <c r="ZS18" s="130">
        <f t="shared" si="64"/>
        <v>0</v>
      </c>
      <c r="ZT18" s="130">
        <f t="shared" si="64"/>
        <v>0</v>
      </c>
      <c r="ZU18" s="130">
        <f t="shared" si="64"/>
        <v>0</v>
      </c>
      <c r="ZV18" s="130">
        <f t="shared" si="64"/>
        <v>0</v>
      </c>
      <c r="ZW18" s="130">
        <f t="shared" si="64"/>
        <v>0</v>
      </c>
      <c r="ZX18" s="130">
        <f t="shared" si="64"/>
        <v>0</v>
      </c>
      <c r="ZY18" s="130">
        <f t="shared" si="64"/>
        <v>0</v>
      </c>
      <c r="ZZ18" s="130">
        <f t="shared" si="64"/>
        <v>0</v>
      </c>
      <c r="AAA18" s="130">
        <f t="shared" si="64"/>
        <v>0</v>
      </c>
      <c r="AAB18" s="130">
        <f t="shared" si="64"/>
        <v>0</v>
      </c>
      <c r="AAC18" s="130">
        <f t="shared" si="64"/>
        <v>0</v>
      </c>
      <c r="AAD18" s="130">
        <f t="shared" si="64"/>
        <v>0</v>
      </c>
      <c r="AAE18" s="130">
        <f t="shared" si="64"/>
        <v>0</v>
      </c>
      <c r="AAF18" s="130">
        <f t="shared" si="64"/>
        <v>0</v>
      </c>
      <c r="AAG18" s="130">
        <f t="shared" si="64"/>
        <v>0</v>
      </c>
      <c r="AAH18" s="130">
        <f t="shared" si="64"/>
        <v>0</v>
      </c>
      <c r="AAI18" s="130">
        <f t="shared" si="64"/>
        <v>0</v>
      </c>
      <c r="AAJ18" s="130">
        <f t="shared" si="64"/>
        <v>0</v>
      </c>
      <c r="AAK18" s="130">
        <f t="shared" si="64"/>
        <v>0</v>
      </c>
      <c r="AAL18" s="130">
        <f t="shared" si="64"/>
        <v>0</v>
      </c>
      <c r="AAM18" s="130">
        <f t="shared" si="64"/>
        <v>0</v>
      </c>
      <c r="AAN18" s="130">
        <f t="shared" si="64"/>
        <v>0</v>
      </c>
      <c r="AAO18" s="130">
        <f t="shared" si="64"/>
        <v>0</v>
      </c>
      <c r="AAP18" s="130">
        <f t="shared" si="64"/>
        <v>0</v>
      </c>
      <c r="AAQ18" s="130">
        <f t="shared" ref="AAQ18:ADB18" si="65">ROUND(AAQ58,0)</f>
        <v>0</v>
      </c>
      <c r="AAR18" s="130">
        <f t="shared" si="65"/>
        <v>0</v>
      </c>
      <c r="AAS18" s="130">
        <f t="shared" si="65"/>
        <v>0</v>
      </c>
      <c r="AAT18" s="130">
        <f t="shared" si="65"/>
        <v>0</v>
      </c>
      <c r="AAU18" s="130">
        <f t="shared" si="65"/>
        <v>0</v>
      </c>
      <c r="AAV18" s="130">
        <f t="shared" si="65"/>
        <v>0</v>
      </c>
      <c r="AAW18" s="130">
        <f t="shared" si="65"/>
        <v>0</v>
      </c>
      <c r="AAX18" s="130">
        <f t="shared" si="65"/>
        <v>0</v>
      </c>
      <c r="AAY18" s="130">
        <f t="shared" si="65"/>
        <v>0</v>
      </c>
      <c r="AAZ18" s="130">
        <f t="shared" si="65"/>
        <v>0</v>
      </c>
      <c r="ABA18" s="130">
        <f t="shared" si="65"/>
        <v>0</v>
      </c>
      <c r="ABB18" s="130">
        <f t="shared" si="65"/>
        <v>0</v>
      </c>
      <c r="ABC18" s="130">
        <f t="shared" si="65"/>
        <v>0</v>
      </c>
      <c r="ABD18" s="130">
        <f t="shared" si="65"/>
        <v>0</v>
      </c>
      <c r="ABE18" s="130">
        <f t="shared" si="65"/>
        <v>0</v>
      </c>
      <c r="ABF18" s="130">
        <f t="shared" si="65"/>
        <v>0</v>
      </c>
      <c r="ABG18" s="130">
        <f t="shared" si="65"/>
        <v>0</v>
      </c>
      <c r="ABH18" s="130">
        <f t="shared" si="65"/>
        <v>0</v>
      </c>
      <c r="ABI18" s="130">
        <f t="shared" si="65"/>
        <v>0</v>
      </c>
      <c r="ABJ18" s="130">
        <f t="shared" si="65"/>
        <v>0</v>
      </c>
      <c r="ABK18" s="130">
        <f t="shared" si="65"/>
        <v>0</v>
      </c>
      <c r="ABL18" s="130">
        <f t="shared" si="65"/>
        <v>0</v>
      </c>
      <c r="ABM18" s="130">
        <f t="shared" si="65"/>
        <v>0</v>
      </c>
      <c r="ABN18" s="130">
        <f t="shared" si="65"/>
        <v>0</v>
      </c>
      <c r="ABO18" s="130">
        <f t="shared" si="65"/>
        <v>0</v>
      </c>
      <c r="ABP18" s="130">
        <f t="shared" si="65"/>
        <v>0</v>
      </c>
      <c r="ABQ18" s="130">
        <f t="shared" si="65"/>
        <v>0</v>
      </c>
      <c r="ABR18" s="130">
        <f t="shared" si="65"/>
        <v>0</v>
      </c>
      <c r="ABS18" s="130">
        <f t="shared" si="65"/>
        <v>0</v>
      </c>
      <c r="ABT18" s="130">
        <f t="shared" si="65"/>
        <v>0</v>
      </c>
      <c r="ABU18" s="130">
        <f t="shared" si="65"/>
        <v>0</v>
      </c>
      <c r="ABV18" s="130">
        <f t="shared" si="65"/>
        <v>0</v>
      </c>
      <c r="ABW18" s="130">
        <f t="shared" si="65"/>
        <v>0</v>
      </c>
      <c r="ABX18" s="130">
        <f t="shared" si="65"/>
        <v>0</v>
      </c>
      <c r="ABY18" s="130">
        <f t="shared" si="65"/>
        <v>0</v>
      </c>
      <c r="ABZ18" s="130">
        <f t="shared" si="65"/>
        <v>0</v>
      </c>
      <c r="ACA18" s="130">
        <f t="shared" si="65"/>
        <v>0</v>
      </c>
      <c r="ACB18" s="130">
        <f t="shared" si="65"/>
        <v>0</v>
      </c>
      <c r="ACC18" s="130">
        <f t="shared" si="65"/>
        <v>0</v>
      </c>
      <c r="ACD18" s="130">
        <f t="shared" si="65"/>
        <v>0</v>
      </c>
      <c r="ACE18" s="130">
        <f t="shared" si="65"/>
        <v>0</v>
      </c>
      <c r="ACF18" s="130">
        <f t="shared" si="65"/>
        <v>0</v>
      </c>
      <c r="ACG18" s="130">
        <f t="shared" si="65"/>
        <v>0</v>
      </c>
      <c r="ACH18" s="130">
        <f t="shared" si="65"/>
        <v>0</v>
      </c>
      <c r="ACI18" s="130">
        <f t="shared" si="65"/>
        <v>0</v>
      </c>
      <c r="ACJ18" s="130">
        <f t="shared" si="65"/>
        <v>0</v>
      </c>
      <c r="ACK18" s="130">
        <f t="shared" si="65"/>
        <v>0</v>
      </c>
      <c r="ACL18" s="130">
        <f t="shared" si="65"/>
        <v>0</v>
      </c>
      <c r="ACM18" s="130">
        <f t="shared" si="65"/>
        <v>0</v>
      </c>
      <c r="ACN18" s="130">
        <f t="shared" si="65"/>
        <v>0</v>
      </c>
      <c r="ACO18" s="130">
        <f t="shared" si="65"/>
        <v>0</v>
      </c>
      <c r="ACP18" s="130">
        <f t="shared" si="65"/>
        <v>0</v>
      </c>
      <c r="ACQ18" s="130">
        <f t="shared" si="65"/>
        <v>0</v>
      </c>
      <c r="ACR18" s="130">
        <f t="shared" si="65"/>
        <v>0</v>
      </c>
      <c r="ACS18" s="130">
        <f t="shared" si="65"/>
        <v>0</v>
      </c>
      <c r="ACT18" s="130">
        <f t="shared" si="65"/>
        <v>0</v>
      </c>
      <c r="ACU18" s="130">
        <f t="shared" si="65"/>
        <v>0</v>
      </c>
      <c r="ACV18" s="130">
        <f t="shared" si="65"/>
        <v>0</v>
      </c>
      <c r="ACW18" s="130">
        <f t="shared" si="65"/>
        <v>0</v>
      </c>
      <c r="ACX18" s="130">
        <f t="shared" si="65"/>
        <v>0</v>
      </c>
      <c r="ACY18" s="130">
        <f t="shared" si="65"/>
        <v>0</v>
      </c>
      <c r="ACZ18" s="130">
        <f t="shared" si="65"/>
        <v>0</v>
      </c>
      <c r="ADA18" s="130">
        <f t="shared" si="65"/>
        <v>0</v>
      </c>
      <c r="ADB18" s="130">
        <f t="shared" si="65"/>
        <v>0</v>
      </c>
      <c r="ADC18" s="130">
        <f t="shared" ref="ADC18:AEW18" si="66">ROUND(ADC58,0)</f>
        <v>0</v>
      </c>
      <c r="ADD18" s="130">
        <f t="shared" si="66"/>
        <v>0</v>
      </c>
      <c r="ADE18" s="130">
        <f t="shared" si="66"/>
        <v>0</v>
      </c>
      <c r="ADF18" s="130">
        <f t="shared" si="66"/>
        <v>0</v>
      </c>
      <c r="ADG18" s="130">
        <f t="shared" si="66"/>
        <v>0</v>
      </c>
      <c r="ADH18" s="130">
        <f t="shared" si="66"/>
        <v>0</v>
      </c>
      <c r="ADI18" s="130">
        <f t="shared" si="66"/>
        <v>0</v>
      </c>
      <c r="ADJ18" s="130">
        <f t="shared" si="66"/>
        <v>0</v>
      </c>
      <c r="ADK18" s="130">
        <f t="shared" si="66"/>
        <v>0</v>
      </c>
      <c r="ADL18" s="130">
        <f t="shared" si="66"/>
        <v>0</v>
      </c>
      <c r="ADM18" s="130">
        <f t="shared" si="66"/>
        <v>0</v>
      </c>
      <c r="ADN18" s="130">
        <f t="shared" si="66"/>
        <v>0</v>
      </c>
      <c r="ADO18" s="130">
        <f t="shared" si="66"/>
        <v>0</v>
      </c>
      <c r="ADP18" s="130">
        <f t="shared" si="66"/>
        <v>0</v>
      </c>
      <c r="ADQ18" s="130">
        <f t="shared" si="66"/>
        <v>0</v>
      </c>
      <c r="ADR18" s="130">
        <f t="shared" si="66"/>
        <v>0</v>
      </c>
      <c r="ADS18" s="130">
        <f t="shared" si="66"/>
        <v>0</v>
      </c>
      <c r="ADT18" s="130">
        <f t="shared" si="66"/>
        <v>0</v>
      </c>
      <c r="ADU18" s="130">
        <f t="shared" si="66"/>
        <v>0</v>
      </c>
      <c r="ADV18" s="130">
        <f t="shared" si="66"/>
        <v>0</v>
      </c>
      <c r="ADW18" s="130">
        <f t="shared" si="66"/>
        <v>0</v>
      </c>
      <c r="ADX18" s="130">
        <f t="shared" si="66"/>
        <v>0</v>
      </c>
      <c r="ADY18" s="130">
        <f t="shared" si="66"/>
        <v>0</v>
      </c>
      <c r="ADZ18" s="130">
        <f t="shared" si="66"/>
        <v>0</v>
      </c>
      <c r="AEA18" s="130">
        <f t="shared" si="66"/>
        <v>0</v>
      </c>
      <c r="AEB18" s="130">
        <f t="shared" si="66"/>
        <v>0</v>
      </c>
      <c r="AEC18" s="130">
        <f t="shared" si="66"/>
        <v>0</v>
      </c>
      <c r="AED18" s="130">
        <f t="shared" si="66"/>
        <v>0</v>
      </c>
      <c r="AEE18" s="130">
        <f t="shared" si="66"/>
        <v>0</v>
      </c>
      <c r="AEF18" s="130">
        <f t="shared" si="66"/>
        <v>0</v>
      </c>
      <c r="AEG18" s="130">
        <f t="shared" si="66"/>
        <v>0</v>
      </c>
      <c r="AEH18" s="130">
        <f t="shared" si="66"/>
        <v>0</v>
      </c>
      <c r="AEI18" s="130">
        <f t="shared" si="66"/>
        <v>0</v>
      </c>
      <c r="AEJ18" s="130">
        <f t="shared" si="66"/>
        <v>0</v>
      </c>
      <c r="AEK18" s="130">
        <f t="shared" si="66"/>
        <v>0</v>
      </c>
      <c r="AEL18" s="130">
        <f t="shared" si="66"/>
        <v>0</v>
      </c>
      <c r="AEM18" s="130">
        <f t="shared" si="66"/>
        <v>0</v>
      </c>
      <c r="AEN18" s="130">
        <f t="shared" si="66"/>
        <v>0</v>
      </c>
      <c r="AEO18" s="130">
        <f t="shared" si="66"/>
        <v>0</v>
      </c>
      <c r="AEP18" s="130">
        <f t="shared" si="66"/>
        <v>0</v>
      </c>
      <c r="AEQ18" s="130">
        <f t="shared" si="66"/>
        <v>0</v>
      </c>
      <c r="AER18" s="130">
        <f t="shared" si="66"/>
        <v>0</v>
      </c>
      <c r="AES18" s="130">
        <f t="shared" si="66"/>
        <v>0</v>
      </c>
      <c r="AET18" s="130">
        <f t="shared" si="66"/>
        <v>0</v>
      </c>
      <c r="AEU18" s="130">
        <f t="shared" si="66"/>
        <v>0</v>
      </c>
      <c r="AEV18" s="130">
        <f t="shared" si="66"/>
        <v>0</v>
      </c>
      <c r="AEW18" s="130">
        <f t="shared" si="66"/>
        <v>0</v>
      </c>
      <c r="AEX18" s="144" t="s">
        <v>221</v>
      </c>
    </row>
    <row r="19" spans="1:830" ht="22.5" customHeight="1" x14ac:dyDescent="0.25">
      <c r="A19" s="36"/>
      <c r="B19" s="128" t="s">
        <v>413</v>
      </c>
      <c r="C19" s="160">
        <f>REKAP!$J$6</f>
        <v>0</v>
      </c>
      <c r="D19" s="124">
        <f>REKAP!$J$4</f>
        <v>0</v>
      </c>
      <c r="E19" s="159">
        <f>REKAP!$J$5</f>
        <v>0</v>
      </c>
      <c r="F19" s="36"/>
      <c r="G19" s="138" t="s">
        <v>219</v>
      </c>
      <c r="H19" s="4" t="s">
        <v>220</v>
      </c>
      <c r="I19" s="143"/>
      <c r="J19" s="141">
        <f t="shared" si="0"/>
        <v>0</v>
      </c>
      <c r="K19" s="7"/>
      <c r="L19" s="7"/>
      <c r="M19" s="7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  <c r="CE19" s="130"/>
      <c r="CF19" s="130"/>
      <c r="CG19" s="130"/>
      <c r="CH19" s="130"/>
      <c r="CI19" s="130"/>
      <c r="CJ19" s="130"/>
      <c r="CK19" s="130"/>
      <c r="CL19" s="130"/>
      <c r="CM19" s="130"/>
      <c r="CN19" s="130"/>
      <c r="CO19" s="130"/>
      <c r="CP19" s="130"/>
      <c r="CQ19" s="130"/>
      <c r="CR19" s="130"/>
      <c r="CS19" s="130"/>
      <c r="CT19" s="130"/>
      <c r="CU19" s="130"/>
      <c r="CV19" s="130"/>
      <c r="CW19" s="130"/>
      <c r="CX19" s="130"/>
      <c r="CY19" s="130"/>
      <c r="CZ19" s="130"/>
      <c r="DA19" s="130"/>
      <c r="DB19" s="130"/>
      <c r="DC19" s="130"/>
      <c r="DD19" s="130"/>
      <c r="DE19" s="130"/>
      <c r="DF19" s="130"/>
      <c r="DG19" s="130"/>
      <c r="DH19" s="130"/>
      <c r="DI19" s="130"/>
      <c r="DJ19" s="130"/>
      <c r="DK19" s="130"/>
      <c r="DL19" s="130"/>
      <c r="DM19" s="130"/>
      <c r="DN19" s="130"/>
      <c r="DO19" s="130"/>
      <c r="DP19" s="130"/>
      <c r="DQ19" s="130"/>
      <c r="DR19" s="130"/>
      <c r="DS19" s="130"/>
      <c r="DT19" s="130"/>
      <c r="DU19" s="130"/>
      <c r="DV19" s="130"/>
      <c r="DW19" s="130"/>
      <c r="DX19" s="130"/>
      <c r="DY19" s="130"/>
      <c r="DZ19" s="130"/>
      <c r="EA19" s="130"/>
      <c r="EB19" s="130"/>
      <c r="EC19" s="130"/>
      <c r="ED19" s="130"/>
      <c r="EE19" s="130"/>
      <c r="EF19" s="130"/>
      <c r="EG19" s="130"/>
      <c r="EH19" s="130"/>
      <c r="EI19" s="130"/>
      <c r="EJ19" s="130"/>
      <c r="EK19" s="130"/>
      <c r="EL19" s="130"/>
      <c r="EM19" s="130"/>
      <c r="EN19" s="130"/>
      <c r="EO19" s="130"/>
      <c r="EP19" s="130"/>
      <c r="EQ19" s="130"/>
      <c r="ER19" s="130"/>
      <c r="ES19" s="130"/>
      <c r="ET19" s="130"/>
      <c r="EU19" s="130"/>
      <c r="EV19" s="130"/>
      <c r="EW19" s="130"/>
      <c r="EX19" s="130"/>
      <c r="EY19" s="130"/>
      <c r="EZ19" s="130"/>
      <c r="FA19" s="130"/>
      <c r="FB19" s="130"/>
      <c r="FC19" s="130"/>
      <c r="FD19" s="130"/>
      <c r="FE19" s="130"/>
      <c r="FF19" s="130"/>
      <c r="FG19" s="130"/>
      <c r="FH19" s="130"/>
      <c r="FI19" s="130"/>
      <c r="FJ19" s="130"/>
      <c r="FK19" s="130"/>
      <c r="FL19" s="130"/>
      <c r="FM19" s="130"/>
      <c r="FN19" s="130"/>
      <c r="FO19" s="130"/>
      <c r="FP19" s="130"/>
      <c r="FQ19" s="130"/>
      <c r="FR19" s="130"/>
      <c r="FS19" s="130"/>
      <c r="FT19" s="130"/>
      <c r="FU19" s="130"/>
      <c r="FV19" s="130"/>
      <c r="FW19" s="130"/>
      <c r="FX19" s="130"/>
      <c r="FY19" s="130"/>
      <c r="FZ19" s="130"/>
      <c r="GA19" s="130"/>
      <c r="GB19" s="130"/>
      <c r="GC19" s="130"/>
      <c r="GD19" s="130"/>
      <c r="GE19" s="130"/>
      <c r="GF19" s="130"/>
      <c r="GG19" s="130"/>
      <c r="GH19" s="130"/>
      <c r="GI19" s="130"/>
      <c r="GJ19" s="130"/>
      <c r="GK19" s="130"/>
      <c r="GL19" s="130"/>
      <c r="GM19" s="130"/>
      <c r="GN19" s="130"/>
      <c r="GO19" s="130"/>
      <c r="GP19" s="130"/>
      <c r="GQ19" s="130"/>
      <c r="GR19" s="130"/>
      <c r="GS19" s="130"/>
      <c r="GT19" s="130"/>
      <c r="GU19" s="130"/>
      <c r="GV19" s="130"/>
      <c r="GW19" s="130"/>
      <c r="GX19" s="130"/>
      <c r="GY19" s="130"/>
      <c r="GZ19" s="130"/>
      <c r="HA19" s="130"/>
      <c r="HB19" s="140">
        <f>MADRASAH!$J$6</f>
        <v>0</v>
      </c>
      <c r="HC19" s="140">
        <f>MADRASAH!$J$7</f>
        <v>0</v>
      </c>
      <c r="HD19" s="140">
        <f>MADRASAH!$J$8</f>
        <v>0</v>
      </c>
      <c r="HE19" s="140">
        <f>MADRASAH!$J$9</f>
        <v>0</v>
      </c>
      <c r="HF19" s="140">
        <f>MADRASAH!$J$10</f>
        <v>0</v>
      </c>
      <c r="HG19" s="140">
        <f>MADRASAH!$J$11</f>
        <v>0</v>
      </c>
      <c r="HH19" s="140">
        <f>MADRASAH!$J$12</f>
        <v>0</v>
      </c>
      <c r="HI19" s="140">
        <f>MADRASAH!$J$13</f>
        <v>0</v>
      </c>
      <c r="HJ19" s="140">
        <f>MADRASAH!$J$14</f>
        <v>0</v>
      </c>
      <c r="HK19" s="140">
        <f>MADRASAH!$J$15</f>
        <v>0</v>
      </c>
      <c r="HL19" s="140">
        <f>MADRASAH!$J$16</f>
        <v>0</v>
      </c>
      <c r="HM19" s="140">
        <f>MADRASAH!$J$17</f>
        <v>0</v>
      </c>
      <c r="HN19" s="140">
        <f>MADRASAH!$J$18</f>
        <v>0</v>
      </c>
      <c r="HO19" s="140">
        <f>MADRASAH!$J$19</f>
        <v>0</v>
      </c>
      <c r="HP19" s="140">
        <f>MADRASAH!$J$20</f>
        <v>0</v>
      </c>
      <c r="HQ19" s="140">
        <f>MADRASAH!$J$21</f>
        <v>0</v>
      </c>
      <c r="HR19" s="140">
        <f>MADRASAH!$J$22</f>
        <v>0</v>
      </c>
      <c r="HS19" s="140">
        <f>MADRASAH!$J$23</f>
        <v>0</v>
      </c>
      <c r="HT19" s="140">
        <f>MADRASAH!$J$24</f>
        <v>0</v>
      </c>
      <c r="HU19" s="140">
        <f>MADRASAH!$J$25</f>
        <v>0</v>
      </c>
      <c r="HV19" s="140">
        <f>MADRASAH!$J$26</f>
        <v>0</v>
      </c>
      <c r="HW19" s="140">
        <f>MADRASAH!$J$27</f>
        <v>0</v>
      </c>
      <c r="HX19" s="140">
        <f>MADRASAH!$J$28</f>
        <v>0</v>
      </c>
      <c r="HY19" s="140">
        <f>MADRASAH!$J$29</f>
        <v>0</v>
      </c>
      <c r="HZ19" s="140">
        <f>MADRASAH!$J$30</f>
        <v>0</v>
      </c>
      <c r="IA19" s="140">
        <f>MADRASAH!$J$31</f>
        <v>0</v>
      </c>
      <c r="IB19" s="140">
        <f>MADRASAH!$J$32</f>
        <v>0</v>
      </c>
      <c r="IC19" s="140">
        <f>MADRASAH!$J$33</f>
        <v>0</v>
      </c>
      <c r="ID19" s="140">
        <f>MADRASAH!$J$34</f>
        <v>0</v>
      </c>
      <c r="IE19" s="140">
        <f>MADRASAH!$J$35</f>
        <v>0</v>
      </c>
      <c r="IF19" s="140">
        <f>MADRASAH!$J$36</f>
        <v>0</v>
      </c>
      <c r="IG19" s="140">
        <f>MADRASAH!$J$37</f>
        <v>0</v>
      </c>
      <c r="IH19" s="140">
        <f>MADRASAH!$J$38</f>
        <v>0</v>
      </c>
      <c r="II19" s="140">
        <f>MADRASAH!$J$39</f>
        <v>0</v>
      </c>
      <c r="IJ19" s="140">
        <f>MADRASAH!$J$40</f>
        <v>0</v>
      </c>
      <c r="IK19" s="140">
        <f>MADRASAH!$J$41</f>
        <v>0</v>
      </c>
      <c r="IL19" s="140">
        <f>MADRASAH!$J$42</f>
        <v>0</v>
      </c>
      <c r="IM19" s="140">
        <f>MADRASAH!$J$43</f>
        <v>0</v>
      </c>
      <c r="IN19" s="140">
        <f>MADRASAH!$J$44</f>
        <v>0</v>
      </c>
      <c r="IO19" s="140">
        <f>MADRASAH!$J$45</f>
        <v>0</v>
      </c>
      <c r="IP19" s="140">
        <f>MADRASAH!$J$46</f>
        <v>0</v>
      </c>
      <c r="IQ19" s="140">
        <f>MADRASAH!$J$47</f>
        <v>0</v>
      </c>
      <c r="IR19" s="140">
        <f>MADRASAH!$J$48</f>
        <v>0</v>
      </c>
      <c r="IS19" s="140">
        <f>MADRASAH!$J$49</f>
        <v>0</v>
      </c>
      <c r="IT19" s="140">
        <f>MADRASAH!$J$50</f>
        <v>0</v>
      </c>
      <c r="IU19" s="140">
        <f>MADRASAH!$J$51</f>
        <v>0</v>
      </c>
      <c r="IV19" s="140">
        <f>MADRASAH!$J$52</f>
        <v>0</v>
      </c>
      <c r="IW19" s="140">
        <f>MADRASAH!$J$53</f>
        <v>0</v>
      </c>
      <c r="IX19" s="140">
        <f>MADRASAH!$J$54</f>
        <v>0</v>
      </c>
      <c r="IY19" s="140">
        <f>MADRASAH!$J$55</f>
        <v>0</v>
      </c>
      <c r="IZ19" s="140">
        <f>MADRASAH!$J$56</f>
        <v>0</v>
      </c>
      <c r="JA19" s="140">
        <f>MADRASAH!$J$57</f>
        <v>0</v>
      </c>
      <c r="JB19" s="140">
        <f>MADRASAH!$J$58</f>
        <v>0</v>
      </c>
      <c r="JC19" s="140">
        <f>MADRASAH!$J$59</f>
        <v>0</v>
      </c>
      <c r="JD19" s="140">
        <f>MADRASAH!$J$60</f>
        <v>0</v>
      </c>
      <c r="JE19" s="140">
        <f>MADRASAH!$J$61</f>
        <v>0</v>
      </c>
      <c r="JF19" s="140">
        <f>MADRASAH!$J$62</f>
        <v>0</v>
      </c>
      <c r="JG19" s="140">
        <f>MADRASAH!$J$63</f>
        <v>0</v>
      </c>
      <c r="JH19" s="140">
        <f>MADRASAH!$J$64</f>
        <v>0</v>
      </c>
      <c r="JI19" s="140">
        <f>MADRASAH!$J$65</f>
        <v>0</v>
      </c>
      <c r="JJ19" s="140">
        <f>MADRASAH!$J$66</f>
        <v>0</v>
      </c>
      <c r="JK19" s="140">
        <f>MADRASAH!$J$67</f>
        <v>0</v>
      </c>
      <c r="JL19" s="140">
        <f>MADRASAH!$J$68</f>
        <v>0</v>
      </c>
      <c r="JM19" s="140">
        <f>MADRASAH!$J$69</f>
        <v>0</v>
      </c>
      <c r="JN19" s="130"/>
      <c r="JO19" s="130"/>
      <c r="JP19" s="130"/>
      <c r="JQ19" s="130"/>
      <c r="JR19" s="130"/>
      <c r="JS19" s="130"/>
      <c r="JT19" s="130"/>
      <c r="JU19" s="130"/>
      <c r="JV19" s="130"/>
      <c r="JW19" s="130"/>
      <c r="JX19" s="130"/>
      <c r="JY19" s="130"/>
      <c r="JZ19" s="130"/>
      <c r="KA19" s="130"/>
      <c r="KB19" s="130"/>
      <c r="KC19" s="130"/>
      <c r="KD19" s="130"/>
      <c r="KE19" s="130"/>
      <c r="KF19" s="130"/>
      <c r="KG19" s="130"/>
      <c r="KH19" s="130"/>
      <c r="KI19" s="130"/>
      <c r="KJ19" s="130"/>
      <c r="KK19" s="130"/>
      <c r="KL19" s="130"/>
      <c r="KM19" s="130"/>
      <c r="KN19" s="130"/>
      <c r="KO19" s="130"/>
      <c r="KP19" s="130"/>
      <c r="KQ19" s="130"/>
      <c r="KR19" s="130"/>
      <c r="KS19" s="130"/>
      <c r="KT19" s="130"/>
      <c r="KU19" s="130"/>
      <c r="KV19" s="130"/>
      <c r="KW19" s="130"/>
      <c r="KX19" s="130"/>
      <c r="KY19" s="130"/>
      <c r="KZ19" s="130"/>
      <c r="LA19" s="130"/>
      <c r="LB19" s="130"/>
      <c r="LC19" s="130"/>
      <c r="LD19" s="130"/>
      <c r="LE19" s="130"/>
      <c r="LF19" s="130"/>
      <c r="LG19" s="130"/>
      <c r="LH19" s="130"/>
      <c r="LI19" s="130"/>
      <c r="LJ19" s="130"/>
      <c r="LK19" s="130"/>
      <c r="LL19" s="130"/>
      <c r="LM19" s="130"/>
      <c r="LN19" s="130"/>
      <c r="LO19" s="130"/>
      <c r="LP19" s="130"/>
      <c r="LQ19" s="130"/>
      <c r="LR19" s="130"/>
      <c r="LS19" s="130"/>
      <c r="LT19" s="130"/>
      <c r="LU19" s="130"/>
      <c r="LV19" s="130"/>
      <c r="LW19" s="130"/>
      <c r="LX19" s="130"/>
      <c r="LY19" s="130"/>
      <c r="LZ19" s="130"/>
      <c r="MA19" s="130"/>
      <c r="MB19" s="130"/>
      <c r="MC19" s="130"/>
      <c r="MD19" s="130"/>
      <c r="ME19" s="130"/>
      <c r="MF19" s="130"/>
      <c r="MG19" s="130"/>
      <c r="MH19" s="130"/>
      <c r="MI19" s="130"/>
      <c r="MJ19" s="130"/>
      <c r="MK19" s="130"/>
      <c r="ML19" s="130"/>
      <c r="MM19" s="130"/>
      <c r="MN19" s="130"/>
      <c r="MO19" s="130"/>
      <c r="MP19" s="130"/>
      <c r="MQ19" s="130"/>
      <c r="MR19" s="130"/>
      <c r="MS19" s="130"/>
      <c r="MT19" s="130"/>
      <c r="MU19" s="130"/>
      <c r="MV19" s="130"/>
      <c r="MW19" s="130"/>
      <c r="MX19" s="130"/>
      <c r="MY19" s="130"/>
      <c r="MZ19" s="130"/>
      <c r="NA19" s="130"/>
      <c r="NB19" s="130"/>
      <c r="NC19" s="130"/>
      <c r="ND19" s="130"/>
      <c r="NE19" s="130"/>
      <c r="NF19" s="130"/>
      <c r="NG19" s="130"/>
      <c r="NH19" s="130"/>
      <c r="NI19" s="130"/>
      <c r="NJ19" s="130"/>
      <c r="NK19" s="130"/>
      <c r="NL19" s="130"/>
      <c r="NM19" s="130"/>
      <c r="NN19" s="130"/>
      <c r="NO19" s="130"/>
      <c r="NP19" s="130"/>
      <c r="NQ19" s="130"/>
      <c r="NR19" s="130"/>
      <c r="NS19" s="130"/>
      <c r="NT19" s="130"/>
      <c r="NU19" s="130"/>
      <c r="NV19" s="130"/>
      <c r="NW19" s="130"/>
      <c r="NX19" s="130"/>
      <c r="NY19" s="130"/>
      <c r="NZ19" s="130"/>
      <c r="OA19" s="130"/>
      <c r="OB19" s="130"/>
      <c r="OC19" s="130"/>
      <c r="OD19" s="130"/>
      <c r="OE19" s="130"/>
      <c r="OF19" s="130"/>
      <c r="OG19" s="130"/>
      <c r="OH19" s="130"/>
      <c r="OI19" s="130"/>
      <c r="OJ19" s="130"/>
      <c r="OK19" s="130"/>
      <c r="OL19" s="130"/>
      <c r="OM19" s="130"/>
      <c r="ON19" s="130"/>
      <c r="OO19" s="130"/>
      <c r="OP19" s="130"/>
      <c r="OQ19" s="130"/>
      <c r="OR19" s="130"/>
      <c r="OS19" s="130"/>
      <c r="OT19" s="130"/>
      <c r="OU19" s="130"/>
      <c r="OV19" s="130"/>
      <c r="OW19" s="130"/>
      <c r="OX19" s="130"/>
      <c r="OY19" s="130"/>
      <c r="OZ19" s="130"/>
      <c r="PA19" s="130"/>
      <c r="PB19" s="130"/>
      <c r="PC19" s="130"/>
      <c r="PD19" s="130"/>
      <c r="PE19" s="130"/>
      <c r="PF19" s="130"/>
      <c r="PG19" s="130"/>
      <c r="PH19" s="130"/>
      <c r="PI19" s="130"/>
      <c r="PJ19" s="130"/>
      <c r="PK19" s="130"/>
      <c r="PL19" s="130"/>
      <c r="PM19" s="130"/>
      <c r="PN19" s="130"/>
      <c r="PO19" s="130"/>
      <c r="PP19" s="130"/>
      <c r="PQ19" s="130"/>
      <c r="PR19" s="130"/>
      <c r="PS19" s="130"/>
      <c r="PT19" s="130"/>
      <c r="PU19" s="130"/>
      <c r="PV19" s="130"/>
      <c r="PW19" s="130"/>
      <c r="PX19" s="130"/>
      <c r="PY19" s="130"/>
      <c r="PZ19" s="130"/>
      <c r="QA19" s="130"/>
      <c r="QB19" s="130"/>
      <c r="QC19" s="130"/>
      <c r="QD19" s="130"/>
      <c r="QE19" s="130"/>
      <c r="QF19" s="130"/>
      <c r="QG19" s="130"/>
      <c r="QH19" s="130"/>
      <c r="QI19" s="130"/>
      <c r="QJ19" s="130"/>
      <c r="QK19" s="130"/>
      <c r="QL19" s="130"/>
      <c r="QM19" s="130"/>
      <c r="QN19" s="130"/>
      <c r="QO19" s="130"/>
      <c r="QP19" s="130"/>
      <c r="QQ19" s="130"/>
      <c r="QR19" s="130"/>
      <c r="QS19" s="130"/>
      <c r="QT19" s="130"/>
      <c r="QU19" s="130"/>
      <c r="QV19" s="130"/>
      <c r="QW19" s="130"/>
      <c r="QX19" s="130"/>
      <c r="QY19" s="130"/>
      <c r="QZ19" s="130"/>
      <c r="RA19" s="130"/>
      <c r="RB19" s="130"/>
      <c r="RC19" s="130"/>
      <c r="RD19" s="130"/>
      <c r="RE19" s="130"/>
      <c r="RF19" s="130"/>
      <c r="RG19" s="130"/>
      <c r="RH19" s="130"/>
      <c r="RI19" s="130"/>
      <c r="RJ19" s="130"/>
      <c r="RK19" s="130"/>
      <c r="RL19" s="130"/>
      <c r="RM19" s="130"/>
      <c r="RN19" s="130"/>
      <c r="RO19" s="130"/>
      <c r="RP19" s="130"/>
      <c r="RQ19" s="130"/>
      <c r="RR19" s="130"/>
      <c r="RS19" s="130"/>
      <c r="RT19" s="130"/>
      <c r="RU19" s="130"/>
      <c r="RV19" s="130"/>
      <c r="RW19" s="130"/>
      <c r="RX19" s="130"/>
      <c r="RY19" s="130"/>
      <c r="RZ19" s="130"/>
      <c r="SA19" s="130"/>
      <c r="SB19" s="130"/>
      <c r="SC19" s="130"/>
      <c r="SD19" s="130"/>
      <c r="SE19" s="130"/>
      <c r="SF19" s="130"/>
      <c r="SG19" s="130"/>
      <c r="SH19" s="130"/>
      <c r="SI19" s="130"/>
      <c r="SJ19" s="130"/>
      <c r="SK19" s="130"/>
      <c r="SL19" s="130"/>
      <c r="SM19" s="130"/>
      <c r="SN19" s="130"/>
      <c r="SO19" s="130"/>
      <c r="SP19" s="130"/>
      <c r="SQ19" s="130"/>
      <c r="SR19" s="130"/>
      <c r="SS19" s="130"/>
      <c r="ST19" s="130"/>
      <c r="SU19" s="130"/>
      <c r="SV19" s="130"/>
      <c r="SW19" s="130"/>
      <c r="SX19" s="130"/>
      <c r="SY19" s="130"/>
      <c r="SZ19" s="130"/>
      <c r="TA19" s="130"/>
      <c r="TB19" s="130"/>
      <c r="TC19" s="130"/>
      <c r="TD19" s="130"/>
      <c r="TE19" s="130"/>
      <c r="TF19" s="130"/>
      <c r="TG19" s="130"/>
      <c r="TH19" s="130"/>
      <c r="TI19" s="130"/>
      <c r="TJ19" s="130"/>
      <c r="TK19" s="130"/>
      <c r="TL19" s="130"/>
      <c r="TM19" s="130"/>
      <c r="TN19" s="130"/>
      <c r="TO19" s="130"/>
      <c r="TP19" s="130"/>
      <c r="TQ19" s="130"/>
      <c r="TR19" s="130"/>
      <c r="TS19" s="130"/>
      <c r="TT19" s="130"/>
      <c r="TU19" s="130"/>
      <c r="TV19" s="130"/>
      <c r="TW19" s="130"/>
      <c r="TX19" s="130"/>
      <c r="TY19" s="130"/>
      <c r="TZ19" s="130"/>
      <c r="UA19" s="130"/>
      <c r="UB19" s="130"/>
      <c r="UC19" s="130"/>
      <c r="UD19" s="130"/>
      <c r="UE19" s="130"/>
      <c r="UF19" s="130"/>
      <c r="UG19" s="130"/>
      <c r="UH19" s="130"/>
      <c r="UI19" s="130"/>
      <c r="UJ19" s="130"/>
      <c r="UK19" s="130"/>
      <c r="UL19" s="130"/>
      <c r="UM19" s="130"/>
      <c r="UN19" s="130"/>
      <c r="UO19" s="130"/>
      <c r="UP19" s="130"/>
      <c r="UQ19" s="130"/>
      <c r="UR19" s="130"/>
      <c r="US19" s="130"/>
      <c r="UT19" s="130"/>
      <c r="UU19" s="130"/>
      <c r="UV19" s="130"/>
      <c r="UW19" s="130"/>
      <c r="UX19" s="130"/>
      <c r="UY19" s="130"/>
      <c r="UZ19" s="130"/>
      <c r="VA19" s="130"/>
      <c r="VB19" s="130"/>
      <c r="VC19" s="130"/>
      <c r="VD19" s="130"/>
      <c r="VE19" s="130"/>
      <c r="VF19" s="130"/>
      <c r="VG19" s="130"/>
      <c r="VH19" s="130"/>
      <c r="VI19" s="130"/>
      <c r="VJ19" s="130"/>
      <c r="VK19" s="130"/>
      <c r="VL19" s="130"/>
      <c r="VM19" s="130"/>
      <c r="VN19" s="130"/>
      <c r="VO19" s="130"/>
      <c r="VP19" s="130"/>
      <c r="VQ19" s="130"/>
      <c r="VR19" s="130"/>
      <c r="VS19" s="130"/>
      <c r="VT19" s="130"/>
      <c r="VU19" s="130"/>
      <c r="VV19" s="130"/>
      <c r="VW19" s="130"/>
      <c r="VX19" s="130"/>
      <c r="VY19" s="130"/>
      <c r="VZ19" s="130"/>
      <c r="WA19" s="130"/>
      <c r="WB19" s="130"/>
      <c r="WC19" s="130"/>
      <c r="WD19" s="130"/>
      <c r="WE19" s="130"/>
      <c r="WF19" s="130"/>
      <c r="WG19" s="130"/>
      <c r="WH19" s="130"/>
      <c r="WI19" s="130"/>
      <c r="WJ19" s="130"/>
      <c r="WK19" s="130"/>
      <c r="WL19" s="130"/>
      <c r="WM19" s="130"/>
      <c r="WN19" s="130"/>
      <c r="WO19" s="130"/>
      <c r="WP19" s="130"/>
      <c r="WQ19" s="130"/>
      <c r="WR19" s="130"/>
      <c r="WS19" s="130"/>
      <c r="WT19" s="130"/>
      <c r="WU19" s="130"/>
      <c r="WV19" s="130"/>
      <c r="WW19" s="130"/>
      <c r="WX19" s="130"/>
      <c r="WY19" s="130"/>
      <c r="WZ19" s="130"/>
      <c r="XA19" s="130"/>
      <c r="XB19" s="130"/>
      <c r="XC19" s="130"/>
      <c r="XD19" s="130"/>
      <c r="XE19" s="130"/>
      <c r="XF19" s="130"/>
      <c r="XG19" s="130"/>
      <c r="XH19" s="130"/>
      <c r="XI19" s="130"/>
      <c r="XJ19" s="130"/>
      <c r="XK19" s="130"/>
      <c r="XL19" s="130"/>
      <c r="XM19" s="130"/>
      <c r="XN19" s="130"/>
      <c r="XO19" s="130"/>
      <c r="XP19" s="130"/>
      <c r="XQ19" s="130"/>
      <c r="XR19" s="130"/>
      <c r="XS19" s="130"/>
      <c r="XT19" s="130"/>
      <c r="XU19" s="130"/>
      <c r="XV19" s="130"/>
      <c r="XW19" s="130"/>
      <c r="XX19" s="130"/>
      <c r="XY19" s="130"/>
      <c r="XZ19" s="130"/>
      <c r="YA19" s="130"/>
      <c r="YB19" s="130"/>
      <c r="YC19" s="130"/>
      <c r="YD19" s="130"/>
      <c r="YE19" s="130"/>
      <c r="YF19" s="130"/>
      <c r="YG19" s="130"/>
      <c r="YH19" s="130"/>
      <c r="YI19" s="130"/>
      <c r="YJ19" s="130"/>
      <c r="YK19" s="130"/>
      <c r="YL19" s="130"/>
      <c r="YM19" s="130"/>
      <c r="YN19" s="130"/>
      <c r="YO19" s="130"/>
      <c r="YP19" s="130"/>
      <c r="YQ19" s="130"/>
      <c r="YR19" s="130"/>
      <c r="YS19" s="130"/>
      <c r="YT19" s="130"/>
      <c r="YU19" s="130"/>
      <c r="YV19" s="130"/>
      <c r="YW19" s="130"/>
      <c r="YX19" s="130"/>
      <c r="YY19" s="130"/>
      <c r="YZ19" s="130"/>
      <c r="ZA19" s="130"/>
      <c r="ZB19" s="130"/>
      <c r="ZC19" s="130"/>
      <c r="ZD19" s="130"/>
      <c r="ZE19" s="130"/>
      <c r="ZF19" s="130"/>
      <c r="ZG19" s="130"/>
      <c r="ZH19" s="130"/>
      <c r="ZI19" s="130"/>
      <c r="ZJ19" s="130"/>
      <c r="ZK19" s="130"/>
      <c r="ZL19" s="130"/>
      <c r="ZM19" s="130"/>
      <c r="ZN19" s="130"/>
      <c r="ZO19" s="130"/>
      <c r="ZP19" s="130"/>
      <c r="ZQ19" s="130"/>
      <c r="ZR19" s="130"/>
      <c r="ZS19" s="130"/>
      <c r="ZT19" s="130"/>
      <c r="ZU19" s="130"/>
      <c r="ZV19" s="130"/>
      <c r="ZW19" s="130"/>
      <c r="ZX19" s="130"/>
      <c r="ZY19" s="130"/>
      <c r="ZZ19" s="130"/>
      <c r="AAA19" s="130"/>
      <c r="AAB19" s="130"/>
      <c r="AAC19" s="130"/>
      <c r="AAD19" s="130"/>
      <c r="AAE19" s="130"/>
      <c r="AAF19" s="130"/>
      <c r="AAG19" s="130"/>
      <c r="AAH19" s="130"/>
      <c r="AAI19" s="130"/>
      <c r="AAJ19" s="130"/>
      <c r="AAK19" s="130"/>
      <c r="AAL19" s="130"/>
      <c r="AAM19" s="130"/>
      <c r="AAN19" s="130"/>
      <c r="AAO19" s="130"/>
      <c r="AAP19" s="130"/>
      <c r="AAQ19" s="130"/>
      <c r="AAR19" s="130"/>
      <c r="AAS19" s="130"/>
      <c r="AAT19" s="130"/>
      <c r="AAU19" s="130"/>
      <c r="AAV19" s="130"/>
      <c r="AAW19" s="130"/>
      <c r="AAX19" s="130"/>
      <c r="AAY19" s="130"/>
      <c r="AAZ19" s="130"/>
      <c r="ABA19" s="130"/>
      <c r="ABB19" s="130"/>
      <c r="ABC19" s="130"/>
      <c r="ABD19" s="130"/>
      <c r="ABE19" s="130"/>
      <c r="ABF19" s="130"/>
      <c r="ABG19" s="130"/>
      <c r="ABH19" s="130"/>
      <c r="ABI19" s="130"/>
      <c r="ABJ19" s="130"/>
      <c r="ABK19" s="130"/>
      <c r="ABL19" s="130"/>
      <c r="ABM19" s="130"/>
      <c r="ABN19" s="130"/>
      <c r="ABO19" s="130"/>
      <c r="ABP19" s="130"/>
      <c r="ABQ19" s="130"/>
      <c r="ABR19" s="130"/>
      <c r="ABS19" s="130"/>
      <c r="ABT19" s="130"/>
      <c r="ABU19" s="130"/>
      <c r="ABV19" s="130"/>
      <c r="ABW19" s="130"/>
      <c r="ABX19" s="130"/>
      <c r="ABY19" s="130"/>
      <c r="ABZ19" s="130"/>
      <c r="ACA19" s="130"/>
      <c r="ACB19" s="130"/>
      <c r="ACC19" s="130"/>
      <c r="ACD19" s="130"/>
      <c r="ACE19" s="130"/>
      <c r="ACF19" s="130"/>
      <c r="ACG19" s="130"/>
      <c r="ACH19" s="130"/>
      <c r="ACI19" s="130"/>
      <c r="ACJ19" s="130"/>
      <c r="ACK19" s="130"/>
      <c r="ACL19" s="130"/>
      <c r="ACM19" s="130"/>
      <c r="ACN19" s="130"/>
      <c r="ACO19" s="130"/>
      <c r="ACP19" s="130"/>
      <c r="ACQ19" s="130"/>
      <c r="ACR19" s="130"/>
      <c r="ACS19" s="130"/>
      <c r="ACT19" s="130"/>
      <c r="ACU19" s="130"/>
      <c r="ACV19" s="130"/>
      <c r="ACW19" s="130"/>
      <c r="ACX19" s="130"/>
      <c r="ACY19" s="130"/>
      <c r="ACZ19" s="130"/>
      <c r="ADA19" s="130"/>
      <c r="ADB19" s="130"/>
      <c r="ADC19" s="130"/>
      <c r="ADD19" s="130"/>
      <c r="ADE19" s="130"/>
      <c r="ADF19" s="130"/>
      <c r="ADG19" s="130"/>
      <c r="ADH19" s="130"/>
      <c r="ADI19" s="130"/>
      <c r="ADJ19" s="130"/>
      <c r="ADK19" s="130"/>
      <c r="ADL19" s="130"/>
      <c r="ADM19" s="130"/>
      <c r="ADN19" s="130"/>
      <c r="ADO19" s="130"/>
      <c r="ADP19" s="130"/>
      <c r="ADQ19" s="130"/>
      <c r="ADR19" s="130"/>
      <c r="ADS19" s="130"/>
      <c r="ADT19" s="130"/>
      <c r="ADU19" s="130"/>
      <c r="ADV19" s="130"/>
      <c r="ADW19" s="130"/>
      <c r="ADX19" s="130"/>
      <c r="ADY19" s="130"/>
      <c r="ADZ19" s="130"/>
      <c r="AEA19" s="130"/>
      <c r="AEB19" s="130"/>
      <c r="AEC19" s="130"/>
      <c r="AED19" s="130"/>
      <c r="AEE19" s="130"/>
      <c r="AEF19" s="130"/>
      <c r="AEG19" s="130"/>
      <c r="AEH19" s="130"/>
      <c r="AEI19" s="130"/>
      <c r="AEJ19" s="130"/>
      <c r="AEK19" s="130"/>
      <c r="AEL19" s="130"/>
      <c r="AEM19" s="130"/>
      <c r="AEN19" s="130"/>
      <c r="AEO19" s="130"/>
      <c r="AEP19" s="130"/>
      <c r="AEQ19" s="130"/>
      <c r="AER19" s="130"/>
      <c r="AES19" s="130"/>
      <c r="AET19" s="130"/>
      <c r="AEU19" s="130"/>
      <c r="AEV19" s="130"/>
      <c r="AEW19" s="130"/>
    </row>
    <row r="20" spans="1:830" ht="22.5" customHeight="1" x14ac:dyDescent="0.25">
      <c r="A20" s="36"/>
      <c r="B20" s="128" t="s">
        <v>197</v>
      </c>
      <c r="C20" s="160">
        <f>REKAP!$J$6</f>
        <v>0</v>
      </c>
      <c r="D20" s="124">
        <f>REKAP!$J$4</f>
        <v>0</v>
      </c>
      <c r="E20" s="159">
        <f>REKAP!$J$5</f>
        <v>0</v>
      </c>
      <c r="F20" s="36"/>
      <c r="G20" s="138" t="s">
        <v>218</v>
      </c>
      <c r="H20" s="4" t="s">
        <v>220</v>
      </c>
      <c r="I20" s="143"/>
      <c r="J20" s="141">
        <f t="shared" si="0"/>
        <v>0</v>
      </c>
      <c r="K20" s="7"/>
      <c r="L20" s="7"/>
      <c r="M20" s="7"/>
      <c r="N20" s="130"/>
      <c r="O20" s="7"/>
      <c r="P20" s="7"/>
      <c r="Q20" s="7"/>
      <c r="R20" s="7"/>
      <c r="S20" s="7"/>
      <c r="T20" s="130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130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130"/>
      <c r="BL20" s="7"/>
      <c r="BM20" s="7"/>
      <c r="BN20" s="7"/>
      <c r="BO20" s="7"/>
      <c r="BP20" s="7"/>
      <c r="BQ20" s="7"/>
      <c r="BR20" s="7"/>
      <c r="BS20" s="7"/>
      <c r="BT20" s="129"/>
      <c r="BU20" s="7"/>
      <c r="BV20" s="7"/>
      <c r="BW20" s="7"/>
      <c r="BX20" s="7"/>
      <c r="BY20" s="7"/>
      <c r="BZ20" s="140"/>
      <c r="CA20" s="7"/>
      <c r="CB20" s="7"/>
      <c r="CC20" s="7"/>
      <c r="CD20" s="130"/>
      <c r="CE20" s="7"/>
      <c r="CF20" s="7"/>
      <c r="CG20" s="7"/>
      <c r="CH20" s="7"/>
      <c r="CI20" s="7"/>
      <c r="CJ20" s="129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130"/>
      <c r="ET20" s="130"/>
      <c r="EU20" s="130"/>
      <c r="EV20" s="130"/>
      <c r="EW20" s="130"/>
      <c r="EX20" s="130"/>
      <c r="EY20" s="130"/>
      <c r="EZ20" s="130"/>
      <c r="FA20" s="130"/>
      <c r="FB20" s="130"/>
      <c r="FC20" s="130"/>
      <c r="FD20" s="130"/>
      <c r="FE20" s="130"/>
      <c r="FF20" s="130"/>
      <c r="FG20" s="130"/>
      <c r="FH20" s="130"/>
      <c r="FI20" s="130"/>
      <c r="FJ20" s="130"/>
      <c r="FK20" s="130"/>
      <c r="FL20" s="130"/>
      <c r="FM20" s="130"/>
      <c r="FN20" s="130"/>
      <c r="FO20" s="130"/>
      <c r="FP20" s="130"/>
      <c r="FQ20" s="130"/>
      <c r="FR20" s="130"/>
      <c r="FS20" s="130"/>
      <c r="FT20" s="130"/>
      <c r="FU20" s="130"/>
      <c r="FV20" s="130"/>
      <c r="FW20" s="130"/>
      <c r="FX20" s="130"/>
      <c r="FY20" s="130"/>
      <c r="FZ20" s="130"/>
      <c r="GA20" s="130"/>
      <c r="GB20" s="130"/>
      <c r="GC20" s="130"/>
      <c r="GD20" s="130"/>
      <c r="GE20" s="130"/>
      <c r="GF20" s="130"/>
      <c r="GG20" s="130"/>
      <c r="GH20" s="130"/>
      <c r="GI20" s="130"/>
      <c r="GJ20" s="130"/>
      <c r="GK20" s="130"/>
      <c r="GL20" s="130"/>
      <c r="GM20" s="130"/>
      <c r="GN20" s="130"/>
      <c r="GO20" s="130"/>
      <c r="GP20" s="130"/>
      <c r="GQ20" s="130"/>
      <c r="GR20" s="130"/>
      <c r="GS20" s="130"/>
      <c r="GT20" s="130"/>
      <c r="GU20" s="130"/>
      <c r="GV20" s="130"/>
      <c r="GW20" s="140"/>
      <c r="GX20" s="130"/>
      <c r="GY20" s="130"/>
      <c r="GZ20" s="130"/>
      <c r="HA20" s="130"/>
      <c r="HB20" s="140"/>
      <c r="HC20" s="130"/>
      <c r="HD20" s="130"/>
      <c r="HE20" s="130"/>
      <c r="HF20" s="130"/>
      <c r="HG20" s="130"/>
      <c r="HH20" s="130"/>
      <c r="HI20" s="130"/>
      <c r="HJ20" s="130"/>
      <c r="HK20" s="130"/>
      <c r="HL20" s="130"/>
      <c r="HM20" s="130"/>
      <c r="HN20" s="130"/>
      <c r="HO20" s="130"/>
      <c r="HP20" s="130"/>
      <c r="HQ20" s="130"/>
      <c r="HR20" s="130"/>
      <c r="HS20" s="4"/>
      <c r="HT20" s="140"/>
      <c r="HU20" s="4"/>
      <c r="HV20" s="4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140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/>
      <c r="JA20" s="7"/>
      <c r="JB20" s="7"/>
      <c r="JC20" s="140"/>
      <c r="JD20" s="7"/>
      <c r="JE20" s="7"/>
      <c r="JF20" s="7"/>
      <c r="JG20" s="7"/>
      <c r="JH20" s="7"/>
      <c r="JI20" s="7"/>
      <c r="JJ20" s="7"/>
      <c r="JK20" s="7"/>
      <c r="JL20" s="7"/>
      <c r="JM20" s="7"/>
      <c r="JN20" s="140">
        <f>sd!$F$86</f>
        <v>0</v>
      </c>
      <c r="JO20" s="140">
        <f>sd!$F$87</f>
        <v>0</v>
      </c>
      <c r="JP20" s="140">
        <f>sd!$F$88</f>
        <v>0</v>
      </c>
      <c r="JQ20" s="140">
        <f>sd!$F$89</f>
        <v>0</v>
      </c>
      <c r="JR20" s="140">
        <f>sd!$F$90</f>
        <v>0</v>
      </c>
      <c r="JS20" s="140">
        <f>sd!$F$91</f>
        <v>0</v>
      </c>
      <c r="JT20" s="140">
        <f>SMP!$F$63</f>
        <v>0</v>
      </c>
      <c r="JU20" s="140">
        <f>SMP!$F$64</f>
        <v>0</v>
      </c>
      <c r="JV20" s="140">
        <f>SMP!$F$65</f>
        <v>0</v>
      </c>
      <c r="JW20" s="140">
        <f>SMA!$F$88</f>
        <v>0</v>
      </c>
      <c r="JX20" s="140">
        <f>SMA!$F$89</f>
        <v>0</v>
      </c>
      <c r="JY20" s="140">
        <f>SMA!$F$90</f>
        <v>0</v>
      </c>
      <c r="JZ20" s="7"/>
      <c r="KA20" s="7"/>
      <c r="KB20" s="7"/>
      <c r="KC20" s="7"/>
      <c r="KD20" s="7"/>
      <c r="KE20" s="7"/>
      <c r="KF20" s="130"/>
      <c r="KG20" s="130"/>
      <c r="KH20" s="130"/>
      <c r="KI20" s="130"/>
      <c r="KJ20" s="130"/>
      <c r="KK20" s="130"/>
      <c r="KL20" s="130"/>
      <c r="KM20" s="130"/>
      <c r="KN20" s="130"/>
      <c r="KO20" s="130"/>
      <c r="KP20" s="130"/>
      <c r="KQ20" s="130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/>
      <c r="LT20" s="7"/>
      <c r="LU20" s="7"/>
      <c r="LV20" s="7"/>
      <c r="LW20" s="7"/>
      <c r="LX20" s="7"/>
      <c r="LY20" s="7"/>
      <c r="LZ20" s="7"/>
      <c r="MA20" s="7"/>
      <c r="MB20" s="7"/>
      <c r="MC20" s="7"/>
      <c r="MD20" s="7"/>
      <c r="ME20" s="7"/>
      <c r="MF20" s="7"/>
      <c r="MG20" s="7"/>
      <c r="MH20" s="7"/>
      <c r="MI20" s="7"/>
      <c r="MJ20" s="7"/>
      <c r="MK20" s="7"/>
      <c r="ML20" s="7"/>
      <c r="MM20" s="7"/>
      <c r="MN20" s="7"/>
      <c r="MO20" s="7"/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/>
      <c r="ND20" s="7"/>
      <c r="NE20" s="7"/>
      <c r="NF20" s="7"/>
      <c r="NG20" s="7"/>
      <c r="NH20" s="7"/>
      <c r="NI20" s="7"/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/>
      <c r="OP20" s="7"/>
      <c r="OQ20" s="7"/>
      <c r="OR20" s="7"/>
      <c r="OS20" s="7"/>
      <c r="OT20" s="7"/>
      <c r="OU20" s="7"/>
      <c r="OV20" s="7"/>
      <c r="OW20" s="7"/>
      <c r="OX20" s="7"/>
      <c r="OY20" s="7"/>
      <c r="OZ20" s="7"/>
      <c r="PA20" s="7"/>
      <c r="PB20" s="36"/>
      <c r="PC20" s="7"/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/>
      <c r="PO20" s="7"/>
      <c r="PP20" s="7"/>
      <c r="PQ20" s="7"/>
      <c r="PR20" s="7"/>
      <c r="PS20" s="7"/>
      <c r="PT20" s="7"/>
      <c r="PU20" s="7"/>
      <c r="PV20" s="7"/>
      <c r="PW20" s="7"/>
      <c r="PX20" s="7"/>
      <c r="PY20" s="7"/>
      <c r="PZ20" s="7"/>
      <c r="QA20" s="7"/>
      <c r="QB20" s="7"/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/>
      <c r="RL20" s="7"/>
      <c r="RM20" s="7"/>
      <c r="RN20" s="7"/>
      <c r="RO20" s="36"/>
      <c r="RP20" s="7"/>
      <c r="RQ20" s="7"/>
      <c r="RR20" s="7"/>
      <c r="RS20" s="7"/>
      <c r="RT20" s="7"/>
      <c r="RU20" s="7"/>
      <c r="RV20" s="7"/>
      <c r="RW20" s="7"/>
      <c r="RX20" s="7"/>
      <c r="RY20" s="7"/>
      <c r="RZ20" s="7"/>
      <c r="SA20" s="7"/>
      <c r="SB20" s="36"/>
      <c r="SC20" s="7"/>
      <c r="SD20" s="7"/>
      <c r="SE20" s="7"/>
      <c r="SF20" s="7"/>
      <c r="SG20" s="7"/>
      <c r="SH20" s="7"/>
      <c r="SI20" s="7"/>
      <c r="SJ20" s="7"/>
      <c r="SK20" s="7"/>
      <c r="SL20" s="7"/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/>
      <c r="SZ20" s="7"/>
      <c r="TA20" s="7"/>
      <c r="TB20" s="7"/>
      <c r="TC20" s="7"/>
      <c r="TD20" s="36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7"/>
      <c r="YG20" s="7"/>
      <c r="YH20" s="7"/>
      <c r="YI20" s="7"/>
      <c r="YJ20" s="7"/>
      <c r="YK20" s="7"/>
      <c r="YL20" s="7"/>
      <c r="YM20" s="7"/>
      <c r="YN20" s="7"/>
      <c r="YO20" s="7"/>
      <c r="YP20" s="7"/>
      <c r="YQ20" s="7"/>
      <c r="YR20" s="7"/>
      <c r="YS20" s="7"/>
      <c r="YT20" s="7"/>
      <c r="YU20" s="7"/>
      <c r="YV20" s="7"/>
      <c r="YW20" s="7"/>
      <c r="YX20" s="7"/>
      <c r="YY20" s="7"/>
      <c r="YZ20" s="7"/>
      <c r="ZA20" s="7"/>
      <c r="ZB20" s="7"/>
      <c r="ZC20" s="7"/>
      <c r="ZD20" s="7"/>
      <c r="ZE20" s="7"/>
      <c r="ZF20" s="7"/>
      <c r="ZG20" s="7"/>
      <c r="ZH20" s="7"/>
      <c r="ZI20" s="7"/>
      <c r="ZJ20" s="7"/>
      <c r="ZK20" s="7"/>
      <c r="ZL20" s="7"/>
      <c r="ZM20" s="7"/>
      <c r="ZN20" s="7"/>
      <c r="ZO20" s="7"/>
      <c r="ZP20" s="7"/>
      <c r="ZQ20" s="7"/>
      <c r="ZR20" s="7"/>
      <c r="ZS20" s="7"/>
      <c r="ZT20" s="7"/>
      <c r="ZU20" s="7"/>
      <c r="ZV20" s="4"/>
      <c r="ZW20" s="7"/>
      <c r="ZX20" s="7"/>
      <c r="ZY20" s="7"/>
      <c r="ZZ20" s="7"/>
      <c r="AAA20" s="7"/>
      <c r="AAB20" s="7"/>
      <c r="AAC20" s="7"/>
      <c r="AAD20" s="7"/>
      <c r="AAE20" s="7"/>
      <c r="AAF20" s="36"/>
      <c r="AAG20" s="7"/>
      <c r="AAH20" s="7"/>
      <c r="AAI20" s="7"/>
      <c r="AAJ20" s="7"/>
      <c r="AAK20" s="7"/>
      <c r="AAL20" s="7"/>
      <c r="AAM20" s="7"/>
      <c r="AAN20" s="7"/>
      <c r="AAO20" s="7"/>
      <c r="AAP20" s="7"/>
      <c r="AAQ20" s="7"/>
      <c r="AAR20" s="7"/>
      <c r="AAS20" s="7"/>
      <c r="AAT20" s="7"/>
      <c r="AAU20" s="7"/>
      <c r="AAV20" s="7"/>
      <c r="AAW20" s="7"/>
      <c r="AAX20" s="7"/>
      <c r="AAY20" s="7"/>
      <c r="AAZ20" s="4"/>
      <c r="ABA20" s="7"/>
      <c r="ABB20" s="7"/>
      <c r="ABC20" s="7"/>
      <c r="ABD20" s="7"/>
      <c r="ABE20" s="7"/>
      <c r="ABF20" s="7"/>
      <c r="ABG20" s="7"/>
      <c r="ABH20" s="7"/>
      <c r="ABI20" s="7"/>
      <c r="ABJ20" s="7"/>
      <c r="ABK20" s="7"/>
      <c r="ABL20" s="7"/>
      <c r="ABM20" s="7"/>
      <c r="ABN20" s="7"/>
      <c r="ABO20" s="7"/>
      <c r="ABP20" s="7"/>
      <c r="ABQ20" s="7"/>
      <c r="ABR20" s="7"/>
      <c r="ABS20" s="7"/>
      <c r="ABT20" s="7"/>
      <c r="ABU20" s="7"/>
      <c r="ABV20" s="7"/>
      <c r="ABW20" s="7"/>
      <c r="ABX20" s="7"/>
      <c r="ABY20" s="7"/>
      <c r="ABZ20" s="7"/>
      <c r="ACA20" s="7"/>
      <c r="ACB20" s="7"/>
      <c r="ACC20" s="7"/>
      <c r="ACD20" s="7"/>
      <c r="ACE20" s="7"/>
      <c r="ACF20" s="7"/>
      <c r="ACG20" s="7"/>
      <c r="ACH20" s="7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144" t="s">
        <v>221</v>
      </c>
    </row>
    <row r="21" spans="1:830" ht="22.5" customHeight="1" x14ac:dyDescent="0.25">
      <c r="A21" s="36"/>
      <c r="B21" s="128" t="s">
        <v>206</v>
      </c>
      <c r="C21" s="160">
        <f>REKAP!$J$6</f>
        <v>0</v>
      </c>
      <c r="D21" s="124">
        <f>REKAP!$J$4</f>
        <v>0</v>
      </c>
      <c r="E21" s="159">
        <f>REKAP!$J$5</f>
        <v>0</v>
      </c>
      <c r="F21" s="36"/>
      <c r="G21" s="138" t="s">
        <v>219</v>
      </c>
      <c r="H21" s="4" t="s">
        <v>193</v>
      </c>
      <c r="I21" s="143"/>
      <c r="J21" s="141">
        <f t="shared" si="0"/>
        <v>0</v>
      </c>
      <c r="K21" s="7"/>
      <c r="L21" s="7"/>
      <c r="M21" s="7"/>
      <c r="N21" s="130">
        <f>ROUND(N59,0)</f>
        <v>0</v>
      </c>
      <c r="O21" s="130">
        <f t="shared" ref="O21:BZ21" si="67">ROUND(O59,0)</f>
        <v>0</v>
      </c>
      <c r="P21" s="130">
        <f t="shared" si="67"/>
        <v>0</v>
      </c>
      <c r="Q21" s="130">
        <f t="shared" si="67"/>
        <v>0</v>
      </c>
      <c r="R21" s="130">
        <f t="shared" si="67"/>
        <v>0</v>
      </c>
      <c r="S21" s="130">
        <f t="shared" si="67"/>
        <v>0</v>
      </c>
      <c r="T21" s="130">
        <f t="shared" si="67"/>
        <v>0</v>
      </c>
      <c r="U21" s="130">
        <f t="shared" si="67"/>
        <v>0</v>
      </c>
      <c r="V21" s="130">
        <f t="shared" si="67"/>
        <v>0</v>
      </c>
      <c r="W21" s="130">
        <f t="shared" si="67"/>
        <v>0</v>
      </c>
      <c r="X21" s="130">
        <f t="shared" si="67"/>
        <v>0</v>
      </c>
      <c r="Y21" s="130">
        <f t="shared" si="67"/>
        <v>0</v>
      </c>
      <c r="Z21" s="130">
        <f t="shared" si="67"/>
        <v>0</v>
      </c>
      <c r="AA21" s="130">
        <f t="shared" si="67"/>
        <v>0</v>
      </c>
      <c r="AB21" s="130">
        <f t="shared" si="67"/>
        <v>0</v>
      </c>
      <c r="AC21" s="130">
        <f t="shared" si="67"/>
        <v>0</v>
      </c>
      <c r="AD21" s="130">
        <f t="shared" si="67"/>
        <v>0</v>
      </c>
      <c r="AE21" s="130">
        <f t="shared" si="67"/>
        <v>0</v>
      </c>
      <c r="AF21" s="130">
        <f t="shared" si="67"/>
        <v>0</v>
      </c>
      <c r="AG21" s="130">
        <f t="shared" si="67"/>
        <v>0</v>
      </c>
      <c r="AH21" s="130">
        <f t="shared" si="67"/>
        <v>0</v>
      </c>
      <c r="AI21" s="130">
        <f t="shared" si="67"/>
        <v>0</v>
      </c>
      <c r="AJ21" s="130">
        <f t="shared" si="67"/>
        <v>0</v>
      </c>
      <c r="AK21" s="130">
        <f t="shared" si="67"/>
        <v>0</v>
      </c>
      <c r="AL21" s="130">
        <f t="shared" si="67"/>
        <v>0</v>
      </c>
      <c r="AM21" s="130">
        <f t="shared" si="67"/>
        <v>0</v>
      </c>
      <c r="AN21" s="130">
        <f t="shared" si="67"/>
        <v>0</v>
      </c>
      <c r="AO21" s="130">
        <f t="shared" si="67"/>
        <v>0</v>
      </c>
      <c r="AP21" s="130">
        <f t="shared" si="67"/>
        <v>0</v>
      </c>
      <c r="AQ21" s="130">
        <f t="shared" si="67"/>
        <v>0</v>
      </c>
      <c r="AR21" s="130">
        <f t="shared" si="67"/>
        <v>0</v>
      </c>
      <c r="AS21" s="130">
        <f t="shared" si="67"/>
        <v>0</v>
      </c>
      <c r="AT21" s="130">
        <f t="shared" si="67"/>
        <v>0</v>
      </c>
      <c r="AU21" s="130">
        <f t="shared" si="67"/>
        <v>0</v>
      </c>
      <c r="AV21" s="130">
        <f t="shared" si="67"/>
        <v>0</v>
      </c>
      <c r="AW21" s="130">
        <f t="shared" si="67"/>
        <v>0</v>
      </c>
      <c r="AX21" s="130">
        <f t="shared" si="67"/>
        <v>0</v>
      </c>
      <c r="AY21" s="130">
        <f t="shared" si="67"/>
        <v>0</v>
      </c>
      <c r="AZ21" s="130">
        <f t="shared" si="67"/>
        <v>0</v>
      </c>
      <c r="BA21" s="130">
        <f t="shared" si="67"/>
        <v>0</v>
      </c>
      <c r="BB21" s="130">
        <f t="shared" si="67"/>
        <v>0</v>
      </c>
      <c r="BC21" s="130">
        <f t="shared" si="67"/>
        <v>0</v>
      </c>
      <c r="BD21" s="130">
        <f t="shared" si="67"/>
        <v>0</v>
      </c>
      <c r="BE21" s="130">
        <f t="shared" si="67"/>
        <v>0</v>
      </c>
      <c r="BF21" s="130">
        <f t="shared" si="67"/>
        <v>0</v>
      </c>
      <c r="BG21" s="130">
        <f t="shared" si="67"/>
        <v>0</v>
      </c>
      <c r="BH21" s="130">
        <f t="shared" si="67"/>
        <v>0</v>
      </c>
      <c r="BI21" s="130">
        <f t="shared" si="67"/>
        <v>0</v>
      </c>
      <c r="BJ21" s="130">
        <f t="shared" si="67"/>
        <v>0</v>
      </c>
      <c r="BK21" s="130">
        <f t="shared" si="67"/>
        <v>0</v>
      </c>
      <c r="BL21" s="130">
        <f t="shared" si="67"/>
        <v>0</v>
      </c>
      <c r="BM21" s="130">
        <f t="shared" si="67"/>
        <v>0</v>
      </c>
      <c r="BN21" s="130">
        <f t="shared" si="67"/>
        <v>0</v>
      </c>
      <c r="BO21" s="130">
        <f t="shared" si="67"/>
        <v>0</v>
      </c>
      <c r="BP21" s="130">
        <f t="shared" si="67"/>
        <v>0</v>
      </c>
      <c r="BQ21" s="130">
        <f t="shared" si="67"/>
        <v>0</v>
      </c>
      <c r="BR21" s="130">
        <f t="shared" si="67"/>
        <v>0</v>
      </c>
      <c r="BS21" s="130">
        <f t="shared" si="67"/>
        <v>0</v>
      </c>
      <c r="BT21" s="130">
        <f t="shared" si="67"/>
        <v>0</v>
      </c>
      <c r="BU21" s="130">
        <f t="shared" si="67"/>
        <v>0</v>
      </c>
      <c r="BV21" s="130">
        <f t="shared" si="67"/>
        <v>0</v>
      </c>
      <c r="BW21" s="130">
        <f t="shared" si="67"/>
        <v>0</v>
      </c>
      <c r="BX21" s="130">
        <f t="shared" si="67"/>
        <v>0</v>
      </c>
      <c r="BY21" s="130">
        <f t="shared" si="67"/>
        <v>0</v>
      </c>
      <c r="BZ21" s="130">
        <f t="shared" si="67"/>
        <v>0</v>
      </c>
      <c r="CA21" s="130">
        <f t="shared" ref="CA21:EL21" si="68">ROUND(CA59,0)</f>
        <v>0</v>
      </c>
      <c r="CB21" s="130">
        <f t="shared" si="68"/>
        <v>0</v>
      </c>
      <c r="CC21" s="130">
        <f t="shared" si="68"/>
        <v>0</v>
      </c>
      <c r="CD21" s="130">
        <f t="shared" si="68"/>
        <v>0</v>
      </c>
      <c r="CE21" s="130">
        <f t="shared" si="68"/>
        <v>0</v>
      </c>
      <c r="CF21" s="130">
        <f t="shared" si="68"/>
        <v>0</v>
      </c>
      <c r="CG21" s="130">
        <f t="shared" si="68"/>
        <v>0</v>
      </c>
      <c r="CH21" s="130">
        <f t="shared" si="68"/>
        <v>0</v>
      </c>
      <c r="CI21" s="130">
        <f t="shared" si="68"/>
        <v>0</v>
      </c>
      <c r="CJ21" s="130">
        <f t="shared" si="68"/>
        <v>0</v>
      </c>
      <c r="CK21" s="130">
        <f t="shared" si="68"/>
        <v>0</v>
      </c>
      <c r="CL21" s="130">
        <f t="shared" si="68"/>
        <v>0</v>
      </c>
      <c r="CM21" s="130">
        <f t="shared" si="68"/>
        <v>0</v>
      </c>
      <c r="CN21" s="130">
        <f t="shared" si="68"/>
        <v>0</v>
      </c>
      <c r="CO21" s="130">
        <f t="shared" si="68"/>
        <v>0</v>
      </c>
      <c r="CP21" s="130">
        <f t="shared" si="68"/>
        <v>0</v>
      </c>
      <c r="CQ21" s="130">
        <f t="shared" si="68"/>
        <v>0</v>
      </c>
      <c r="CR21" s="130">
        <f t="shared" si="68"/>
        <v>0</v>
      </c>
      <c r="CS21" s="130">
        <f t="shared" si="68"/>
        <v>0</v>
      </c>
      <c r="CT21" s="130">
        <f t="shared" si="68"/>
        <v>0</v>
      </c>
      <c r="CU21" s="130">
        <f t="shared" si="68"/>
        <v>0</v>
      </c>
      <c r="CV21" s="130">
        <f t="shared" si="68"/>
        <v>0</v>
      </c>
      <c r="CW21" s="130">
        <f t="shared" si="68"/>
        <v>0</v>
      </c>
      <c r="CX21" s="130">
        <f t="shared" si="68"/>
        <v>0</v>
      </c>
      <c r="CY21" s="130">
        <f t="shared" si="68"/>
        <v>0</v>
      </c>
      <c r="CZ21" s="130">
        <f t="shared" si="68"/>
        <v>0</v>
      </c>
      <c r="DA21" s="130">
        <f t="shared" si="68"/>
        <v>0</v>
      </c>
      <c r="DB21" s="130">
        <f t="shared" si="68"/>
        <v>0</v>
      </c>
      <c r="DC21" s="130">
        <f t="shared" si="68"/>
        <v>0</v>
      </c>
      <c r="DD21" s="130">
        <f t="shared" si="68"/>
        <v>0</v>
      </c>
      <c r="DE21" s="130">
        <f t="shared" si="68"/>
        <v>0</v>
      </c>
      <c r="DF21" s="130">
        <f t="shared" si="68"/>
        <v>0</v>
      </c>
      <c r="DG21" s="130">
        <f t="shared" si="68"/>
        <v>0</v>
      </c>
      <c r="DH21" s="130">
        <f t="shared" si="68"/>
        <v>0</v>
      </c>
      <c r="DI21" s="130">
        <f t="shared" si="68"/>
        <v>0</v>
      </c>
      <c r="DJ21" s="130">
        <f t="shared" si="68"/>
        <v>0</v>
      </c>
      <c r="DK21" s="130">
        <f t="shared" si="68"/>
        <v>0</v>
      </c>
      <c r="DL21" s="130">
        <f t="shared" si="68"/>
        <v>0</v>
      </c>
      <c r="DM21" s="130">
        <f t="shared" si="68"/>
        <v>0</v>
      </c>
      <c r="DN21" s="130">
        <f t="shared" si="68"/>
        <v>0</v>
      </c>
      <c r="DO21" s="130">
        <f t="shared" si="68"/>
        <v>0</v>
      </c>
      <c r="DP21" s="130">
        <f t="shared" si="68"/>
        <v>0</v>
      </c>
      <c r="DQ21" s="130">
        <f t="shared" si="68"/>
        <v>0</v>
      </c>
      <c r="DR21" s="130">
        <f t="shared" si="68"/>
        <v>0</v>
      </c>
      <c r="DS21" s="130">
        <f t="shared" si="68"/>
        <v>0</v>
      </c>
      <c r="DT21" s="130">
        <f t="shared" si="68"/>
        <v>0</v>
      </c>
      <c r="DU21" s="130">
        <f t="shared" si="68"/>
        <v>0</v>
      </c>
      <c r="DV21" s="130">
        <f t="shared" si="68"/>
        <v>0</v>
      </c>
      <c r="DW21" s="130">
        <f t="shared" si="68"/>
        <v>0</v>
      </c>
      <c r="DX21" s="130">
        <f t="shared" si="68"/>
        <v>0</v>
      </c>
      <c r="DY21" s="130">
        <f t="shared" si="68"/>
        <v>0</v>
      </c>
      <c r="DZ21" s="130">
        <f t="shared" si="68"/>
        <v>0</v>
      </c>
      <c r="EA21" s="130">
        <f t="shared" si="68"/>
        <v>0</v>
      </c>
      <c r="EB21" s="130">
        <f t="shared" si="68"/>
        <v>0</v>
      </c>
      <c r="EC21" s="130">
        <f t="shared" si="68"/>
        <v>0</v>
      </c>
      <c r="ED21" s="130">
        <f t="shared" si="68"/>
        <v>0</v>
      </c>
      <c r="EE21" s="130">
        <f t="shared" si="68"/>
        <v>0</v>
      </c>
      <c r="EF21" s="130">
        <f t="shared" si="68"/>
        <v>0</v>
      </c>
      <c r="EG21" s="130">
        <f t="shared" si="68"/>
        <v>0</v>
      </c>
      <c r="EH21" s="130">
        <f t="shared" si="68"/>
        <v>0</v>
      </c>
      <c r="EI21" s="130">
        <f t="shared" si="68"/>
        <v>0</v>
      </c>
      <c r="EJ21" s="130">
        <f t="shared" si="68"/>
        <v>0</v>
      </c>
      <c r="EK21" s="130">
        <f t="shared" si="68"/>
        <v>0</v>
      </c>
      <c r="EL21" s="130">
        <f t="shared" si="68"/>
        <v>0</v>
      </c>
      <c r="EM21" s="130">
        <f t="shared" ref="EM21:GX21" si="69">ROUND(EM59,0)</f>
        <v>0</v>
      </c>
      <c r="EN21" s="130">
        <f t="shared" si="69"/>
        <v>0</v>
      </c>
      <c r="EO21" s="130">
        <f t="shared" si="69"/>
        <v>0</v>
      </c>
      <c r="EP21" s="130">
        <f t="shared" si="69"/>
        <v>0</v>
      </c>
      <c r="EQ21" s="130">
        <f t="shared" si="69"/>
        <v>0</v>
      </c>
      <c r="ER21" s="130">
        <f t="shared" si="69"/>
        <v>0</v>
      </c>
      <c r="ES21" s="130">
        <f t="shared" si="69"/>
        <v>0</v>
      </c>
      <c r="ET21" s="130">
        <f t="shared" si="69"/>
        <v>0</v>
      </c>
      <c r="EU21" s="130">
        <f t="shared" si="69"/>
        <v>0</v>
      </c>
      <c r="EV21" s="130">
        <f t="shared" si="69"/>
        <v>0</v>
      </c>
      <c r="EW21" s="130">
        <f t="shared" si="69"/>
        <v>0</v>
      </c>
      <c r="EX21" s="130">
        <f t="shared" si="69"/>
        <v>0</v>
      </c>
      <c r="EY21" s="130">
        <f t="shared" si="69"/>
        <v>0</v>
      </c>
      <c r="EZ21" s="130">
        <f t="shared" si="69"/>
        <v>0</v>
      </c>
      <c r="FA21" s="130">
        <f t="shared" si="69"/>
        <v>0</v>
      </c>
      <c r="FB21" s="130">
        <f t="shared" si="69"/>
        <v>0</v>
      </c>
      <c r="FC21" s="130">
        <f t="shared" si="69"/>
        <v>0</v>
      </c>
      <c r="FD21" s="130">
        <f t="shared" si="69"/>
        <v>0</v>
      </c>
      <c r="FE21" s="130">
        <f t="shared" si="69"/>
        <v>0</v>
      </c>
      <c r="FF21" s="130">
        <f t="shared" si="69"/>
        <v>0</v>
      </c>
      <c r="FG21" s="130">
        <f t="shared" si="69"/>
        <v>0</v>
      </c>
      <c r="FH21" s="130">
        <f t="shared" si="69"/>
        <v>0</v>
      </c>
      <c r="FI21" s="130">
        <f t="shared" si="69"/>
        <v>0</v>
      </c>
      <c r="FJ21" s="130">
        <f t="shared" si="69"/>
        <v>0</v>
      </c>
      <c r="FK21" s="130">
        <f t="shared" si="69"/>
        <v>0</v>
      </c>
      <c r="FL21" s="130">
        <f t="shared" si="69"/>
        <v>0</v>
      </c>
      <c r="FM21" s="130">
        <f t="shared" si="69"/>
        <v>0</v>
      </c>
      <c r="FN21" s="130">
        <f t="shared" si="69"/>
        <v>0</v>
      </c>
      <c r="FO21" s="130">
        <f t="shared" si="69"/>
        <v>0</v>
      </c>
      <c r="FP21" s="130">
        <f t="shared" si="69"/>
        <v>0</v>
      </c>
      <c r="FQ21" s="130">
        <f t="shared" si="69"/>
        <v>0</v>
      </c>
      <c r="FR21" s="130">
        <f t="shared" si="69"/>
        <v>0</v>
      </c>
      <c r="FS21" s="130">
        <f t="shared" si="69"/>
        <v>0</v>
      </c>
      <c r="FT21" s="130">
        <f t="shared" si="69"/>
        <v>0</v>
      </c>
      <c r="FU21" s="130">
        <f t="shared" si="69"/>
        <v>0</v>
      </c>
      <c r="FV21" s="130">
        <f t="shared" si="69"/>
        <v>0</v>
      </c>
      <c r="FW21" s="130">
        <f t="shared" si="69"/>
        <v>0</v>
      </c>
      <c r="FX21" s="130">
        <f t="shared" si="69"/>
        <v>0</v>
      </c>
      <c r="FY21" s="130">
        <f t="shared" si="69"/>
        <v>0</v>
      </c>
      <c r="FZ21" s="130">
        <f t="shared" si="69"/>
        <v>0</v>
      </c>
      <c r="GA21" s="130">
        <f t="shared" si="69"/>
        <v>0</v>
      </c>
      <c r="GB21" s="130">
        <f t="shared" si="69"/>
        <v>0</v>
      </c>
      <c r="GC21" s="130">
        <f t="shared" si="69"/>
        <v>0</v>
      </c>
      <c r="GD21" s="130">
        <f t="shared" si="69"/>
        <v>0</v>
      </c>
      <c r="GE21" s="130">
        <f t="shared" si="69"/>
        <v>0</v>
      </c>
      <c r="GF21" s="130">
        <f t="shared" si="69"/>
        <v>0</v>
      </c>
      <c r="GG21" s="130">
        <f t="shared" si="69"/>
        <v>0</v>
      </c>
      <c r="GH21" s="130">
        <f t="shared" si="69"/>
        <v>0</v>
      </c>
      <c r="GI21" s="130">
        <f t="shared" si="69"/>
        <v>0</v>
      </c>
      <c r="GJ21" s="130">
        <f t="shared" si="69"/>
        <v>0</v>
      </c>
      <c r="GK21" s="130">
        <f t="shared" si="69"/>
        <v>0</v>
      </c>
      <c r="GL21" s="130">
        <f t="shared" si="69"/>
        <v>0</v>
      </c>
      <c r="GM21" s="130">
        <f t="shared" si="69"/>
        <v>0</v>
      </c>
      <c r="GN21" s="130">
        <f t="shared" si="69"/>
        <v>0</v>
      </c>
      <c r="GO21" s="130">
        <f t="shared" si="69"/>
        <v>0</v>
      </c>
      <c r="GP21" s="130">
        <f t="shared" si="69"/>
        <v>0</v>
      </c>
      <c r="GQ21" s="130">
        <f t="shared" si="69"/>
        <v>0</v>
      </c>
      <c r="GR21" s="130">
        <f t="shared" si="69"/>
        <v>0</v>
      </c>
      <c r="GS21" s="130">
        <f t="shared" si="69"/>
        <v>0</v>
      </c>
      <c r="GT21" s="130">
        <f t="shared" si="69"/>
        <v>0</v>
      </c>
      <c r="GU21" s="130">
        <f t="shared" si="69"/>
        <v>0</v>
      </c>
      <c r="GV21" s="130">
        <f t="shared" si="69"/>
        <v>0</v>
      </c>
      <c r="GW21" s="130">
        <f t="shared" si="69"/>
        <v>0</v>
      </c>
      <c r="GX21" s="130">
        <f t="shared" si="69"/>
        <v>0</v>
      </c>
      <c r="GY21" s="130">
        <f t="shared" ref="GY21:JJ21" si="70">ROUND(GY59,0)</f>
        <v>0</v>
      </c>
      <c r="GZ21" s="130">
        <f t="shared" si="70"/>
        <v>0</v>
      </c>
      <c r="HA21" s="130">
        <f t="shared" si="70"/>
        <v>0</v>
      </c>
      <c r="HB21" s="130">
        <f t="shared" si="70"/>
        <v>0</v>
      </c>
      <c r="HC21" s="130">
        <f t="shared" si="70"/>
        <v>0</v>
      </c>
      <c r="HD21" s="130">
        <f t="shared" si="70"/>
        <v>0</v>
      </c>
      <c r="HE21" s="130">
        <f t="shared" si="70"/>
        <v>0</v>
      </c>
      <c r="HF21" s="130">
        <f t="shared" si="70"/>
        <v>0</v>
      </c>
      <c r="HG21" s="130">
        <f t="shared" si="70"/>
        <v>0</v>
      </c>
      <c r="HH21" s="130">
        <f t="shared" si="70"/>
        <v>0</v>
      </c>
      <c r="HI21" s="130">
        <f t="shared" si="70"/>
        <v>0</v>
      </c>
      <c r="HJ21" s="130">
        <f t="shared" si="70"/>
        <v>0</v>
      </c>
      <c r="HK21" s="130">
        <f t="shared" si="70"/>
        <v>0</v>
      </c>
      <c r="HL21" s="130">
        <f t="shared" si="70"/>
        <v>0</v>
      </c>
      <c r="HM21" s="130">
        <f t="shared" si="70"/>
        <v>0</v>
      </c>
      <c r="HN21" s="130">
        <f t="shared" si="70"/>
        <v>0</v>
      </c>
      <c r="HO21" s="130">
        <f t="shared" si="70"/>
        <v>0</v>
      </c>
      <c r="HP21" s="130">
        <f t="shared" si="70"/>
        <v>0</v>
      </c>
      <c r="HQ21" s="130">
        <f t="shared" si="70"/>
        <v>0</v>
      </c>
      <c r="HR21" s="130">
        <f t="shared" si="70"/>
        <v>0</v>
      </c>
      <c r="HS21" s="130">
        <f t="shared" si="70"/>
        <v>0</v>
      </c>
      <c r="HT21" s="130">
        <f t="shared" si="70"/>
        <v>0</v>
      </c>
      <c r="HU21" s="130">
        <f t="shared" si="70"/>
        <v>0</v>
      </c>
      <c r="HV21" s="130">
        <f t="shared" si="70"/>
        <v>0</v>
      </c>
      <c r="HW21" s="130">
        <f t="shared" si="70"/>
        <v>0</v>
      </c>
      <c r="HX21" s="130">
        <f t="shared" si="70"/>
        <v>0</v>
      </c>
      <c r="HY21" s="130">
        <f t="shared" si="70"/>
        <v>0</v>
      </c>
      <c r="HZ21" s="130">
        <f t="shared" si="70"/>
        <v>0</v>
      </c>
      <c r="IA21" s="130">
        <f t="shared" si="70"/>
        <v>0</v>
      </c>
      <c r="IB21" s="130">
        <f t="shared" si="70"/>
        <v>0</v>
      </c>
      <c r="IC21" s="130">
        <f t="shared" si="70"/>
        <v>0</v>
      </c>
      <c r="ID21" s="130">
        <f t="shared" si="70"/>
        <v>0</v>
      </c>
      <c r="IE21" s="130">
        <f t="shared" si="70"/>
        <v>0</v>
      </c>
      <c r="IF21" s="130">
        <f t="shared" si="70"/>
        <v>0</v>
      </c>
      <c r="IG21" s="130">
        <f t="shared" si="70"/>
        <v>0</v>
      </c>
      <c r="IH21" s="130">
        <f t="shared" si="70"/>
        <v>0</v>
      </c>
      <c r="II21" s="130">
        <f t="shared" si="70"/>
        <v>0</v>
      </c>
      <c r="IJ21" s="130">
        <f t="shared" si="70"/>
        <v>0</v>
      </c>
      <c r="IK21" s="130">
        <f t="shared" si="70"/>
        <v>0</v>
      </c>
      <c r="IL21" s="130">
        <f t="shared" si="70"/>
        <v>0</v>
      </c>
      <c r="IM21" s="130">
        <f t="shared" si="70"/>
        <v>0</v>
      </c>
      <c r="IN21" s="130">
        <f t="shared" si="70"/>
        <v>0</v>
      </c>
      <c r="IO21" s="130">
        <f t="shared" si="70"/>
        <v>0</v>
      </c>
      <c r="IP21" s="130">
        <f t="shared" si="70"/>
        <v>0</v>
      </c>
      <c r="IQ21" s="130">
        <f t="shared" si="70"/>
        <v>0</v>
      </c>
      <c r="IR21" s="130">
        <f t="shared" si="70"/>
        <v>0</v>
      </c>
      <c r="IS21" s="130">
        <f t="shared" si="70"/>
        <v>0</v>
      </c>
      <c r="IT21" s="130">
        <f t="shared" si="70"/>
        <v>0</v>
      </c>
      <c r="IU21" s="130">
        <f t="shared" si="70"/>
        <v>0</v>
      </c>
      <c r="IV21" s="130">
        <f t="shared" si="70"/>
        <v>0</v>
      </c>
      <c r="IW21" s="130">
        <f t="shared" si="70"/>
        <v>0</v>
      </c>
      <c r="IX21" s="130">
        <f t="shared" si="70"/>
        <v>0</v>
      </c>
      <c r="IY21" s="130">
        <f t="shared" si="70"/>
        <v>0</v>
      </c>
      <c r="IZ21" s="130">
        <f t="shared" si="70"/>
        <v>0</v>
      </c>
      <c r="JA21" s="130">
        <f t="shared" si="70"/>
        <v>0</v>
      </c>
      <c r="JB21" s="130">
        <f t="shared" si="70"/>
        <v>0</v>
      </c>
      <c r="JC21" s="130">
        <f t="shared" si="70"/>
        <v>0</v>
      </c>
      <c r="JD21" s="130">
        <f t="shared" si="70"/>
        <v>0</v>
      </c>
      <c r="JE21" s="130">
        <f t="shared" si="70"/>
        <v>0</v>
      </c>
      <c r="JF21" s="130">
        <f t="shared" si="70"/>
        <v>0</v>
      </c>
      <c r="JG21" s="130">
        <f t="shared" si="70"/>
        <v>0</v>
      </c>
      <c r="JH21" s="130">
        <f t="shared" si="70"/>
        <v>0</v>
      </c>
      <c r="JI21" s="130">
        <f t="shared" si="70"/>
        <v>0</v>
      </c>
      <c r="JJ21" s="130">
        <f t="shared" si="70"/>
        <v>0</v>
      </c>
      <c r="JK21" s="130">
        <f t="shared" ref="JK21:LV21" si="71">ROUND(JK59,0)</f>
        <v>0</v>
      </c>
      <c r="JL21" s="130">
        <f t="shared" si="71"/>
        <v>0</v>
      </c>
      <c r="JM21" s="130">
        <f t="shared" si="71"/>
        <v>0</v>
      </c>
      <c r="JN21" s="130">
        <f t="shared" si="71"/>
        <v>0</v>
      </c>
      <c r="JO21" s="130">
        <f t="shared" si="71"/>
        <v>0</v>
      </c>
      <c r="JP21" s="130">
        <f t="shared" si="71"/>
        <v>0</v>
      </c>
      <c r="JQ21" s="130">
        <f t="shared" si="71"/>
        <v>0</v>
      </c>
      <c r="JR21" s="130">
        <f t="shared" si="71"/>
        <v>0</v>
      </c>
      <c r="JS21" s="130">
        <f t="shared" si="71"/>
        <v>0</v>
      </c>
      <c r="JT21" s="130">
        <f t="shared" si="71"/>
        <v>0</v>
      </c>
      <c r="JU21" s="130">
        <f t="shared" si="71"/>
        <v>0</v>
      </c>
      <c r="JV21" s="130">
        <f t="shared" si="71"/>
        <v>0</v>
      </c>
      <c r="JW21" s="130">
        <f t="shared" si="71"/>
        <v>0</v>
      </c>
      <c r="JX21" s="130">
        <f t="shared" si="71"/>
        <v>0</v>
      </c>
      <c r="JY21" s="130">
        <f t="shared" si="71"/>
        <v>0</v>
      </c>
      <c r="JZ21" s="130">
        <f t="shared" si="71"/>
        <v>0</v>
      </c>
      <c r="KA21" s="130">
        <f t="shared" si="71"/>
        <v>0</v>
      </c>
      <c r="KB21" s="130">
        <f t="shared" si="71"/>
        <v>0</v>
      </c>
      <c r="KC21" s="130">
        <f t="shared" si="71"/>
        <v>0</v>
      </c>
      <c r="KD21" s="130">
        <f t="shared" si="71"/>
        <v>0</v>
      </c>
      <c r="KE21" s="130">
        <f t="shared" si="71"/>
        <v>0</v>
      </c>
      <c r="KF21" s="130">
        <f t="shared" si="71"/>
        <v>0</v>
      </c>
      <c r="KG21" s="130">
        <f t="shared" si="71"/>
        <v>0</v>
      </c>
      <c r="KH21" s="130">
        <f t="shared" si="71"/>
        <v>0</v>
      </c>
      <c r="KI21" s="130">
        <f t="shared" si="71"/>
        <v>0</v>
      </c>
      <c r="KJ21" s="130">
        <f t="shared" si="71"/>
        <v>0</v>
      </c>
      <c r="KK21" s="130">
        <f t="shared" si="71"/>
        <v>0</v>
      </c>
      <c r="KL21" s="130">
        <f t="shared" si="71"/>
        <v>0</v>
      </c>
      <c r="KM21" s="130">
        <f t="shared" si="71"/>
        <v>0</v>
      </c>
      <c r="KN21" s="130">
        <f t="shared" si="71"/>
        <v>0</v>
      </c>
      <c r="KO21" s="130">
        <f t="shared" si="71"/>
        <v>0</v>
      </c>
      <c r="KP21" s="130">
        <f t="shared" si="71"/>
        <v>0</v>
      </c>
      <c r="KQ21" s="130">
        <f t="shared" si="71"/>
        <v>0</v>
      </c>
      <c r="KR21" s="130">
        <f t="shared" si="71"/>
        <v>0</v>
      </c>
      <c r="KS21" s="130">
        <f t="shared" si="71"/>
        <v>0</v>
      </c>
      <c r="KT21" s="130">
        <f t="shared" si="71"/>
        <v>0</v>
      </c>
      <c r="KU21" s="130">
        <f t="shared" si="71"/>
        <v>0</v>
      </c>
      <c r="KV21" s="130">
        <f t="shared" si="71"/>
        <v>0</v>
      </c>
      <c r="KW21" s="130">
        <f t="shared" si="71"/>
        <v>0</v>
      </c>
      <c r="KX21" s="130">
        <f t="shared" si="71"/>
        <v>0</v>
      </c>
      <c r="KY21" s="130">
        <f t="shared" si="71"/>
        <v>0</v>
      </c>
      <c r="KZ21" s="130">
        <f t="shared" si="71"/>
        <v>0</v>
      </c>
      <c r="LA21" s="130">
        <f t="shared" si="71"/>
        <v>0</v>
      </c>
      <c r="LB21" s="130">
        <f t="shared" si="71"/>
        <v>0</v>
      </c>
      <c r="LC21" s="130">
        <f t="shared" si="71"/>
        <v>0</v>
      </c>
      <c r="LD21" s="130">
        <f t="shared" si="71"/>
        <v>0</v>
      </c>
      <c r="LE21" s="130">
        <f t="shared" si="71"/>
        <v>0</v>
      </c>
      <c r="LF21" s="130">
        <f t="shared" si="71"/>
        <v>0</v>
      </c>
      <c r="LG21" s="130">
        <f t="shared" si="71"/>
        <v>0</v>
      </c>
      <c r="LH21" s="130">
        <f t="shared" si="71"/>
        <v>0</v>
      </c>
      <c r="LI21" s="130">
        <f t="shared" si="71"/>
        <v>0</v>
      </c>
      <c r="LJ21" s="130">
        <f t="shared" si="71"/>
        <v>0</v>
      </c>
      <c r="LK21" s="130">
        <f t="shared" si="71"/>
        <v>0</v>
      </c>
      <c r="LL21" s="130">
        <f t="shared" si="71"/>
        <v>0</v>
      </c>
      <c r="LM21" s="130">
        <f t="shared" si="71"/>
        <v>0</v>
      </c>
      <c r="LN21" s="130">
        <f t="shared" si="71"/>
        <v>0</v>
      </c>
      <c r="LO21" s="130">
        <f t="shared" si="71"/>
        <v>0</v>
      </c>
      <c r="LP21" s="130">
        <f t="shared" si="71"/>
        <v>0</v>
      </c>
      <c r="LQ21" s="130">
        <f t="shared" si="71"/>
        <v>0</v>
      </c>
      <c r="LR21" s="130">
        <f t="shared" si="71"/>
        <v>0</v>
      </c>
      <c r="LS21" s="130">
        <f t="shared" si="71"/>
        <v>0</v>
      </c>
      <c r="LT21" s="130">
        <f t="shared" si="71"/>
        <v>0</v>
      </c>
      <c r="LU21" s="130">
        <f t="shared" si="71"/>
        <v>0</v>
      </c>
      <c r="LV21" s="130">
        <f t="shared" si="71"/>
        <v>0</v>
      </c>
      <c r="LW21" s="130">
        <f t="shared" ref="LW21:OH21" si="72">ROUND(LW59,0)</f>
        <v>0</v>
      </c>
      <c r="LX21" s="130">
        <f t="shared" si="72"/>
        <v>0</v>
      </c>
      <c r="LY21" s="130">
        <f t="shared" si="72"/>
        <v>0</v>
      </c>
      <c r="LZ21" s="130">
        <f t="shared" si="72"/>
        <v>0</v>
      </c>
      <c r="MA21" s="130">
        <f t="shared" si="72"/>
        <v>0</v>
      </c>
      <c r="MB21" s="130">
        <f t="shared" si="72"/>
        <v>0</v>
      </c>
      <c r="MC21" s="130">
        <f t="shared" si="72"/>
        <v>0</v>
      </c>
      <c r="MD21" s="130">
        <f t="shared" si="72"/>
        <v>0</v>
      </c>
      <c r="ME21" s="130">
        <f t="shared" si="72"/>
        <v>0</v>
      </c>
      <c r="MF21" s="130">
        <f t="shared" si="72"/>
        <v>0</v>
      </c>
      <c r="MG21" s="130">
        <f t="shared" si="72"/>
        <v>0</v>
      </c>
      <c r="MH21" s="130">
        <f t="shared" si="72"/>
        <v>0</v>
      </c>
      <c r="MI21" s="130">
        <f t="shared" si="72"/>
        <v>0</v>
      </c>
      <c r="MJ21" s="130">
        <f t="shared" si="72"/>
        <v>0</v>
      </c>
      <c r="MK21" s="130">
        <f t="shared" si="72"/>
        <v>0</v>
      </c>
      <c r="ML21" s="130">
        <f t="shared" si="72"/>
        <v>0</v>
      </c>
      <c r="MM21" s="130">
        <f t="shared" si="72"/>
        <v>0</v>
      </c>
      <c r="MN21" s="130">
        <f t="shared" si="72"/>
        <v>0</v>
      </c>
      <c r="MO21" s="130">
        <f t="shared" si="72"/>
        <v>0</v>
      </c>
      <c r="MP21" s="130">
        <f t="shared" si="72"/>
        <v>0</v>
      </c>
      <c r="MQ21" s="130">
        <f t="shared" si="72"/>
        <v>0</v>
      </c>
      <c r="MR21" s="130">
        <f t="shared" si="72"/>
        <v>0</v>
      </c>
      <c r="MS21" s="130">
        <f t="shared" si="72"/>
        <v>0</v>
      </c>
      <c r="MT21" s="130">
        <f t="shared" si="72"/>
        <v>0</v>
      </c>
      <c r="MU21" s="130">
        <f t="shared" si="72"/>
        <v>0</v>
      </c>
      <c r="MV21" s="130">
        <f t="shared" si="72"/>
        <v>0</v>
      </c>
      <c r="MW21" s="130">
        <f t="shared" si="72"/>
        <v>0</v>
      </c>
      <c r="MX21" s="130">
        <f t="shared" si="72"/>
        <v>0</v>
      </c>
      <c r="MY21" s="130">
        <f t="shared" si="72"/>
        <v>0</v>
      </c>
      <c r="MZ21" s="130">
        <f t="shared" si="72"/>
        <v>0</v>
      </c>
      <c r="NA21" s="130">
        <f t="shared" si="72"/>
        <v>0</v>
      </c>
      <c r="NB21" s="130">
        <f t="shared" si="72"/>
        <v>0</v>
      </c>
      <c r="NC21" s="130">
        <f t="shared" si="72"/>
        <v>0</v>
      </c>
      <c r="ND21" s="130">
        <f t="shared" si="72"/>
        <v>0</v>
      </c>
      <c r="NE21" s="130">
        <f t="shared" si="72"/>
        <v>0</v>
      </c>
      <c r="NF21" s="130">
        <f t="shared" si="72"/>
        <v>0</v>
      </c>
      <c r="NG21" s="130">
        <f t="shared" si="72"/>
        <v>0</v>
      </c>
      <c r="NH21" s="130">
        <f t="shared" si="72"/>
        <v>0</v>
      </c>
      <c r="NI21" s="130">
        <f t="shared" si="72"/>
        <v>0</v>
      </c>
      <c r="NJ21" s="130">
        <f t="shared" si="72"/>
        <v>0</v>
      </c>
      <c r="NK21" s="130">
        <f t="shared" si="72"/>
        <v>0</v>
      </c>
      <c r="NL21" s="130">
        <f t="shared" si="72"/>
        <v>0</v>
      </c>
      <c r="NM21" s="130">
        <f t="shared" si="72"/>
        <v>0</v>
      </c>
      <c r="NN21" s="130">
        <f t="shared" si="72"/>
        <v>0</v>
      </c>
      <c r="NO21" s="130">
        <f t="shared" si="72"/>
        <v>0</v>
      </c>
      <c r="NP21" s="130">
        <f t="shared" si="72"/>
        <v>0</v>
      </c>
      <c r="NQ21" s="130">
        <f t="shared" si="72"/>
        <v>0</v>
      </c>
      <c r="NR21" s="130">
        <f t="shared" si="72"/>
        <v>0</v>
      </c>
      <c r="NS21" s="130">
        <f t="shared" si="72"/>
        <v>0</v>
      </c>
      <c r="NT21" s="130">
        <f t="shared" si="72"/>
        <v>0</v>
      </c>
      <c r="NU21" s="130">
        <f t="shared" si="72"/>
        <v>0</v>
      </c>
      <c r="NV21" s="130">
        <f t="shared" si="72"/>
        <v>0</v>
      </c>
      <c r="NW21" s="130">
        <f t="shared" si="72"/>
        <v>0</v>
      </c>
      <c r="NX21" s="130">
        <f t="shared" si="72"/>
        <v>0</v>
      </c>
      <c r="NY21" s="130">
        <f t="shared" si="72"/>
        <v>0</v>
      </c>
      <c r="NZ21" s="130">
        <f t="shared" si="72"/>
        <v>0</v>
      </c>
      <c r="OA21" s="130">
        <f t="shared" si="72"/>
        <v>0</v>
      </c>
      <c r="OB21" s="130">
        <f t="shared" si="72"/>
        <v>0</v>
      </c>
      <c r="OC21" s="130">
        <f t="shared" si="72"/>
        <v>0</v>
      </c>
      <c r="OD21" s="130">
        <f t="shared" si="72"/>
        <v>0</v>
      </c>
      <c r="OE21" s="130">
        <f t="shared" si="72"/>
        <v>0</v>
      </c>
      <c r="OF21" s="130">
        <f t="shared" si="72"/>
        <v>0</v>
      </c>
      <c r="OG21" s="130">
        <f t="shared" si="72"/>
        <v>0</v>
      </c>
      <c r="OH21" s="130">
        <f t="shared" si="72"/>
        <v>0</v>
      </c>
      <c r="OI21" s="130">
        <f t="shared" ref="OI21:QT21" si="73">ROUND(OI59,0)</f>
        <v>0</v>
      </c>
      <c r="OJ21" s="130">
        <f t="shared" si="73"/>
        <v>0</v>
      </c>
      <c r="OK21" s="130">
        <f t="shared" si="73"/>
        <v>0</v>
      </c>
      <c r="OL21" s="130">
        <f t="shared" si="73"/>
        <v>0</v>
      </c>
      <c r="OM21" s="130">
        <f t="shared" si="73"/>
        <v>0</v>
      </c>
      <c r="ON21" s="130">
        <f t="shared" si="73"/>
        <v>0</v>
      </c>
      <c r="OO21" s="130">
        <f t="shared" si="73"/>
        <v>0</v>
      </c>
      <c r="OP21" s="130">
        <f t="shared" si="73"/>
        <v>0</v>
      </c>
      <c r="OQ21" s="130">
        <f t="shared" si="73"/>
        <v>0</v>
      </c>
      <c r="OR21" s="130">
        <f t="shared" si="73"/>
        <v>0</v>
      </c>
      <c r="OS21" s="130">
        <f t="shared" si="73"/>
        <v>0</v>
      </c>
      <c r="OT21" s="130">
        <f t="shared" si="73"/>
        <v>0</v>
      </c>
      <c r="OU21" s="130">
        <f t="shared" si="73"/>
        <v>0</v>
      </c>
      <c r="OV21" s="130">
        <f t="shared" si="73"/>
        <v>0</v>
      </c>
      <c r="OW21" s="130">
        <f t="shared" si="73"/>
        <v>0</v>
      </c>
      <c r="OX21" s="130">
        <f t="shared" si="73"/>
        <v>0</v>
      </c>
      <c r="OY21" s="130">
        <f t="shared" si="73"/>
        <v>0</v>
      </c>
      <c r="OZ21" s="130">
        <f t="shared" si="73"/>
        <v>0</v>
      </c>
      <c r="PA21" s="130">
        <f t="shared" si="73"/>
        <v>0</v>
      </c>
      <c r="PB21" s="130">
        <f t="shared" si="73"/>
        <v>0</v>
      </c>
      <c r="PC21" s="130">
        <f t="shared" si="73"/>
        <v>0</v>
      </c>
      <c r="PD21" s="130">
        <f t="shared" si="73"/>
        <v>0</v>
      </c>
      <c r="PE21" s="130">
        <f t="shared" si="73"/>
        <v>0</v>
      </c>
      <c r="PF21" s="130">
        <f t="shared" si="73"/>
        <v>0</v>
      </c>
      <c r="PG21" s="130">
        <f t="shared" si="73"/>
        <v>0</v>
      </c>
      <c r="PH21" s="130">
        <f t="shared" si="73"/>
        <v>0</v>
      </c>
      <c r="PI21" s="130">
        <f t="shared" si="73"/>
        <v>0</v>
      </c>
      <c r="PJ21" s="130">
        <f t="shared" si="73"/>
        <v>0</v>
      </c>
      <c r="PK21" s="130">
        <f t="shared" si="73"/>
        <v>0</v>
      </c>
      <c r="PL21" s="130">
        <f t="shared" si="73"/>
        <v>0</v>
      </c>
      <c r="PM21" s="130">
        <f t="shared" si="73"/>
        <v>0</v>
      </c>
      <c r="PN21" s="130">
        <f t="shared" si="73"/>
        <v>0</v>
      </c>
      <c r="PO21" s="130">
        <f t="shared" si="73"/>
        <v>0</v>
      </c>
      <c r="PP21" s="130">
        <f t="shared" si="73"/>
        <v>0</v>
      </c>
      <c r="PQ21" s="130">
        <f t="shared" si="73"/>
        <v>0</v>
      </c>
      <c r="PR21" s="130">
        <f t="shared" si="73"/>
        <v>0</v>
      </c>
      <c r="PS21" s="130">
        <f t="shared" si="73"/>
        <v>0</v>
      </c>
      <c r="PT21" s="130">
        <f t="shared" si="73"/>
        <v>0</v>
      </c>
      <c r="PU21" s="130">
        <f t="shared" si="73"/>
        <v>0</v>
      </c>
      <c r="PV21" s="130">
        <f t="shared" si="73"/>
        <v>0</v>
      </c>
      <c r="PW21" s="130">
        <f t="shared" si="73"/>
        <v>0</v>
      </c>
      <c r="PX21" s="130">
        <f t="shared" si="73"/>
        <v>0</v>
      </c>
      <c r="PY21" s="130">
        <f t="shared" si="73"/>
        <v>0</v>
      </c>
      <c r="PZ21" s="130">
        <f t="shared" si="73"/>
        <v>0</v>
      </c>
      <c r="QA21" s="130">
        <f t="shared" si="73"/>
        <v>0</v>
      </c>
      <c r="QB21" s="130">
        <f t="shared" si="73"/>
        <v>0</v>
      </c>
      <c r="QC21" s="130">
        <f t="shared" si="73"/>
        <v>0</v>
      </c>
      <c r="QD21" s="130">
        <f t="shared" si="73"/>
        <v>0</v>
      </c>
      <c r="QE21" s="130">
        <f t="shared" si="73"/>
        <v>0</v>
      </c>
      <c r="QF21" s="130">
        <f t="shared" si="73"/>
        <v>0</v>
      </c>
      <c r="QG21" s="130">
        <f t="shared" si="73"/>
        <v>0</v>
      </c>
      <c r="QH21" s="130">
        <f t="shared" si="73"/>
        <v>0</v>
      </c>
      <c r="QI21" s="130">
        <f t="shared" si="73"/>
        <v>0</v>
      </c>
      <c r="QJ21" s="130">
        <f t="shared" si="73"/>
        <v>0</v>
      </c>
      <c r="QK21" s="130">
        <f t="shared" si="73"/>
        <v>0</v>
      </c>
      <c r="QL21" s="130">
        <f t="shared" si="73"/>
        <v>0</v>
      </c>
      <c r="QM21" s="130">
        <f t="shared" si="73"/>
        <v>0</v>
      </c>
      <c r="QN21" s="130">
        <f t="shared" si="73"/>
        <v>0</v>
      </c>
      <c r="QO21" s="130">
        <f t="shared" si="73"/>
        <v>0</v>
      </c>
      <c r="QP21" s="130">
        <f t="shared" si="73"/>
        <v>0</v>
      </c>
      <c r="QQ21" s="130">
        <f t="shared" si="73"/>
        <v>0</v>
      </c>
      <c r="QR21" s="130">
        <f t="shared" si="73"/>
        <v>0</v>
      </c>
      <c r="QS21" s="130">
        <f t="shared" si="73"/>
        <v>0</v>
      </c>
      <c r="QT21" s="130">
        <f t="shared" si="73"/>
        <v>0</v>
      </c>
      <c r="QU21" s="130">
        <f t="shared" ref="QU21:TF21" si="74">ROUND(QU59,0)</f>
        <v>0</v>
      </c>
      <c r="QV21" s="130">
        <f t="shared" si="74"/>
        <v>0</v>
      </c>
      <c r="QW21" s="130">
        <f t="shared" si="74"/>
        <v>0</v>
      </c>
      <c r="QX21" s="130">
        <f t="shared" si="74"/>
        <v>0</v>
      </c>
      <c r="QY21" s="130">
        <f t="shared" si="74"/>
        <v>0</v>
      </c>
      <c r="QZ21" s="130">
        <f t="shared" si="74"/>
        <v>0</v>
      </c>
      <c r="RA21" s="130">
        <f t="shared" si="74"/>
        <v>0</v>
      </c>
      <c r="RB21" s="130">
        <f t="shared" si="74"/>
        <v>0</v>
      </c>
      <c r="RC21" s="130">
        <f t="shared" si="74"/>
        <v>0</v>
      </c>
      <c r="RD21" s="130">
        <f t="shared" si="74"/>
        <v>0</v>
      </c>
      <c r="RE21" s="130">
        <f t="shared" si="74"/>
        <v>0</v>
      </c>
      <c r="RF21" s="130">
        <f t="shared" si="74"/>
        <v>0</v>
      </c>
      <c r="RG21" s="130">
        <f t="shared" si="74"/>
        <v>0</v>
      </c>
      <c r="RH21" s="130">
        <f t="shared" si="74"/>
        <v>0</v>
      </c>
      <c r="RI21" s="130">
        <f t="shared" si="74"/>
        <v>0</v>
      </c>
      <c r="RJ21" s="130">
        <f t="shared" si="74"/>
        <v>0</v>
      </c>
      <c r="RK21" s="130">
        <f t="shared" si="74"/>
        <v>0</v>
      </c>
      <c r="RL21" s="130">
        <f t="shared" si="74"/>
        <v>0</v>
      </c>
      <c r="RM21" s="130">
        <f t="shared" si="74"/>
        <v>0</v>
      </c>
      <c r="RN21" s="130">
        <f t="shared" si="74"/>
        <v>0</v>
      </c>
      <c r="RO21" s="130">
        <f t="shared" si="74"/>
        <v>0</v>
      </c>
      <c r="RP21" s="130">
        <f t="shared" si="74"/>
        <v>0</v>
      </c>
      <c r="RQ21" s="130">
        <f t="shared" si="74"/>
        <v>0</v>
      </c>
      <c r="RR21" s="130">
        <f t="shared" si="74"/>
        <v>0</v>
      </c>
      <c r="RS21" s="130">
        <f t="shared" si="74"/>
        <v>0</v>
      </c>
      <c r="RT21" s="130">
        <f t="shared" si="74"/>
        <v>0</v>
      </c>
      <c r="RU21" s="130">
        <f t="shared" si="74"/>
        <v>0</v>
      </c>
      <c r="RV21" s="130">
        <f t="shared" si="74"/>
        <v>0</v>
      </c>
      <c r="RW21" s="130">
        <f t="shared" si="74"/>
        <v>0</v>
      </c>
      <c r="RX21" s="130">
        <f t="shared" si="74"/>
        <v>0</v>
      </c>
      <c r="RY21" s="130">
        <f t="shared" si="74"/>
        <v>0</v>
      </c>
      <c r="RZ21" s="130">
        <f t="shared" si="74"/>
        <v>0</v>
      </c>
      <c r="SA21" s="130">
        <f t="shared" si="74"/>
        <v>0</v>
      </c>
      <c r="SB21" s="130">
        <f t="shared" si="74"/>
        <v>0</v>
      </c>
      <c r="SC21" s="130">
        <f t="shared" si="74"/>
        <v>0</v>
      </c>
      <c r="SD21" s="130">
        <f t="shared" si="74"/>
        <v>0</v>
      </c>
      <c r="SE21" s="130">
        <f t="shared" si="74"/>
        <v>0</v>
      </c>
      <c r="SF21" s="130">
        <f t="shared" si="74"/>
        <v>0</v>
      </c>
      <c r="SG21" s="130">
        <f t="shared" si="74"/>
        <v>0</v>
      </c>
      <c r="SH21" s="130">
        <f t="shared" si="74"/>
        <v>0</v>
      </c>
      <c r="SI21" s="130">
        <f t="shared" si="74"/>
        <v>0</v>
      </c>
      <c r="SJ21" s="130">
        <f t="shared" si="74"/>
        <v>0</v>
      </c>
      <c r="SK21" s="130">
        <f t="shared" si="74"/>
        <v>0</v>
      </c>
      <c r="SL21" s="130">
        <f t="shared" si="74"/>
        <v>0</v>
      </c>
      <c r="SM21" s="130">
        <f t="shared" si="74"/>
        <v>0</v>
      </c>
      <c r="SN21" s="130">
        <f t="shared" si="74"/>
        <v>0</v>
      </c>
      <c r="SO21" s="130">
        <f t="shared" si="74"/>
        <v>0</v>
      </c>
      <c r="SP21" s="130">
        <f t="shared" si="74"/>
        <v>0</v>
      </c>
      <c r="SQ21" s="130">
        <f t="shared" si="74"/>
        <v>0</v>
      </c>
      <c r="SR21" s="130">
        <f t="shared" si="74"/>
        <v>0</v>
      </c>
      <c r="SS21" s="130">
        <f t="shared" si="74"/>
        <v>0</v>
      </c>
      <c r="ST21" s="130">
        <f t="shared" si="74"/>
        <v>0</v>
      </c>
      <c r="SU21" s="130">
        <f t="shared" si="74"/>
        <v>0</v>
      </c>
      <c r="SV21" s="130">
        <f t="shared" si="74"/>
        <v>0</v>
      </c>
      <c r="SW21" s="130">
        <f t="shared" si="74"/>
        <v>0</v>
      </c>
      <c r="SX21" s="130">
        <f t="shared" si="74"/>
        <v>0</v>
      </c>
      <c r="SY21" s="130">
        <f t="shared" si="74"/>
        <v>0</v>
      </c>
      <c r="SZ21" s="130">
        <f t="shared" si="74"/>
        <v>0</v>
      </c>
      <c r="TA21" s="130">
        <f t="shared" si="74"/>
        <v>0</v>
      </c>
      <c r="TB21" s="130">
        <f t="shared" si="74"/>
        <v>0</v>
      </c>
      <c r="TC21" s="130">
        <f t="shared" si="74"/>
        <v>0</v>
      </c>
      <c r="TD21" s="130">
        <f t="shared" si="74"/>
        <v>0</v>
      </c>
      <c r="TE21" s="130">
        <f t="shared" si="74"/>
        <v>0</v>
      </c>
      <c r="TF21" s="130">
        <f t="shared" si="74"/>
        <v>0</v>
      </c>
      <c r="TG21" s="130">
        <f t="shared" ref="TG21:VR21" si="75">ROUND(TG59,0)</f>
        <v>0</v>
      </c>
      <c r="TH21" s="130">
        <f t="shared" si="75"/>
        <v>0</v>
      </c>
      <c r="TI21" s="130">
        <f t="shared" si="75"/>
        <v>0</v>
      </c>
      <c r="TJ21" s="130">
        <f t="shared" si="75"/>
        <v>0</v>
      </c>
      <c r="TK21" s="130">
        <f t="shared" si="75"/>
        <v>0</v>
      </c>
      <c r="TL21" s="130">
        <f t="shared" si="75"/>
        <v>0</v>
      </c>
      <c r="TM21" s="130">
        <f t="shared" si="75"/>
        <v>0</v>
      </c>
      <c r="TN21" s="130">
        <f t="shared" si="75"/>
        <v>0</v>
      </c>
      <c r="TO21" s="130">
        <f t="shared" si="75"/>
        <v>0</v>
      </c>
      <c r="TP21" s="130">
        <f t="shared" si="75"/>
        <v>0</v>
      </c>
      <c r="TQ21" s="130">
        <f t="shared" si="75"/>
        <v>0</v>
      </c>
      <c r="TR21" s="130">
        <f t="shared" si="75"/>
        <v>0</v>
      </c>
      <c r="TS21" s="130">
        <f t="shared" si="75"/>
        <v>0</v>
      </c>
      <c r="TT21" s="130">
        <f t="shared" si="75"/>
        <v>0</v>
      </c>
      <c r="TU21" s="130">
        <f t="shared" si="75"/>
        <v>0</v>
      </c>
      <c r="TV21" s="130">
        <f t="shared" si="75"/>
        <v>0</v>
      </c>
      <c r="TW21" s="130">
        <f t="shared" si="75"/>
        <v>0</v>
      </c>
      <c r="TX21" s="130">
        <f t="shared" si="75"/>
        <v>0</v>
      </c>
      <c r="TY21" s="130">
        <f t="shared" si="75"/>
        <v>0</v>
      </c>
      <c r="TZ21" s="130">
        <f t="shared" si="75"/>
        <v>0</v>
      </c>
      <c r="UA21" s="130">
        <f t="shared" si="75"/>
        <v>0</v>
      </c>
      <c r="UB21" s="130">
        <f t="shared" si="75"/>
        <v>0</v>
      </c>
      <c r="UC21" s="130">
        <f t="shared" si="75"/>
        <v>0</v>
      </c>
      <c r="UD21" s="130">
        <f t="shared" si="75"/>
        <v>0</v>
      </c>
      <c r="UE21" s="130">
        <f t="shared" si="75"/>
        <v>0</v>
      </c>
      <c r="UF21" s="130">
        <f t="shared" si="75"/>
        <v>0</v>
      </c>
      <c r="UG21" s="130">
        <f t="shared" si="75"/>
        <v>0</v>
      </c>
      <c r="UH21" s="130">
        <f t="shared" si="75"/>
        <v>0</v>
      </c>
      <c r="UI21" s="130">
        <f t="shared" si="75"/>
        <v>0</v>
      </c>
      <c r="UJ21" s="130">
        <f t="shared" si="75"/>
        <v>0</v>
      </c>
      <c r="UK21" s="130">
        <f t="shared" si="75"/>
        <v>0</v>
      </c>
      <c r="UL21" s="130">
        <f t="shared" si="75"/>
        <v>0</v>
      </c>
      <c r="UM21" s="130">
        <f t="shared" si="75"/>
        <v>0</v>
      </c>
      <c r="UN21" s="130">
        <f t="shared" si="75"/>
        <v>0</v>
      </c>
      <c r="UO21" s="130">
        <f t="shared" si="75"/>
        <v>0</v>
      </c>
      <c r="UP21" s="130">
        <f t="shared" si="75"/>
        <v>0</v>
      </c>
      <c r="UQ21" s="130">
        <f t="shared" si="75"/>
        <v>0</v>
      </c>
      <c r="UR21" s="130">
        <f t="shared" si="75"/>
        <v>0</v>
      </c>
      <c r="US21" s="130">
        <f t="shared" si="75"/>
        <v>0</v>
      </c>
      <c r="UT21" s="130">
        <f t="shared" si="75"/>
        <v>0</v>
      </c>
      <c r="UU21" s="130">
        <f t="shared" si="75"/>
        <v>0</v>
      </c>
      <c r="UV21" s="130">
        <f t="shared" si="75"/>
        <v>0</v>
      </c>
      <c r="UW21" s="130">
        <f t="shared" si="75"/>
        <v>0</v>
      </c>
      <c r="UX21" s="130">
        <f t="shared" si="75"/>
        <v>0</v>
      </c>
      <c r="UY21" s="130">
        <f t="shared" si="75"/>
        <v>0</v>
      </c>
      <c r="UZ21" s="130">
        <f t="shared" si="75"/>
        <v>0</v>
      </c>
      <c r="VA21" s="130">
        <f t="shared" si="75"/>
        <v>0</v>
      </c>
      <c r="VB21" s="130">
        <f t="shared" si="75"/>
        <v>0</v>
      </c>
      <c r="VC21" s="130">
        <f t="shared" si="75"/>
        <v>0</v>
      </c>
      <c r="VD21" s="130">
        <f t="shared" si="75"/>
        <v>0</v>
      </c>
      <c r="VE21" s="130">
        <f t="shared" si="75"/>
        <v>0</v>
      </c>
      <c r="VF21" s="130">
        <f t="shared" si="75"/>
        <v>0</v>
      </c>
      <c r="VG21" s="130">
        <f t="shared" si="75"/>
        <v>0</v>
      </c>
      <c r="VH21" s="130">
        <f t="shared" si="75"/>
        <v>0</v>
      </c>
      <c r="VI21" s="130">
        <f t="shared" si="75"/>
        <v>0</v>
      </c>
      <c r="VJ21" s="130">
        <f t="shared" si="75"/>
        <v>0</v>
      </c>
      <c r="VK21" s="130">
        <f t="shared" si="75"/>
        <v>0</v>
      </c>
      <c r="VL21" s="130">
        <f t="shared" si="75"/>
        <v>0</v>
      </c>
      <c r="VM21" s="130">
        <f t="shared" si="75"/>
        <v>0</v>
      </c>
      <c r="VN21" s="130">
        <f t="shared" si="75"/>
        <v>0</v>
      </c>
      <c r="VO21" s="130">
        <f t="shared" si="75"/>
        <v>0</v>
      </c>
      <c r="VP21" s="130">
        <f t="shared" si="75"/>
        <v>0</v>
      </c>
      <c r="VQ21" s="130">
        <f t="shared" si="75"/>
        <v>0</v>
      </c>
      <c r="VR21" s="130">
        <f t="shared" si="75"/>
        <v>0</v>
      </c>
      <c r="VS21" s="130">
        <f t="shared" ref="VS21:YD21" si="76">ROUND(VS59,0)</f>
        <v>0</v>
      </c>
      <c r="VT21" s="130">
        <f t="shared" si="76"/>
        <v>0</v>
      </c>
      <c r="VU21" s="130">
        <f t="shared" si="76"/>
        <v>0</v>
      </c>
      <c r="VV21" s="130">
        <f t="shared" si="76"/>
        <v>0</v>
      </c>
      <c r="VW21" s="130">
        <f t="shared" si="76"/>
        <v>0</v>
      </c>
      <c r="VX21" s="130">
        <f t="shared" si="76"/>
        <v>0</v>
      </c>
      <c r="VY21" s="130">
        <f t="shared" si="76"/>
        <v>0</v>
      </c>
      <c r="VZ21" s="130">
        <f t="shared" si="76"/>
        <v>0</v>
      </c>
      <c r="WA21" s="130">
        <f t="shared" si="76"/>
        <v>0</v>
      </c>
      <c r="WB21" s="130">
        <f t="shared" si="76"/>
        <v>0</v>
      </c>
      <c r="WC21" s="130">
        <f t="shared" si="76"/>
        <v>0</v>
      </c>
      <c r="WD21" s="130">
        <f t="shared" si="76"/>
        <v>0</v>
      </c>
      <c r="WE21" s="130">
        <f t="shared" si="76"/>
        <v>0</v>
      </c>
      <c r="WF21" s="130">
        <f t="shared" si="76"/>
        <v>0</v>
      </c>
      <c r="WG21" s="130">
        <f t="shared" si="76"/>
        <v>0</v>
      </c>
      <c r="WH21" s="130">
        <f t="shared" si="76"/>
        <v>0</v>
      </c>
      <c r="WI21" s="130">
        <f t="shared" si="76"/>
        <v>0</v>
      </c>
      <c r="WJ21" s="130">
        <f t="shared" si="76"/>
        <v>0</v>
      </c>
      <c r="WK21" s="130">
        <f t="shared" si="76"/>
        <v>0</v>
      </c>
      <c r="WL21" s="130">
        <f t="shared" si="76"/>
        <v>0</v>
      </c>
      <c r="WM21" s="130">
        <f t="shared" si="76"/>
        <v>0</v>
      </c>
      <c r="WN21" s="130">
        <f t="shared" si="76"/>
        <v>0</v>
      </c>
      <c r="WO21" s="130">
        <f t="shared" si="76"/>
        <v>0</v>
      </c>
      <c r="WP21" s="130">
        <f t="shared" si="76"/>
        <v>0</v>
      </c>
      <c r="WQ21" s="130">
        <f t="shared" si="76"/>
        <v>0</v>
      </c>
      <c r="WR21" s="130">
        <f t="shared" si="76"/>
        <v>0</v>
      </c>
      <c r="WS21" s="130">
        <f t="shared" si="76"/>
        <v>0</v>
      </c>
      <c r="WT21" s="130">
        <f t="shared" si="76"/>
        <v>0</v>
      </c>
      <c r="WU21" s="130">
        <f t="shared" si="76"/>
        <v>0</v>
      </c>
      <c r="WV21" s="130">
        <f t="shared" si="76"/>
        <v>0</v>
      </c>
      <c r="WW21" s="130">
        <f t="shared" si="76"/>
        <v>0</v>
      </c>
      <c r="WX21" s="130">
        <f t="shared" si="76"/>
        <v>0</v>
      </c>
      <c r="WY21" s="130">
        <f t="shared" si="76"/>
        <v>0</v>
      </c>
      <c r="WZ21" s="130">
        <f t="shared" si="76"/>
        <v>0</v>
      </c>
      <c r="XA21" s="130">
        <f t="shared" si="76"/>
        <v>0</v>
      </c>
      <c r="XB21" s="130">
        <f t="shared" si="76"/>
        <v>0</v>
      </c>
      <c r="XC21" s="130">
        <f t="shared" si="76"/>
        <v>0</v>
      </c>
      <c r="XD21" s="130">
        <f t="shared" si="76"/>
        <v>0</v>
      </c>
      <c r="XE21" s="130">
        <f t="shared" si="76"/>
        <v>0</v>
      </c>
      <c r="XF21" s="130">
        <f t="shared" si="76"/>
        <v>0</v>
      </c>
      <c r="XG21" s="130">
        <f t="shared" si="76"/>
        <v>0</v>
      </c>
      <c r="XH21" s="130">
        <f t="shared" si="76"/>
        <v>0</v>
      </c>
      <c r="XI21" s="130">
        <f t="shared" si="76"/>
        <v>0</v>
      </c>
      <c r="XJ21" s="130">
        <f t="shared" si="76"/>
        <v>0</v>
      </c>
      <c r="XK21" s="130">
        <f t="shared" si="76"/>
        <v>0</v>
      </c>
      <c r="XL21" s="130">
        <f t="shared" si="76"/>
        <v>0</v>
      </c>
      <c r="XM21" s="130">
        <f t="shared" si="76"/>
        <v>0</v>
      </c>
      <c r="XN21" s="130">
        <f t="shared" si="76"/>
        <v>0</v>
      </c>
      <c r="XO21" s="130">
        <f t="shared" si="76"/>
        <v>0</v>
      </c>
      <c r="XP21" s="130">
        <f t="shared" si="76"/>
        <v>0</v>
      </c>
      <c r="XQ21" s="130">
        <f t="shared" si="76"/>
        <v>0</v>
      </c>
      <c r="XR21" s="130">
        <f t="shared" si="76"/>
        <v>0</v>
      </c>
      <c r="XS21" s="130">
        <f t="shared" si="76"/>
        <v>0</v>
      </c>
      <c r="XT21" s="130">
        <f t="shared" si="76"/>
        <v>0</v>
      </c>
      <c r="XU21" s="130">
        <f t="shared" si="76"/>
        <v>0</v>
      </c>
      <c r="XV21" s="130">
        <f t="shared" si="76"/>
        <v>0</v>
      </c>
      <c r="XW21" s="130">
        <f t="shared" si="76"/>
        <v>0</v>
      </c>
      <c r="XX21" s="130">
        <f t="shared" si="76"/>
        <v>0</v>
      </c>
      <c r="XY21" s="130">
        <f t="shared" si="76"/>
        <v>0</v>
      </c>
      <c r="XZ21" s="130">
        <f t="shared" si="76"/>
        <v>0</v>
      </c>
      <c r="YA21" s="130">
        <f t="shared" si="76"/>
        <v>0</v>
      </c>
      <c r="YB21" s="130">
        <f t="shared" si="76"/>
        <v>0</v>
      </c>
      <c r="YC21" s="130">
        <f t="shared" si="76"/>
        <v>0</v>
      </c>
      <c r="YD21" s="130">
        <f t="shared" si="76"/>
        <v>0</v>
      </c>
      <c r="YE21" s="130">
        <f t="shared" ref="YE21:AAP21" si="77">ROUND(YE59,0)</f>
        <v>0</v>
      </c>
      <c r="YF21" s="130">
        <f t="shared" si="77"/>
        <v>0</v>
      </c>
      <c r="YG21" s="130">
        <f t="shared" si="77"/>
        <v>0</v>
      </c>
      <c r="YH21" s="130">
        <f t="shared" si="77"/>
        <v>0</v>
      </c>
      <c r="YI21" s="130">
        <f t="shared" si="77"/>
        <v>0</v>
      </c>
      <c r="YJ21" s="130">
        <f t="shared" si="77"/>
        <v>0</v>
      </c>
      <c r="YK21" s="130">
        <f t="shared" si="77"/>
        <v>0</v>
      </c>
      <c r="YL21" s="130">
        <f t="shared" si="77"/>
        <v>0</v>
      </c>
      <c r="YM21" s="130">
        <f t="shared" si="77"/>
        <v>0</v>
      </c>
      <c r="YN21" s="130">
        <f t="shared" si="77"/>
        <v>0</v>
      </c>
      <c r="YO21" s="130">
        <f t="shared" si="77"/>
        <v>0</v>
      </c>
      <c r="YP21" s="130">
        <f t="shared" si="77"/>
        <v>0</v>
      </c>
      <c r="YQ21" s="130">
        <f t="shared" si="77"/>
        <v>0</v>
      </c>
      <c r="YR21" s="130">
        <f t="shared" si="77"/>
        <v>0</v>
      </c>
      <c r="YS21" s="130">
        <f t="shared" si="77"/>
        <v>0</v>
      </c>
      <c r="YT21" s="130">
        <f t="shared" si="77"/>
        <v>0</v>
      </c>
      <c r="YU21" s="130">
        <f t="shared" si="77"/>
        <v>0</v>
      </c>
      <c r="YV21" s="130">
        <f t="shared" si="77"/>
        <v>0</v>
      </c>
      <c r="YW21" s="130">
        <f t="shared" si="77"/>
        <v>0</v>
      </c>
      <c r="YX21" s="130">
        <f t="shared" si="77"/>
        <v>0</v>
      </c>
      <c r="YY21" s="130">
        <f t="shared" si="77"/>
        <v>0</v>
      </c>
      <c r="YZ21" s="130">
        <f t="shared" si="77"/>
        <v>0</v>
      </c>
      <c r="ZA21" s="130">
        <f t="shared" si="77"/>
        <v>0</v>
      </c>
      <c r="ZB21" s="130">
        <f t="shared" si="77"/>
        <v>0</v>
      </c>
      <c r="ZC21" s="130">
        <f t="shared" si="77"/>
        <v>0</v>
      </c>
      <c r="ZD21" s="130">
        <f t="shared" si="77"/>
        <v>0</v>
      </c>
      <c r="ZE21" s="130">
        <f t="shared" si="77"/>
        <v>0</v>
      </c>
      <c r="ZF21" s="130">
        <f t="shared" si="77"/>
        <v>0</v>
      </c>
      <c r="ZG21" s="130">
        <f t="shared" si="77"/>
        <v>0</v>
      </c>
      <c r="ZH21" s="130">
        <f t="shared" si="77"/>
        <v>0</v>
      </c>
      <c r="ZI21" s="130">
        <f t="shared" si="77"/>
        <v>0</v>
      </c>
      <c r="ZJ21" s="130">
        <f t="shared" si="77"/>
        <v>0</v>
      </c>
      <c r="ZK21" s="130">
        <f t="shared" si="77"/>
        <v>0</v>
      </c>
      <c r="ZL21" s="130">
        <f t="shared" si="77"/>
        <v>0</v>
      </c>
      <c r="ZM21" s="130">
        <f t="shared" si="77"/>
        <v>0</v>
      </c>
      <c r="ZN21" s="130">
        <f t="shared" si="77"/>
        <v>0</v>
      </c>
      <c r="ZO21" s="130">
        <f t="shared" si="77"/>
        <v>0</v>
      </c>
      <c r="ZP21" s="130">
        <f t="shared" si="77"/>
        <v>0</v>
      </c>
      <c r="ZQ21" s="130">
        <f t="shared" si="77"/>
        <v>0</v>
      </c>
      <c r="ZR21" s="130">
        <f t="shared" si="77"/>
        <v>0</v>
      </c>
      <c r="ZS21" s="130">
        <f t="shared" si="77"/>
        <v>0</v>
      </c>
      <c r="ZT21" s="130">
        <f t="shared" si="77"/>
        <v>0</v>
      </c>
      <c r="ZU21" s="130">
        <f t="shared" si="77"/>
        <v>0</v>
      </c>
      <c r="ZV21" s="130">
        <f t="shared" si="77"/>
        <v>0</v>
      </c>
      <c r="ZW21" s="130">
        <f t="shared" si="77"/>
        <v>0</v>
      </c>
      <c r="ZX21" s="130">
        <f t="shared" si="77"/>
        <v>0</v>
      </c>
      <c r="ZY21" s="130">
        <f t="shared" si="77"/>
        <v>0</v>
      </c>
      <c r="ZZ21" s="130">
        <f t="shared" si="77"/>
        <v>0</v>
      </c>
      <c r="AAA21" s="130">
        <f t="shared" si="77"/>
        <v>0</v>
      </c>
      <c r="AAB21" s="130">
        <f t="shared" si="77"/>
        <v>0</v>
      </c>
      <c r="AAC21" s="130">
        <f t="shared" si="77"/>
        <v>0</v>
      </c>
      <c r="AAD21" s="130">
        <f t="shared" si="77"/>
        <v>0</v>
      </c>
      <c r="AAE21" s="130">
        <f t="shared" si="77"/>
        <v>0</v>
      </c>
      <c r="AAF21" s="130">
        <f t="shared" si="77"/>
        <v>0</v>
      </c>
      <c r="AAG21" s="130">
        <f t="shared" si="77"/>
        <v>0</v>
      </c>
      <c r="AAH21" s="130">
        <f t="shared" si="77"/>
        <v>0</v>
      </c>
      <c r="AAI21" s="130">
        <f t="shared" si="77"/>
        <v>0</v>
      </c>
      <c r="AAJ21" s="130">
        <f t="shared" si="77"/>
        <v>0</v>
      </c>
      <c r="AAK21" s="130">
        <f t="shared" si="77"/>
        <v>0</v>
      </c>
      <c r="AAL21" s="130">
        <f t="shared" si="77"/>
        <v>0</v>
      </c>
      <c r="AAM21" s="130">
        <f t="shared" si="77"/>
        <v>0</v>
      </c>
      <c r="AAN21" s="130">
        <f t="shared" si="77"/>
        <v>0</v>
      </c>
      <c r="AAO21" s="130">
        <f t="shared" si="77"/>
        <v>0</v>
      </c>
      <c r="AAP21" s="130">
        <f t="shared" si="77"/>
        <v>0</v>
      </c>
      <c r="AAQ21" s="130">
        <f t="shared" ref="AAQ21:ADB21" si="78">ROUND(AAQ59,0)</f>
        <v>0</v>
      </c>
      <c r="AAR21" s="130">
        <f t="shared" si="78"/>
        <v>0</v>
      </c>
      <c r="AAS21" s="130">
        <f t="shared" si="78"/>
        <v>0</v>
      </c>
      <c r="AAT21" s="130">
        <f t="shared" si="78"/>
        <v>0</v>
      </c>
      <c r="AAU21" s="130">
        <f t="shared" si="78"/>
        <v>0</v>
      </c>
      <c r="AAV21" s="130">
        <f t="shared" si="78"/>
        <v>0</v>
      </c>
      <c r="AAW21" s="130">
        <f t="shared" si="78"/>
        <v>0</v>
      </c>
      <c r="AAX21" s="130">
        <f t="shared" si="78"/>
        <v>0</v>
      </c>
      <c r="AAY21" s="130">
        <f t="shared" si="78"/>
        <v>0</v>
      </c>
      <c r="AAZ21" s="130">
        <f t="shared" si="78"/>
        <v>0</v>
      </c>
      <c r="ABA21" s="130">
        <f t="shared" si="78"/>
        <v>0</v>
      </c>
      <c r="ABB21" s="130">
        <f t="shared" si="78"/>
        <v>0</v>
      </c>
      <c r="ABC21" s="130">
        <f t="shared" si="78"/>
        <v>0</v>
      </c>
      <c r="ABD21" s="130">
        <f t="shared" si="78"/>
        <v>0</v>
      </c>
      <c r="ABE21" s="130">
        <f t="shared" si="78"/>
        <v>0</v>
      </c>
      <c r="ABF21" s="130">
        <f t="shared" si="78"/>
        <v>0</v>
      </c>
      <c r="ABG21" s="130">
        <f t="shared" si="78"/>
        <v>0</v>
      </c>
      <c r="ABH21" s="130">
        <f t="shared" si="78"/>
        <v>0</v>
      </c>
      <c r="ABI21" s="130">
        <f t="shared" si="78"/>
        <v>0</v>
      </c>
      <c r="ABJ21" s="130">
        <f t="shared" si="78"/>
        <v>0</v>
      </c>
      <c r="ABK21" s="130">
        <f t="shared" si="78"/>
        <v>0</v>
      </c>
      <c r="ABL21" s="130">
        <f t="shared" si="78"/>
        <v>0</v>
      </c>
      <c r="ABM21" s="130">
        <f t="shared" si="78"/>
        <v>0</v>
      </c>
      <c r="ABN21" s="130">
        <f t="shared" si="78"/>
        <v>0</v>
      </c>
      <c r="ABO21" s="130">
        <f t="shared" si="78"/>
        <v>0</v>
      </c>
      <c r="ABP21" s="130">
        <f t="shared" si="78"/>
        <v>0</v>
      </c>
      <c r="ABQ21" s="130">
        <f t="shared" si="78"/>
        <v>0</v>
      </c>
      <c r="ABR21" s="130">
        <f t="shared" si="78"/>
        <v>0</v>
      </c>
      <c r="ABS21" s="130">
        <f t="shared" si="78"/>
        <v>0</v>
      </c>
      <c r="ABT21" s="130">
        <f t="shared" si="78"/>
        <v>0</v>
      </c>
      <c r="ABU21" s="130">
        <f t="shared" si="78"/>
        <v>0</v>
      </c>
      <c r="ABV21" s="130">
        <f t="shared" si="78"/>
        <v>0</v>
      </c>
      <c r="ABW21" s="130">
        <f t="shared" si="78"/>
        <v>0</v>
      </c>
      <c r="ABX21" s="130">
        <f t="shared" si="78"/>
        <v>0</v>
      </c>
      <c r="ABY21" s="130">
        <f t="shared" si="78"/>
        <v>0</v>
      </c>
      <c r="ABZ21" s="130">
        <f t="shared" si="78"/>
        <v>0</v>
      </c>
      <c r="ACA21" s="130">
        <f t="shared" si="78"/>
        <v>0</v>
      </c>
      <c r="ACB21" s="130">
        <f t="shared" si="78"/>
        <v>0</v>
      </c>
      <c r="ACC21" s="130">
        <f t="shared" si="78"/>
        <v>0</v>
      </c>
      <c r="ACD21" s="130">
        <f t="shared" si="78"/>
        <v>0</v>
      </c>
      <c r="ACE21" s="130">
        <f t="shared" si="78"/>
        <v>0</v>
      </c>
      <c r="ACF21" s="130">
        <f t="shared" si="78"/>
        <v>0</v>
      </c>
      <c r="ACG21" s="130">
        <f t="shared" si="78"/>
        <v>0</v>
      </c>
      <c r="ACH21" s="130">
        <f t="shared" si="78"/>
        <v>0</v>
      </c>
      <c r="ACI21" s="130">
        <f t="shared" si="78"/>
        <v>0</v>
      </c>
      <c r="ACJ21" s="130">
        <f t="shared" si="78"/>
        <v>0</v>
      </c>
      <c r="ACK21" s="130">
        <f t="shared" si="78"/>
        <v>0</v>
      </c>
      <c r="ACL21" s="130">
        <f t="shared" si="78"/>
        <v>0</v>
      </c>
      <c r="ACM21" s="130">
        <f t="shared" si="78"/>
        <v>0</v>
      </c>
      <c r="ACN21" s="130">
        <f t="shared" si="78"/>
        <v>0</v>
      </c>
      <c r="ACO21" s="130">
        <f t="shared" si="78"/>
        <v>0</v>
      </c>
      <c r="ACP21" s="130">
        <f t="shared" si="78"/>
        <v>0</v>
      </c>
      <c r="ACQ21" s="130">
        <f t="shared" si="78"/>
        <v>0</v>
      </c>
      <c r="ACR21" s="130">
        <f t="shared" si="78"/>
        <v>0</v>
      </c>
      <c r="ACS21" s="130">
        <f t="shared" si="78"/>
        <v>0</v>
      </c>
      <c r="ACT21" s="130">
        <f t="shared" si="78"/>
        <v>0</v>
      </c>
      <c r="ACU21" s="130">
        <f t="shared" si="78"/>
        <v>0</v>
      </c>
      <c r="ACV21" s="130">
        <f t="shared" si="78"/>
        <v>0</v>
      </c>
      <c r="ACW21" s="130">
        <f t="shared" si="78"/>
        <v>0</v>
      </c>
      <c r="ACX21" s="130">
        <f t="shared" si="78"/>
        <v>0</v>
      </c>
      <c r="ACY21" s="130">
        <f t="shared" si="78"/>
        <v>0</v>
      </c>
      <c r="ACZ21" s="130">
        <f t="shared" si="78"/>
        <v>0</v>
      </c>
      <c r="ADA21" s="130">
        <f t="shared" si="78"/>
        <v>0</v>
      </c>
      <c r="ADB21" s="130">
        <f t="shared" si="78"/>
        <v>0</v>
      </c>
      <c r="ADC21" s="130">
        <f t="shared" ref="ADC21:AEW21" si="79">ROUND(ADC59,0)</f>
        <v>0</v>
      </c>
      <c r="ADD21" s="130">
        <f t="shared" si="79"/>
        <v>0</v>
      </c>
      <c r="ADE21" s="130">
        <f t="shared" si="79"/>
        <v>0</v>
      </c>
      <c r="ADF21" s="130">
        <f t="shared" si="79"/>
        <v>0</v>
      </c>
      <c r="ADG21" s="130">
        <f t="shared" si="79"/>
        <v>0</v>
      </c>
      <c r="ADH21" s="130">
        <f t="shared" si="79"/>
        <v>0</v>
      </c>
      <c r="ADI21" s="130">
        <f t="shared" si="79"/>
        <v>0</v>
      </c>
      <c r="ADJ21" s="130">
        <f t="shared" si="79"/>
        <v>0</v>
      </c>
      <c r="ADK21" s="130">
        <f t="shared" si="79"/>
        <v>0</v>
      </c>
      <c r="ADL21" s="130">
        <f t="shared" si="79"/>
        <v>0</v>
      </c>
      <c r="ADM21" s="130">
        <f t="shared" si="79"/>
        <v>0</v>
      </c>
      <c r="ADN21" s="130">
        <f t="shared" si="79"/>
        <v>0</v>
      </c>
      <c r="ADO21" s="130">
        <f t="shared" si="79"/>
        <v>0</v>
      </c>
      <c r="ADP21" s="130">
        <f t="shared" si="79"/>
        <v>0</v>
      </c>
      <c r="ADQ21" s="130">
        <f t="shared" si="79"/>
        <v>0</v>
      </c>
      <c r="ADR21" s="130">
        <f t="shared" si="79"/>
        <v>0</v>
      </c>
      <c r="ADS21" s="130">
        <f t="shared" si="79"/>
        <v>0</v>
      </c>
      <c r="ADT21" s="130">
        <f t="shared" si="79"/>
        <v>0</v>
      </c>
      <c r="ADU21" s="130">
        <f t="shared" si="79"/>
        <v>0</v>
      </c>
      <c r="ADV21" s="130">
        <f t="shared" si="79"/>
        <v>0</v>
      </c>
      <c r="ADW21" s="130">
        <f t="shared" si="79"/>
        <v>0</v>
      </c>
      <c r="ADX21" s="130">
        <f t="shared" si="79"/>
        <v>0</v>
      </c>
      <c r="ADY21" s="130">
        <f t="shared" si="79"/>
        <v>0</v>
      </c>
      <c r="ADZ21" s="130">
        <f t="shared" si="79"/>
        <v>0</v>
      </c>
      <c r="AEA21" s="130">
        <f t="shared" si="79"/>
        <v>0</v>
      </c>
      <c r="AEB21" s="130">
        <f t="shared" si="79"/>
        <v>0</v>
      </c>
      <c r="AEC21" s="130">
        <f t="shared" si="79"/>
        <v>0</v>
      </c>
      <c r="AED21" s="130">
        <f t="shared" si="79"/>
        <v>0</v>
      </c>
      <c r="AEE21" s="130">
        <f t="shared" si="79"/>
        <v>0</v>
      </c>
      <c r="AEF21" s="130">
        <f t="shared" si="79"/>
        <v>0</v>
      </c>
      <c r="AEG21" s="130">
        <f t="shared" si="79"/>
        <v>0</v>
      </c>
      <c r="AEH21" s="130">
        <f t="shared" si="79"/>
        <v>0</v>
      </c>
      <c r="AEI21" s="130">
        <f t="shared" si="79"/>
        <v>0</v>
      </c>
      <c r="AEJ21" s="130">
        <f t="shared" si="79"/>
        <v>0</v>
      </c>
      <c r="AEK21" s="130">
        <f t="shared" si="79"/>
        <v>0</v>
      </c>
      <c r="AEL21" s="130">
        <f t="shared" si="79"/>
        <v>0</v>
      </c>
      <c r="AEM21" s="130">
        <f t="shared" si="79"/>
        <v>0</v>
      </c>
      <c r="AEN21" s="130">
        <f t="shared" si="79"/>
        <v>0</v>
      </c>
      <c r="AEO21" s="130">
        <f t="shared" si="79"/>
        <v>0</v>
      </c>
      <c r="AEP21" s="130">
        <f t="shared" si="79"/>
        <v>0</v>
      </c>
      <c r="AEQ21" s="130">
        <f t="shared" si="79"/>
        <v>0</v>
      </c>
      <c r="AER21" s="130">
        <f t="shared" si="79"/>
        <v>0</v>
      </c>
      <c r="AES21" s="130">
        <f t="shared" si="79"/>
        <v>0</v>
      </c>
      <c r="AET21" s="130">
        <f t="shared" si="79"/>
        <v>0</v>
      </c>
      <c r="AEU21" s="130">
        <f t="shared" si="79"/>
        <v>0</v>
      </c>
      <c r="AEV21" s="130">
        <f t="shared" si="79"/>
        <v>0</v>
      </c>
      <c r="AEW21" s="130">
        <f t="shared" si="79"/>
        <v>0</v>
      </c>
      <c r="AEX21" s="144" t="s">
        <v>221</v>
      </c>
    </row>
    <row r="22" spans="1:830" ht="22.5" customHeight="1" x14ac:dyDescent="0.25">
      <c r="A22" s="36"/>
      <c r="B22" s="128" t="s">
        <v>206</v>
      </c>
      <c r="C22" s="160">
        <f>REKAP!$J$6</f>
        <v>0</v>
      </c>
      <c r="D22" s="124">
        <f>REKAP!$J$4</f>
        <v>0</v>
      </c>
      <c r="E22" s="159">
        <f>REKAP!$J$5</f>
        <v>0</v>
      </c>
      <c r="F22" s="36"/>
      <c r="G22" s="138" t="s">
        <v>219</v>
      </c>
      <c r="H22" s="4" t="s">
        <v>220</v>
      </c>
      <c r="I22" s="143"/>
      <c r="J22" s="141">
        <f t="shared" si="0"/>
        <v>0</v>
      </c>
      <c r="K22" s="7"/>
      <c r="L22" s="7"/>
      <c r="M22" s="7"/>
      <c r="N22" s="130"/>
      <c r="O22" s="130"/>
      <c r="P22" s="130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0"/>
      <c r="BV22" s="130"/>
      <c r="BW22" s="130"/>
      <c r="BX22" s="130"/>
      <c r="BY22" s="130"/>
      <c r="BZ22" s="130"/>
      <c r="CA22" s="130"/>
      <c r="CB22" s="130"/>
      <c r="CC22" s="130"/>
      <c r="CD22" s="130"/>
      <c r="CE22" s="130"/>
      <c r="CF22" s="130"/>
      <c r="CG22" s="130"/>
      <c r="CH22" s="130"/>
      <c r="CI22" s="130"/>
      <c r="CJ22" s="130"/>
      <c r="CK22" s="130"/>
      <c r="CL22" s="130"/>
      <c r="CM22" s="130"/>
      <c r="CN22" s="130"/>
      <c r="CO22" s="130"/>
      <c r="CP22" s="130"/>
      <c r="CQ22" s="130"/>
      <c r="CR22" s="130"/>
      <c r="CS22" s="130"/>
      <c r="CT22" s="130"/>
      <c r="CU22" s="130"/>
      <c r="CV22" s="130"/>
      <c r="CW22" s="130"/>
      <c r="CX22" s="130"/>
      <c r="CY22" s="130"/>
      <c r="CZ22" s="130"/>
      <c r="DA22" s="130"/>
      <c r="DB22" s="130"/>
      <c r="DC22" s="130"/>
      <c r="DD22" s="130"/>
      <c r="DE22" s="130"/>
      <c r="DF22" s="130"/>
      <c r="DG22" s="130"/>
      <c r="DH22" s="130"/>
      <c r="DI22" s="130"/>
      <c r="DJ22" s="130"/>
      <c r="DK22" s="130"/>
      <c r="DL22" s="130"/>
      <c r="DM22" s="130"/>
      <c r="DN22" s="130"/>
      <c r="DO22" s="130"/>
      <c r="DP22" s="130"/>
      <c r="DQ22" s="130"/>
      <c r="DR22" s="130"/>
      <c r="DS22" s="130"/>
      <c r="DT22" s="130"/>
      <c r="DU22" s="130"/>
      <c r="DV22" s="130"/>
      <c r="DW22" s="130"/>
      <c r="DX22" s="130"/>
      <c r="DY22" s="130"/>
      <c r="DZ22" s="130"/>
      <c r="EA22" s="130"/>
      <c r="EB22" s="130"/>
      <c r="EC22" s="130"/>
      <c r="ED22" s="130"/>
      <c r="EE22" s="130"/>
      <c r="EF22" s="130"/>
      <c r="EG22" s="130"/>
      <c r="EH22" s="130"/>
      <c r="EI22" s="130"/>
      <c r="EJ22" s="130"/>
      <c r="EK22" s="130"/>
      <c r="EL22" s="130"/>
      <c r="EM22" s="130"/>
      <c r="EN22" s="130"/>
      <c r="EO22" s="130"/>
      <c r="EP22" s="130"/>
      <c r="EQ22" s="130"/>
      <c r="ER22" s="130"/>
      <c r="ES22" s="130"/>
      <c r="ET22" s="130"/>
      <c r="EU22" s="130"/>
      <c r="EV22" s="130"/>
      <c r="EW22" s="130"/>
      <c r="EX22" s="130"/>
      <c r="EY22" s="130"/>
      <c r="EZ22" s="130"/>
      <c r="FA22" s="130"/>
      <c r="FB22" s="130"/>
      <c r="FC22" s="130"/>
      <c r="FD22" s="130"/>
      <c r="FE22" s="130"/>
      <c r="FF22" s="130"/>
      <c r="FG22" s="130"/>
      <c r="FH22" s="130"/>
      <c r="FI22" s="130"/>
      <c r="FJ22" s="130"/>
      <c r="FK22" s="130"/>
      <c r="FL22" s="130"/>
      <c r="FM22" s="130"/>
      <c r="FN22" s="130"/>
      <c r="FO22" s="130"/>
      <c r="FP22" s="130"/>
      <c r="FQ22" s="130"/>
      <c r="FR22" s="130"/>
      <c r="FS22" s="130"/>
      <c r="FT22" s="130"/>
      <c r="FU22" s="130"/>
      <c r="FV22" s="130"/>
      <c r="FW22" s="130"/>
      <c r="FX22" s="130"/>
      <c r="FY22" s="130"/>
      <c r="FZ22" s="130"/>
      <c r="GA22" s="130"/>
      <c r="GB22" s="130"/>
      <c r="GC22" s="130"/>
      <c r="GD22" s="130"/>
      <c r="GE22" s="130"/>
      <c r="GF22" s="130"/>
      <c r="GG22" s="130"/>
      <c r="GH22" s="130"/>
      <c r="GI22" s="130"/>
      <c r="GJ22" s="130"/>
      <c r="GK22" s="130"/>
      <c r="GL22" s="130"/>
      <c r="GM22" s="130"/>
      <c r="GN22" s="130"/>
      <c r="GO22" s="130"/>
      <c r="GP22" s="130"/>
      <c r="GQ22" s="130"/>
      <c r="GR22" s="130"/>
      <c r="GS22" s="130"/>
      <c r="GT22" s="130"/>
      <c r="GU22" s="130"/>
      <c r="GV22" s="130"/>
      <c r="GW22" s="130"/>
      <c r="GX22" s="130"/>
      <c r="GY22" s="130"/>
      <c r="GZ22" s="130"/>
      <c r="HA22" s="130"/>
      <c r="HB22" s="130"/>
      <c r="HC22" s="130"/>
      <c r="HD22" s="130"/>
      <c r="HE22" s="130"/>
      <c r="HF22" s="130"/>
      <c r="HG22" s="130"/>
      <c r="HH22" s="130"/>
      <c r="HI22" s="130"/>
      <c r="HJ22" s="130"/>
      <c r="HK22" s="130"/>
      <c r="HL22" s="130"/>
      <c r="HM22" s="130"/>
      <c r="HN22" s="130"/>
      <c r="HO22" s="130"/>
      <c r="HP22" s="130"/>
      <c r="HQ22" s="130"/>
      <c r="HR22" s="130"/>
      <c r="HS22" s="130"/>
      <c r="HT22" s="130"/>
      <c r="HU22" s="130"/>
      <c r="HV22" s="130"/>
      <c r="HW22" s="130"/>
      <c r="HX22" s="130"/>
      <c r="HY22" s="130"/>
      <c r="HZ22" s="130"/>
      <c r="IA22" s="130"/>
      <c r="IB22" s="130"/>
      <c r="IC22" s="130"/>
      <c r="ID22" s="130"/>
      <c r="IE22" s="130"/>
      <c r="IF22" s="130"/>
      <c r="IG22" s="130"/>
      <c r="IH22" s="130"/>
      <c r="II22" s="130"/>
      <c r="IJ22" s="130"/>
      <c r="IK22" s="130"/>
      <c r="IL22" s="130"/>
      <c r="IM22" s="130"/>
      <c r="IN22" s="130"/>
      <c r="IO22" s="130"/>
      <c r="IP22" s="130"/>
      <c r="IQ22" s="130"/>
      <c r="IR22" s="130"/>
      <c r="IS22" s="130"/>
      <c r="IT22" s="130"/>
      <c r="IU22" s="130"/>
      <c r="IV22" s="130"/>
      <c r="IW22" s="130"/>
      <c r="IX22" s="130"/>
      <c r="IY22" s="130"/>
      <c r="IZ22" s="130"/>
      <c r="JA22" s="130"/>
      <c r="JB22" s="130"/>
      <c r="JC22" s="130"/>
      <c r="JD22" s="130"/>
      <c r="JE22" s="130"/>
      <c r="JF22" s="130"/>
      <c r="JG22" s="130"/>
      <c r="JH22" s="130"/>
      <c r="JI22" s="130"/>
      <c r="JJ22" s="130"/>
      <c r="JK22" s="130"/>
      <c r="JL22" s="130"/>
      <c r="JM22" s="130"/>
      <c r="JN22" s="140">
        <f>sd!$I$86</f>
        <v>0</v>
      </c>
      <c r="JO22" s="140">
        <f>sd!$I$87</f>
        <v>0</v>
      </c>
      <c r="JP22" s="140">
        <f>sd!$I$88</f>
        <v>0</v>
      </c>
      <c r="JQ22" s="140">
        <f>sd!$I$89</f>
        <v>0</v>
      </c>
      <c r="JR22" s="140">
        <f>sd!$I$90</f>
        <v>0</v>
      </c>
      <c r="JS22" s="140">
        <f>sd!$I$91</f>
        <v>0</v>
      </c>
      <c r="JT22" s="140">
        <f>SMP!$I$63</f>
        <v>0</v>
      </c>
      <c r="JU22" s="140">
        <f>SMP!$I$64</f>
        <v>0</v>
      </c>
      <c r="JV22" s="140">
        <f>SMP!$I$65</f>
        <v>0</v>
      </c>
      <c r="JW22" s="140">
        <f>SMA!$I$88</f>
        <v>0</v>
      </c>
      <c r="JX22" s="140">
        <f>SMA!$I$89</f>
        <v>0</v>
      </c>
      <c r="JY22" s="140">
        <f>SMA!$I$90</f>
        <v>0</v>
      </c>
      <c r="JZ22" s="130"/>
      <c r="KA22" s="130"/>
      <c r="KB22" s="130"/>
      <c r="KC22" s="130"/>
      <c r="KD22" s="130"/>
      <c r="KE22" s="130"/>
      <c r="KF22" s="130"/>
      <c r="KG22" s="130"/>
      <c r="KH22" s="130"/>
      <c r="KI22" s="130"/>
      <c r="KJ22" s="130"/>
      <c r="KK22" s="130"/>
      <c r="KL22" s="130"/>
      <c r="KM22" s="130"/>
      <c r="KN22" s="130"/>
      <c r="KO22" s="130"/>
      <c r="KP22" s="130"/>
      <c r="KQ22" s="130"/>
      <c r="KR22" s="130"/>
      <c r="KS22" s="130"/>
      <c r="KT22" s="130"/>
      <c r="KU22" s="130"/>
      <c r="KV22" s="130"/>
      <c r="KW22" s="130"/>
      <c r="KX22" s="130"/>
      <c r="KY22" s="130"/>
      <c r="KZ22" s="130"/>
      <c r="LA22" s="130"/>
      <c r="LB22" s="130"/>
      <c r="LC22" s="130"/>
      <c r="LD22" s="130"/>
      <c r="LE22" s="130"/>
      <c r="LF22" s="130"/>
      <c r="LG22" s="130"/>
      <c r="LH22" s="130"/>
      <c r="LI22" s="130"/>
      <c r="LJ22" s="130"/>
      <c r="LK22" s="130"/>
      <c r="LL22" s="130"/>
      <c r="LM22" s="130"/>
      <c r="LN22" s="130"/>
      <c r="LO22" s="130"/>
      <c r="LP22" s="130"/>
      <c r="LQ22" s="130"/>
      <c r="LR22" s="130"/>
      <c r="LS22" s="130"/>
      <c r="LT22" s="130"/>
      <c r="LU22" s="130"/>
      <c r="LV22" s="130"/>
      <c r="LW22" s="130"/>
      <c r="LX22" s="130"/>
      <c r="LY22" s="130"/>
      <c r="LZ22" s="130"/>
      <c r="MA22" s="130"/>
      <c r="MB22" s="130"/>
      <c r="MC22" s="130"/>
      <c r="MD22" s="130"/>
      <c r="ME22" s="130"/>
      <c r="MF22" s="130"/>
      <c r="MG22" s="130"/>
      <c r="MH22" s="130"/>
      <c r="MI22" s="130"/>
      <c r="MJ22" s="130"/>
      <c r="MK22" s="130"/>
      <c r="ML22" s="130"/>
      <c r="MM22" s="130"/>
      <c r="MN22" s="130"/>
      <c r="MO22" s="130"/>
      <c r="MP22" s="130"/>
      <c r="MQ22" s="130"/>
      <c r="MR22" s="130"/>
      <c r="MS22" s="130"/>
      <c r="MT22" s="130"/>
      <c r="MU22" s="130"/>
      <c r="MV22" s="130"/>
      <c r="MW22" s="130"/>
      <c r="MX22" s="130"/>
      <c r="MY22" s="130"/>
      <c r="MZ22" s="130"/>
      <c r="NA22" s="130"/>
      <c r="NB22" s="130"/>
      <c r="NC22" s="130"/>
      <c r="ND22" s="130"/>
      <c r="NE22" s="130"/>
      <c r="NF22" s="130"/>
      <c r="NG22" s="130"/>
      <c r="NH22" s="130"/>
      <c r="NI22" s="130"/>
      <c r="NJ22" s="130"/>
      <c r="NK22" s="130"/>
      <c r="NL22" s="130"/>
      <c r="NM22" s="130"/>
      <c r="NN22" s="130"/>
      <c r="NO22" s="130"/>
      <c r="NP22" s="130"/>
      <c r="NQ22" s="130"/>
      <c r="NR22" s="130"/>
      <c r="NS22" s="130"/>
      <c r="NT22" s="130"/>
      <c r="NU22" s="130"/>
      <c r="NV22" s="130"/>
      <c r="NW22" s="130"/>
      <c r="NX22" s="130"/>
      <c r="NY22" s="130"/>
      <c r="NZ22" s="130"/>
      <c r="OA22" s="130"/>
      <c r="OB22" s="130"/>
      <c r="OC22" s="130"/>
      <c r="OD22" s="130"/>
      <c r="OE22" s="130"/>
      <c r="OF22" s="130"/>
      <c r="OG22" s="130"/>
      <c r="OH22" s="130"/>
      <c r="OI22" s="130"/>
      <c r="OJ22" s="130"/>
      <c r="OK22" s="130"/>
      <c r="OL22" s="130"/>
      <c r="OM22" s="130"/>
      <c r="ON22" s="130"/>
      <c r="OO22" s="130"/>
      <c r="OP22" s="130"/>
      <c r="OQ22" s="130"/>
      <c r="OR22" s="130"/>
      <c r="OS22" s="130"/>
      <c r="OT22" s="130"/>
      <c r="OU22" s="130"/>
      <c r="OV22" s="130"/>
      <c r="OW22" s="130"/>
      <c r="OX22" s="130"/>
      <c r="OY22" s="130"/>
      <c r="OZ22" s="130"/>
      <c r="PA22" s="130"/>
      <c r="PB22" s="130"/>
      <c r="PC22" s="130"/>
      <c r="PD22" s="130"/>
      <c r="PE22" s="130"/>
      <c r="PF22" s="130"/>
      <c r="PG22" s="130"/>
      <c r="PH22" s="130"/>
      <c r="PI22" s="130"/>
      <c r="PJ22" s="130"/>
      <c r="PK22" s="130"/>
      <c r="PL22" s="130"/>
      <c r="PM22" s="130"/>
      <c r="PN22" s="130"/>
      <c r="PO22" s="130"/>
      <c r="PP22" s="130"/>
      <c r="PQ22" s="130"/>
      <c r="PR22" s="130"/>
      <c r="PS22" s="130"/>
      <c r="PT22" s="130"/>
      <c r="PU22" s="130"/>
      <c r="PV22" s="130"/>
      <c r="PW22" s="130"/>
      <c r="PX22" s="130"/>
      <c r="PY22" s="130"/>
      <c r="PZ22" s="130"/>
      <c r="QA22" s="130"/>
      <c r="QB22" s="130"/>
      <c r="QC22" s="130"/>
      <c r="QD22" s="130"/>
      <c r="QE22" s="130"/>
      <c r="QF22" s="130"/>
      <c r="QG22" s="130"/>
      <c r="QH22" s="130"/>
      <c r="QI22" s="130"/>
      <c r="QJ22" s="130"/>
      <c r="QK22" s="130"/>
      <c r="QL22" s="130"/>
      <c r="QM22" s="130"/>
      <c r="QN22" s="130"/>
      <c r="QO22" s="130"/>
      <c r="QP22" s="130"/>
      <c r="QQ22" s="130"/>
      <c r="QR22" s="130"/>
      <c r="QS22" s="130"/>
      <c r="QT22" s="130"/>
      <c r="QU22" s="130"/>
      <c r="QV22" s="130"/>
      <c r="QW22" s="130"/>
      <c r="QX22" s="130"/>
      <c r="QY22" s="130"/>
      <c r="QZ22" s="130"/>
      <c r="RA22" s="130"/>
      <c r="RB22" s="130"/>
      <c r="RC22" s="130"/>
      <c r="RD22" s="130"/>
      <c r="RE22" s="130"/>
      <c r="RF22" s="130"/>
      <c r="RG22" s="130"/>
      <c r="RH22" s="130"/>
      <c r="RI22" s="130"/>
      <c r="RJ22" s="130"/>
      <c r="RK22" s="130"/>
      <c r="RL22" s="130"/>
      <c r="RM22" s="130"/>
      <c r="RN22" s="130"/>
      <c r="RO22" s="130"/>
      <c r="RP22" s="130"/>
      <c r="RQ22" s="130"/>
      <c r="RR22" s="130"/>
      <c r="RS22" s="130"/>
      <c r="RT22" s="130"/>
      <c r="RU22" s="130"/>
      <c r="RV22" s="130"/>
      <c r="RW22" s="130"/>
      <c r="RX22" s="130"/>
      <c r="RY22" s="130"/>
      <c r="RZ22" s="130"/>
      <c r="SA22" s="130"/>
      <c r="SB22" s="130"/>
      <c r="SC22" s="130"/>
      <c r="SD22" s="130"/>
      <c r="SE22" s="130"/>
      <c r="SF22" s="130"/>
      <c r="SG22" s="130"/>
      <c r="SH22" s="130"/>
      <c r="SI22" s="130"/>
      <c r="SJ22" s="130"/>
      <c r="SK22" s="130"/>
      <c r="SL22" s="130"/>
      <c r="SM22" s="130"/>
      <c r="SN22" s="130"/>
      <c r="SO22" s="130"/>
      <c r="SP22" s="130"/>
      <c r="SQ22" s="130"/>
      <c r="SR22" s="130"/>
      <c r="SS22" s="130"/>
      <c r="ST22" s="130"/>
      <c r="SU22" s="130"/>
      <c r="SV22" s="130"/>
      <c r="SW22" s="130"/>
      <c r="SX22" s="130"/>
      <c r="SY22" s="130"/>
      <c r="SZ22" s="130"/>
      <c r="TA22" s="130"/>
      <c r="TB22" s="130"/>
      <c r="TC22" s="130"/>
      <c r="TD22" s="130"/>
      <c r="TE22" s="130"/>
      <c r="TF22" s="130"/>
      <c r="TG22" s="130"/>
      <c r="TH22" s="130"/>
      <c r="TI22" s="130"/>
      <c r="TJ22" s="130"/>
      <c r="TK22" s="130"/>
      <c r="TL22" s="130"/>
      <c r="TM22" s="130"/>
      <c r="TN22" s="130"/>
      <c r="TO22" s="130"/>
      <c r="TP22" s="130"/>
      <c r="TQ22" s="130"/>
      <c r="TR22" s="130"/>
      <c r="TS22" s="130"/>
      <c r="TT22" s="130"/>
      <c r="TU22" s="130"/>
      <c r="TV22" s="130"/>
      <c r="TW22" s="130"/>
      <c r="TX22" s="130"/>
      <c r="TY22" s="130"/>
      <c r="TZ22" s="130"/>
      <c r="UA22" s="130"/>
      <c r="UB22" s="130"/>
      <c r="UC22" s="130"/>
      <c r="UD22" s="130"/>
      <c r="UE22" s="130"/>
      <c r="UF22" s="130"/>
      <c r="UG22" s="130"/>
      <c r="UH22" s="130"/>
      <c r="UI22" s="130"/>
      <c r="UJ22" s="130"/>
      <c r="UK22" s="130"/>
      <c r="UL22" s="130"/>
      <c r="UM22" s="130"/>
      <c r="UN22" s="130"/>
      <c r="UO22" s="130"/>
      <c r="UP22" s="130"/>
      <c r="UQ22" s="130"/>
      <c r="UR22" s="130"/>
      <c r="US22" s="130"/>
      <c r="UT22" s="130"/>
      <c r="UU22" s="130"/>
      <c r="UV22" s="130"/>
      <c r="UW22" s="130"/>
      <c r="UX22" s="130"/>
      <c r="UY22" s="130"/>
      <c r="UZ22" s="130"/>
      <c r="VA22" s="130"/>
      <c r="VB22" s="130"/>
      <c r="VC22" s="130"/>
      <c r="VD22" s="130"/>
      <c r="VE22" s="130"/>
      <c r="VF22" s="130"/>
      <c r="VG22" s="130"/>
      <c r="VH22" s="130"/>
      <c r="VI22" s="130"/>
      <c r="VJ22" s="130"/>
      <c r="VK22" s="130"/>
      <c r="VL22" s="130"/>
      <c r="VM22" s="130"/>
      <c r="VN22" s="130"/>
      <c r="VO22" s="130"/>
      <c r="VP22" s="130"/>
      <c r="VQ22" s="130"/>
      <c r="VR22" s="130"/>
      <c r="VS22" s="130"/>
      <c r="VT22" s="130"/>
      <c r="VU22" s="130"/>
      <c r="VV22" s="130"/>
      <c r="VW22" s="130"/>
      <c r="VX22" s="130"/>
      <c r="VY22" s="130"/>
      <c r="VZ22" s="130"/>
      <c r="WA22" s="130"/>
      <c r="WB22" s="130"/>
      <c r="WC22" s="130"/>
      <c r="WD22" s="130"/>
      <c r="WE22" s="130"/>
      <c r="WF22" s="130"/>
      <c r="WG22" s="130"/>
      <c r="WH22" s="130"/>
      <c r="WI22" s="130"/>
      <c r="WJ22" s="130"/>
      <c r="WK22" s="130"/>
      <c r="WL22" s="130"/>
      <c r="WM22" s="130"/>
      <c r="WN22" s="130"/>
      <c r="WO22" s="130"/>
      <c r="WP22" s="130"/>
      <c r="WQ22" s="130"/>
      <c r="WR22" s="130"/>
      <c r="WS22" s="130"/>
      <c r="WT22" s="130"/>
      <c r="WU22" s="130"/>
      <c r="WV22" s="130"/>
      <c r="WW22" s="130"/>
      <c r="WX22" s="130"/>
      <c r="WY22" s="130"/>
      <c r="WZ22" s="130"/>
      <c r="XA22" s="130"/>
      <c r="XB22" s="130"/>
      <c r="XC22" s="130"/>
      <c r="XD22" s="130"/>
      <c r="XE22" s="130"/>
      <c r="XF22" s="130"/>
      <c r="XG22" s="130"/>
      <c r="XH22" s="130"/>
      <c r="XI22" s="130"/>
      <c r="XJ22" s="130"/>
      <c r="XK22" s="130"/>
      <c r="XL22" s="130"/>
      <c r="XM22" s="130"/>
      <c r="XN22" s="130"/>
      <c r="XO22" s="130"/>
      <c r="XP22" s="130"/>
      <c r="XQ22" s="130"/>
      <c r="XR22" s="130"/>
      <c r="XS22" s="130"/>
      <c r="XT22" s="130"/>
      <c r="XU22" s="130"/>
      <c r="XV22" s="130"/>
      <c r="XW22" s="130"/>
      <c r="XX22" s="130"/>
      <c r="XY22" s="130"/>
      <c r="XZ22" s="130"/>
      <c r="YA22" s="130"/>
      <c r="YB22" s="130"/>
      <c r="YC22" s="130"/>
      <c r="YD22" s="130"/>
      <c r="YE22" s="130"/>
      <c r="YF22" s="130"/>
      <c r="YG22" s="130"/>
      <c r="YH22" s="130"/>
      <c r="YI22" s="130"/>
      <c r="YJ22" s="130"/>
      <c r="YK22" s="130"/>
      <c r="YL22" s="130"/>
      <c r="YM22" s="130"/>
      <c r="YN22" s="130"/>
      <c r="YO22" s="130"/>
      <c r="YP22" s="130"/>
      <c r="YQ22" s="130"/>
      <c r="YR22" s="130"/>
      <c r="YS22" s="130"/>
      <c r="YT22" s="130"/>
      <c r="YU22" s="130"/>
      <c r="YV22" s="130"/>
      <c r="YW22" s="130"/>
      <c r="YX22" s="130"/>
      <c r="YY22" s="130"/>
      <c r="YZ22" s="130"/>
      <c r="ZA22" s="130"/>
      <c r="ZB22" s="130"/>
      <c r="ZC22" s="130"/>
      <c r="ZD22" s="130"/>
      <c r="ZE22" s="130"/>
      <c r="ZF22" s="130"/>
      <c r="ZG22" s="130"/>
      <c r="ZH22" s="130"/>
      <c r="ZI22" s="130"/>
      <c r="ZJ22" s="130"/>
      <c r="ZK22" s="130"/>
      <c r="ZL22" s="130"/>
      <c r="ZM22" s="130"/>
      <c r="ZN22" s="130"/>
      <c r="ZO22" s="130"/>
      <c r="ZP22" s="130"/>
      <c r="ZQ22" s="130"/>
      <c r="ZR22" s="130"/>
      <c r="ZS22" s="130"/>
      <c r="ZT22" s="130"/>
      <c r="ZU22" s="130"/>
      <c r="ZV22" s="130"/>
      <c r="ZW22" s="130"/>
      <c r="ZX22" s="130"/>
      <c r="ZY22" s="130"/>
      <c r="ZZ22" s="130"/>
      <c r="AAA22" s="130"/>
      <c r="AAB22" s="130"/>
      <c r="AAC22" s="130"/>
      <c r="AAD22" s="130"/>
      <c r="AAE22" s="130"/>
      <c r="AAF22" s="130"/>
      <c r="AAG22" s="130"/>
      <c r="AAH22" s="130"/>
      <c r="AAI22" s="130"/>
      <c r="AAJ22" s="130"/>
      <c r="AAK22" s="130"/>
      <c r="AAL22" s="130"/>
      <c r="AAM22" s="130"/>
      <c r="AAN22" s="130"/>
      <c r="AAO22" s="130"/>
      <c r="AAP22" s="130"/>
      <c r="AAQ22" s="130"/>
      <c r="AAR22" s="130"/>
      <c r="AAS22" s="130"/>
      <c r="AAT22" s="130"/>
      <c r="AAU22" s="130"/>
      <c r="AAV22" s="130"/>
      <c r="AAW22" s="130"/>
      <c r="AAX22" s="130"/>
      <c r="AAY22" s="130"/>
      <c r="AAZ22" s="130"/>
      <c r="ABA22" s="130"/>
      <c r="ABB22" s="130"/>
      <c r="ABC22" s="130"/>
      <c r="ABD22" s="130"/>
      <c r="ABE22" s="130"/>
      <c r="ABF22" s="130"/>
      <c r="ABG22" s="130"/>
      <c r="ABH22" s="130"/>
      <c r="ABI22" s="130"/>
      <c r="ABJ22" s="130"/>
      <c r="ABK22" s="130"/>
      <c r="ABL22" s="130"/>
      <c r="ABM22" s="130"/>
      <c r="ABN22" s="130"/>
      <c r="ABO22" s="130"/>
      <c r="ABP22" s="130"/>
      <c r="ABQ22" s="130"/>
      <c r="ABR22" s="130"/>
      <c r="ABS22" s="130"/>
      <c r="ABT22" s="130"/>
      <c r="ABU22" s="130"/>
      <c r="ABV22" s="130"/>
      <c r="ABW22" s="130"/>
      <c r="ABX22" s="130"/>
      <c r="ABY22" s="130"/>
      <c r="ABZ22" s="130"/>
      <c r="ACA22" s="130"/>
      <c r="ACB22" s="130"/>
      <c r="ACC22" s="130"/>
      <c r="ACD22" s="130"/>
      <c r="ACE22" s="130"/>
      <c r="ACF22" s="130"/>
      <c r="ACG22" s="130"/>
      <c r="ACH22" s="130"/>
      <c r="ACI22" s="130"/>
      <c r="ACJ22" s="130"/>
      <c r="ACK22" s="130"/>
      <c r="ACL22" s="130"/>
      <c r="ACM22" s="130"/>
      <c r="ACN22" s="130"/>
      <c r="ACO22" s="130"/>
      <c r="ACP22" s="130"/>
      <c r="ACQ22" s="130"/>
      <c r="ACR22" s="130"/>
      <c r="ACS22" s="130"/>
      <c r="ACT22" s="130"/>
      <c r="ACU22" s="130"/>
      <c r="ACV22" s="130"/>
      <c r="ACW22" s="130"/>
      <c r="ACX22" s="130"/>
      <c r="ACY22" s="130"/>
      <c r="ACZ22" s="130"/>
      <c r="ADA22" s="130"/>
      <c r="ADB22" s="130"/>
      <c r="ADC22" s="130"/>
      <c r="ADD22" s="130"/>
      <c r="ADE22" s="130"/>
      <c r="ADF22" s="130"/>
      <c r="ADG22" s="130"/>
      <c r="ADH22" s="130"/>
      <c r="ADI22" s="130"/>
      <c r="ADJ22" s="130"/>
      <c r="ADK22" s="130"/>
      <c r="ADL22" s="130"/>
      <c r="ADM22" s="130"/>
      <c r="ADN22" s="130"/>
      <c r="ADO22" s="130"/>
      <c r="ADP22" s="130"/>
      <c r="ADQ22" s="130"/>
      <c r="ADR22" s="130"/>
      <c r="ADS22" s="130"/>
      <c r="ADT22" s="130"/>
      <c r="ADU22" s="130"/>
      <c r="ADV22" s="130"/>
      <c r="ADW22" s="130"/>
      <c r="ADX22" s="130"/>
      <c r="ADY22" s="130"/>
      <c r="ADZ22" s="130"/>
      <c r="AEA22" s="130"/>
      <c r="AEB22" s="130"/>
      <c r="AEC22" s="130"/>
      <c r="AED22" s="130"/>
      <c r="AEE22" s="130"/>
      <c r="AEF22" s="130"/>
      <c r="AEG22" s="130"/>
      <c r="AEH22" s="130"/>
      <c r="AEI22" s="130"/>
      <c r="AEJ22" s="130"/>
      <c r="AEK22" s="130"/>
      <c r="AEL22" s="130"/>
      <c r="AEM22" s="130"/>
      <c r="AEN22" s="130"/>
      <c r="AEO22" s="130"/>
      <c r="AEP22" s="130"/>
      <c r="AEQ22" s="130"/>
      <c r="AER22" s="130"/>
      <c r="AES22" s="130"/>
      <c r="AET22" s="130"/>
      <c r="AEU22" s="130"/>
      <c r="AEV22" s="130"/>
      <c r="AEW22" s="130"/>
    </row>
    <row r="23" spans="1:830" ht="22.5" customHeight="1" x14ac:dyDescent="0.25">
      <c r="A23" s="36"/>
      <c r="B23" s="128" t="s">
        <v>436</v>
      </c>
      <c r="C23" s="160">
        <f>REKAP!$J$6</f>
        <v>0</v>
      </c>
      <c r="D23" s="124">
        <f>REKAP!$J$4</f>
        <v>0</v>
      </c>
      <c r="E23" s="159">
        <f>REKAP!$J$5</f>
        <v>0</v>
      </c>
      <c r="F23" s="36"/>
      <c r="G23" s="138" t="s">
        <v>218</v>
      </c>
      <c r="H23" s="4" t="s">
        <v>220</v>
      </c>
      <c r="I23" s="143"/>
      <c r="J23" s="141">
        <f t="shared" si="0"/>
        <v>0</v>
      </c>
      <c r="K23" s="7"/>
      <c r="L23" s="141"/>
      <c r="M23" s="7"/>
      <c r="N23" s="130"/>
      <c r="O23" s="7"/>
      <c r="P23" s="7"/>
      <c r="Q23" s="7"/>
      <c r="R23" s="7"/>
      <c r="S23" s="7"/>
      <c r="T23" s="130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130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130"/>
      <c r="BL23" s="7"/>
      <c r="BM23" s="7"/>
      <c r="BN23" s="7"/>
      <c r="BO23" s="7"/>
      <c r="BP23" s="7"/>
      <c r="BQ23" s="7"/>
      <c r="BR23" s="7"/>
      <c r="BS23" s="7"/>
      <c r="BT23" s="129"/>
      <c r="BU23" s="7"/>
      <c r="BV23" s="7"/>
      <c r="BW23" s="7"/>
      <c r="BX23" s="7"/>
      <c r="BY23" s="7"/>
      <c r="BZ23" s="140"/>
      <c r="CA23" s="7"/>
      <c r="CB23" s="7"/>
      <c r="CC23" s="7"/>
      <c r="CD23" s="7"/>
      <c r="CE23" s="7"/>
      <c r="CF23" s="7"/>
      <c r="CG23" s="7"/>
      <c r="CH23" s="7"/>
      <c r="CI23" s="7"/>
      <c r="CJ23" s="129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130"/>
      <c r="EU23" s="130"/>
      <c r="EV23" s="130"/>
      <c r="EW23" s="130"/>
      <c r="EX23" s="130"/>
      <c r="EY23" s="130"/>
      <c r="EZ23" s="130"/>
      <c r="FA23" s="130"/>
      <c r="FB23" s="130"/>
      <c r="FC23" s="130"/>
      <c r="FD23" s="130"/>
      <c r="FE23" s="130"/>
      <c r="FF23" s="130"/>
      <c r="FG23" s="130"/>
      <c r="FH23" s="130"/>
      <c r="FI23" s="130"/>
      <c r="FJ23" s="130"/>
      <c r="FK23" s="130"/>
      <c r="FL23" s="130"/>
      <c r="FM23" s="130"/>
      <c r="FN23" s="130"/>
      <c r="FO23" s="130"/>
      <c r="FP23" s="130"/>
      <c r="FQ23" s="130"/>
      <c r="FR23" s="130"/>
      <c r="FS23" s="130"/>
      <c r="FT23" s="130"/>
      <c r="FU23" s="130"/>
      <c r="FV23" s="130"/>
      <c r="FW23" s="130"/>
      <c r="FX23" s="130"/>
      <c r="FY23" s="130"/>
      <c r="FZ23" s="130"/>
      <c r="GA23" s="130"/>
      <c r="GB23" s="130"/>
      <c r="GC23" s="130"/>
      <c r="GD23" s="130"/>
      <c r="GE23" s="130"/>
      <c r="GF23" s="130"/>
      <c r="GG23" s="130"/>
      <c r="GH23" s="130"/>
      <c r="GI23" s="130"/>
      <c r="GJ23" s="130"/>
      <c r="GK23" s="130"/>
      <c r="GL23" s="130"/>
      <c r="GM23" s="130"/>
      <c r="GN23" s="130"/>
      <c r="GO23" s="130"/>
      <c r="GP23" s="130"/>
      <c r="GQ23" s="130"/>
      <c r="GR23" s="130"/>
      <c r="GS23" s="130"/>
      <c r="GT23" s="130"/>
      <c r="GU23" s="130"/>
      <c r="GV23" s="130"/>
      <c r="GW23" s="140"/>
      <c r="GX23" s="130"/>
      <c r="GY23" s="130"/>
      <c r="GZ23" s="130"/>
      <c r="HA23" s="130"/>
      <c r="HB23" s="140"/>
      <c r="HC23" s="130"/>
      <c r="HD23" s="130"/>
      <c r="HE23" s="130"/>
      <c r="HF23" s="130"/>
      <c r="HG23" s="130"/>
      <c r="HH23" s="130"/>
      <c r="HI23" s="130"/>
      <c r="HJ23" s="130"/>
      <c r="HK23" s="130"/>
      <c r="HL23" s="130"/>
      <c r="HM23" s="130"/>
      <c r="HN23" s="130"/>
      <c r="HO23" s="130"/>
      <c r="HP23" s="130"/>
      <c r="HQ23" s="130"/>
      <c r="HR23" s="130"/>
      <c r="HS23" s="4"/>
      <c r="HT23" s="140"/>
      <c r="HU23" s="4"/>
      <c r="HV23" s="4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140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140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140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140">
        <f>sd!$F$80</f>
        <v>0</v>
      </c>
      <c r="KA23" s="140">
        <f>sd!$F$81</f>
        <v>0</v>
      </c>
      <c r="KB23" s="140">
        <f>sd!$F$82</f>
        <v>0</v>
      </c>
      <c r="KC23" s="140">
        <f>sd!$F$83</f>
        <v>0</v>
      </c>
      <c r="KD23" s="140">
        <f>sd!$F$84</f>
        <v>0</v>
      </c>
      <c r="KE23" s="140">
        <f>sd!$F$85</f>
        <v>0</v>
      </c>
      <c r="KF23" s="130">
        <f>sd!$F$68</f>
        <v>0</v>
      </c>
      <c r="KG23" s="130">
        <f>sd!$F$69</f>
        <v>0</v>
      </c>
      <c r="KH23" s="130">
        <f>sd!$F$70</f>
        <v>0</v>
      </c>
      <c r="KI23" s="130">
        <f>sd!$F$71</f>
        <v>0</v>
      </c>
      <c r="KJ23" s="130">
        <f>sd!$F$72</f>
        <v>0</v>
      </c>
      <c r="KK23" s="130">
        <f>sd!$F$73</f>
        <v>0</v>
      </c>
      <c r="KL23" s="130">
        <f>sd!$R$12</f>
        <v>0</v>
      </c>
      <c r="KM23" s="130">
        <f>sd!$R$13</f>
        <v>0</v>
      </c>
      <c r="KN23" s="130">
        <f>sd!$R$14</f>
        <v>0</v>
      </c>
      <c r="KO23" s="130">
        <f>sd!$R$15</f>
        <v>0</v>
      </c>
      <c r="KP23" s="130">
        <f>sd!$R$16</f>
        <v>0</v>
      </c>
      <c r="KQ23" s="130">
        <f>sd!$R$17</f>
        <v>0</v>
      </c>
      <c r="KR23" s="140">
        <f>sd!$R6</f>
        <v>0</v>
      </c>
      <c r="KS23" s="140">
        <f>sd!$R7</f>
        <v>0</v>
      </c>
      <c r="KT23" s="140">
        <f>sd!$R8</f>
        <v>0</v>
      </c>
      <c r="KU23" s="140">
        <f>sd!$R9</f>
        <v>0</v>
      </c>
      <c r="KV23" s="140">
        <f>sd!$R10</f>
        <v>0</v>
      </c>
      <c r="KW23" s="140">
        <f>sd!$R11</f>
        <v>0</v>
      </c>
      <c r="KX23" s="130">
        <f>sd!F92</f>
        <v>0</v>
      </c>
      <c r="KY23" s="130">
        <f>sd!F93</f>
        <v>0</v>
      </c>
      <c r="KZ23" s="130">
        <f>SMP!$F$39</f>
        <v>0</v>
      </c>
      <c r="LA23" s="130">
        <f>SMP!$F$40</f>
        <v>0</v>
      </c>
      <c r="LB23" s="130">
        <f>SMP!$F$41</f>
        <v>0</v>
      </c>
      <c r="LC23" s="130">
        <f>SMP!$F$42</f>
        <v>0</v>
      </c>
      <c r="LD23" s="130">
        <f>SMP!$F$43</f>
        <v>0</v>
      </c>
      <c r="LE23" s="140">
        <f>SMP!$F$44</f>
        <v>0</v>
      </c>
      <c r="LF23" s="140">
        <f>SMP!$F$51</f>
        <v>0</v>
      </c>
      <c r="LG23" s="140">
        <f>SMP!$F$52</f>
        <v>0</v>
      </c>
      <c r="LH23" s="140">
        <f>SMP!$F$53</f>
        <v>0</v>
      </c>
      <c r="LI23" s="140">
        <f>SMP!$F$72</f>
        <v>0</v>
      </c>
      <c r="LJ23" s="140">
        <f>SMP!$F$73</f>
        <v>0</v>
      </c>
      <c r="LK23" s="140">
        <f>SMP!$F$74</f>
        <v>0</v>
      </c>
      <c r="LL23" s="140">
        <f>SMP!$F$66</f>
        <v>0</v>
      </c>
      <c r="LM23" s="140">
        <f>SMP!$F$67</f>
        <v>0</v>
      </c>
      <c r="LN23" s="140">
        <f>SMP!$F$68</f>
        <v>0</v>
      </c>
      <c r="LO23" s="130">
        <f>SMP!$F69</f>
        <v>0</v>
      </c>
      <c r="LP23" s="130">
        <f>SMP!$F70</f>
        <v>0</v>
      </c>
      <c r="LQ23" s="130">
        <f>SMP!$F71</f>
        <v>0</v>
      </c>
      <c r="LR23" s="130">
        <f>SMA!$F$12</f>
        <v>0</v>
      </c>
      <c r="LS23" s="130">
        <f>SMA!$F$13</f>
        <v>0</v>
      </c>
      <c r="LT23" s="130">
        <f>SMA!$F$42</f>
        <v>0</v>
      </c>
      <c r="LU23" s="140">
        <f>SMA!$F$43</f>
        <v>0</v>
      </c>
      <c r="LV23" s="140">
        <f>SMA!$F$64</f>
        <v>0</v>
      </c>
      <c r="LW23" s="140">
        <f>SMA!$F$65</f>
        <v>0</v>
      </c>
      <c r="LX23" s="140">
        <f>SMA!$F$66</f>
        <v>0</v>
      </c>
      <c r="LY23" s="140">
        <f>SMA!$F$67</f>
        <v>0</v>
      </c>
      <c r="LZ23" s="140">
        <f>SMA!$F$68</f>
        <v>0</v>
      </c>
      <c r="MA23" s="140">
        <f>SMA!$F$69</f>
        <v>0</v>
      </c>
      <c r="MB23" s="140">
        <f>SMA!$F$76</f>
        <v>0</v>
      </c>
      <c r="MC23" s="140">
        <f>SMA!$F$77</f>
        <v>0</v>
      </c>
      <c r="MD23" s="140">
        <f>SMA!$F$78</f>
        <v>0</v>
      </c>
      <c r="ME23" s="140">
        <f>SMA!$F$97</f>
        <v>0</v>
      </c>
      <c r="MF23" s="140">
        <f>SMA!$F$98</f>
        <v>0</v>
      </c>
      <c r="MG23" s="140">
        <f>SMA!$F$99</f>
        <v>0</v>
      </c>
      <c r="MH23" s="140">
        <f>SMA!$F$91</f>
        <v>0</v>
      </c>
      <c r="MI23" s="140">
        <f>SMA!$F$92</f>
        <v>0</v>
      </c>
      <c r="MJ23" s="140">
        <f>SMA!$F$93</f>
        <v>0</v>
      </c>
      <c r="MK23" s="140">
        <f>SMA!$F$94</f>
        <v>0</v>
      </c>
      <c r="ML23" s="140">
        <f>SMA!$F$95</f>
        <v>0</v>
      </c>
      <c r="MM23" s="140">
        <f>SMA!$F$96</f>
        <v>0</v>
      </c>
      <c r="MN23" s="140">
        <f>SMK!$G11</f>
        <v>0</v>
      </c>
      <c r="MO23" s="140">
        <f>SMK!$G12</f>
        <v>0</v>
      </c>
      <c r="MP23" s="140">
        <f>SMK!$G13</f>
        <v>0</v>
      </c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36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36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36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36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4"/>
      <c r="ZW23" s="7"/>
      <c r="ZX23" s="7"/>
      <c r="ZY23" s="7"/>
      <c r="ZZ23" s="7"/>
      <c r="AAA23" s="7"/>
      <c r="AAB23" s="7"/>
      <c r="AAC23" s="7"/>
      <c r="AAD23" s="7"/>
      <c r="AAE23" s="7"/>
      <c r="AAF23" s="36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4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144" t="s">
        <v>221</v>
      </c>
    </row>
    <row r="24" spans="1:830" ht="22.5" customHeight="1" x14ac:dyDescent="0.25">
      <c r="A24" s="36"/>
      <c r="B24" s="128" t="s">
        <v>437</v>
      </c>
      <c r="C24" s="160">
        <f>REKAP!$J$6</f>
        <v>0</v>
      </c>
      <c r="D24" s="124">
        <f>REKAP!$J$4</f>
        <v>0</v>
      </c>
      <c r="E24" s="159">
        <f>REKAP!$J$5</f>
        <v>0</v>
      </c>
      <c r="F24" s="36"/>
      <c r="G24" s="138" t="s">
        <v>219</v>
      </c>
      <c r="H24" s="4" t="s">
        <v>193</v>
      </c>
      <c r="I24" s="143"/>
      <c r="J24" s="141">
        <f t="shared" si="0"/>
        <v>0</v>
      </c>
      <c r="K24" s="7"/>
      <c r="L24" s="141"/>
      <c r="M24" s="7"/>
      <c r="N24" s="130">
        <f>ROUND(N60,0)</f>
        <v>0</v>
      </c>
      <c r="O24" s="130">
        <f t="shared" ref="O24:BZ24" si="80">ROUND(O60,0)</f>
        <v>0</v>
      </c>
      <c r="P24" s="130">
        <f t="shared" si="80"/>
        <v>0</v>
      </c>
      <c r="Q24" s="130">
        <f t="shared" si="80"/>
        <v>0</v>
      </c>
      <c r="R24" s="130">
        <f t="shared" si="80"/>
        <v>0</v>
      </c>
      <c r="S24" s="130">
        <f t="shared" si="80"/>
        <v>0</v>
      </c>
      <c r="T24" s="130">
        <f t="shared" si="80"/>
        <v>0</v>
      </c>
      <c r="U24" s="130">
        <f t="shared" si="80"/>
        <v>0</v>
      </c>
      <c r="V24" s="130">
        <f t="shared" si="80"/>
        <v>0</v>
      </c>
      <c r="W24" s="130">
        <f t="shared" si="80"/>
        <v>0</v>
      </c>
      <c r="X24" s="130">
        <f t="shared" si="80"/>
        <v>0</v>
      </c>
      <c r="Y24" s="130">
        <f t="shared" si="80"/>
        <v>0</v>
      </c>
      <c r="Z24" s="130">
        <f t="shared" si="80"/>
        <v>0</v>
      </c>
      <c r="AA24" s="130">
        <f t="shared" si="80"/>
        <v>0</v>
      </c>
      <c r="AB24" s="130">
        <f t="shared" si="80"/>
        <v>0</v>
      </c>
      <c r="AC24" s="130">
        <f t="shared" si="80"/>
        <v>0</v>
      </c>
      <c r="AD24" s="130">
        <f t="shared" si="80"/>
        <v>0</v>
      </c>
      <c r="AE24" s="130">
        <f t="shared" si="80"/>
        <v>0</v>
      </c>
      <c r="AF24" s="130">
        <f t="shared" si="80"/>
        <v>0</v>
      </c>
      <c r="AG24" s="130">
        <f t="shared" si="80"/>
        <v>0</v>
      </c>
      <c r="AH24" s="130">
        <f t="shared" si="80"/>
        <v>0</v>
      </c>
      <c r="AI24" s="130">
        <f t="shared" si="80"/>
        <v>0</v>
      </c>
      <c r="AJ24" s="130">
        <f t="shared" si="80"/>
        <v>0</v>
      </c>
      <c r="AK24" s="130">
        <f t="shared" si="80"/>
        <v>0</v>
      </c>
      <c r="AL24" s="130">
        <f t="shared" si="80"/>
        <v>0</v>
      </c>
      <c r="AM24" s="130">
        <f t="shared" si="80"/>
        <v>0</v>
      </c>
      <c r="AN24" s="130">
        <f t="shared" si="80"/>
        <v>0</v>
      </c>
      <c r="AO24" s="130">
        <f t="shared" si="80"/>
        <v>0</v>
      </c>
      <c r="AP24" s="130">
        <f t="shared" si="80"/>
        <v>0</v>
      </c>
      <c r="AQ24" s="130">
        <f t="shared" si="80"/>
        <v>0</v>
      </c>
      <c r="AR24" s="130">
        <f t="shared" si="80"/>
        <v>0</v>
      </c>
      <c r="AS24" s="130">
        <f t="shared" si="80"/>
        <v>0</v>
      </c>
      <c r="AT24" s="130">
        <f t="shared" si="80"/>
        <v>0</v>
      </c>
      <c r="AU24" s="130">
        <f t="shared" si="80"/>
        <v>0</v>
      </c>
      <c r="AV24" s="130">
        <f t="shared" si="80"/>
        <v>0</v>
      </c>
      <c r="AW24" s="130">
        <f t="shared" si="80"/>
        <v>0</v>
      </c>
      <c r="AX24" s="130">
        <f t="shared" si="80"/>
        <v>0</v>
      </c>
      <c r="AY24" s="130">
        <f t="shared" si="80"/>
        <v>0</v>
      </c>
      <c r="AZ24" s="130">
        <f t="shared" si="80"/>
        <v>0</v>
      </c>
      <c r="BA24" s="130">
        <f t="shared" si="80"/>
        <v>0</v>
      </c>
      <c r="BB24" s="130">
        <f t="shared" si="80"/>
        <v>0</v>
      </c>
      <c r="BC24" s="130">
        <f t="shared" si="80"/>
        <v>0</v>
      </c>
      <c r="BD24" s="130">
        <f t="shared" si="80"/>
        <v>0</v>
      </c>
      <c r="BE24" s="130">
        <f t="shared" si="80"/>
        <v>0</v>
      </c>
      <c r="BF24" s="130">
        <f t="shared" si="80"/>
        <v>0</v>
      </c>
      <c r="BG24" s="130">
        <f t="shared" si="80"/>
        <v>0</v>
      </c>
      <c r="BH24" s="130">
        <f t="shared" si="80"/>
        <v>0</v>
      </c>
      <c r="BI24" s="130">
        <f t="shared" si="80"/>
        <v>0</v>
      </c>
      <c r="BJ24" s="130">
        <f t="shared" si="80"/>
        <v>0</v>
      </c>
      <c r="BK24" s="130">
        <f t="shared" si="80"/>
        <v>0</v>
      </c>
      <c r="BL24" s="130">
        <f t="shared" si="80"/>
        <v>0</v>
      </c>
      <c r="BM24" s="130">
        <f t="shared" si="80"/>
        <v>0</v>
      </c>
      <c r="BN24" s="130">
        <f t="shared" si="80"/>
        <v>0</v>
      </c>
      <c r="BO24" s="130">
        <f t="shared" si="80"/>
        <v>0</v>
      </c>
      <c r="BP24" s="130">
        <f t="shared" si="80"/>
        <v>0</v>
      </c>
      <c r="BQ24" s="130">
        <f t="shared" si="80"/>
        <v>0</v>
      </c>
      <c r="BR24" s="130">
        <f t="shared" si="80"/>
        <v>0</v>
      </c>
      <c r="BS24" s="130">
        <f t="shared" si="80"/>
        <v>0</v>
      </c>
      <c r="BT24" s="130">
        <f t="shared" si="80"/>
        <v>0</v>
      </c>
      <c r="BU24" s="130">
        <f t="shared" si="80"/>
        <v>0</v>
      </c>
      <c r="BV24" s="130">
        <f t="shared" si="80"/>
        <v>0</v>
      </c>
      <c r="BW24" s="130">
        <f t="shared" si="80"/>
        <v>0</v>
      </c>
      <c r="BX24" s="130">
        <f t="shared" si="80"/>
        <v>0</v>
      </c>
      <c r="BY24" s="130">
        <f t="shared" si="80"/>
        <v>0</v>
      </c>
      <c r="BZ24" s="130">
        <f t="shared" si="80"/>
        <v>0</v>
      </c>
      <c r="CA24" s="130">
        <f t="shared" ref="CA24:EL24" si="81">ROUND(CA60,0)</f>
        <v>0</v>
      </c>
      <c r="CB24" s="130">
        <f t="shared" si="81"/>
        <v>0</v>
      </c>
      <c r="CC24" s="130">
        <f t="shared" si="81"/>
        <v>0</v>
      </c>
      <c r="CD24" s="130">
        <f t="shared" si="81"/>
        <v>0</v>
      </c>
      <c r="CE24" s="130">
        <f t="shared" si="81"/>
        <v>0</v>
      </c>
      <c r="CF24" s="130">
        <f t="shared" si="81"/>
        <v>0</v>
      </c>
      <c r="CG24" s="130">
        <f t="shared" si="81"/>
        <v>0</v>
      </c>
      <c r="CH24" s="130">
        <f t="shared" si="81"/>
        <v>0</v>
      </c>
      <c r="CI24" s="130">
        <f t="shared" si="81"/>
        <v>0</v>
      </c>
      <c r="CJ24" s="130">
        <f t="shared" si="81"/>
        <v>0</v>
      </c>
      <c r="CK24" s="130">
        <f t="shared" si="81"/>
        <v>0</v>
      </c>
      <c r="CL24" s="130">
        <f t="shared" si="81"/>
        <v>0</v>
      </c>
      <c r="CM24" s="130">
        <f t="shared" si="81"/>
        <v>0</v>
      </c>
      <c r="CN24" s="130">
        <f t="shared" si="81"/>
        <v>0</v>
      </c>
      <c r="CO24" s="130">
        <f t="shared" si="81"/>
        <v>0</v>
      </c>
      <c r="CP24" s="130">
        <f t="shared" si="81"/>
        <v>0</v>
      </c>
      <c r="CQ24" s="130">
        <f t="shared" si="81"/>
        <v>0</v>
      </c>
      <c r="CR24" s="130">
        <f t="shared" si="81"/>
        <v>0</v>
      </c>
      <c r="CS24" s="130">
        <f t="shared" si="81"/>
        <v>0</v>
      </c>
      <c r="CT24" s="130">
        <f t="shared" si="81"/>
        <v>0</v>
      </c>
      <c r="CU24" s="130">
        <f t="shared" si="81"/>
        <v>0</v>
      </c>
      <c r="CV24" s="130">
        <f t="shared" si="81"/>
        <v>0</v>
      </c>
      <c r="CW24" s="130">
        <f t="shared" si="81"/>
        <v>0</v>
      </c>
      <c r="CX24" s="130">
        <f t="shared" si="81"/>
        <v>0</v>
      </c>
      <c r="CY24" s="130">
        <f t="shared" si="81"/>
        <v>0</v>
      </c>
      <c r="CZ24" s="130">
        <f t="shared" si="81"/>
        <v>0</v>
      </c>
      <c r="DA24" s="130">
        <f t="shared" si="81"/>
        <v>0</v>
      </c>
      <c r="DB24" s="130">
        <f t="shared" si="81"/>
        <v>0</v>
      </c>
      <c r="DC24" s="130">
        <f t="shared" si="81"/>
        <v>0</v>
      </c>
      <c r="DD24" s="130">
        <f t="shared" si="81"/>
        <v>0</v>
      </c>
      <c r="DE24" s="130">
        <f t="shared" si="81"/>
        <v>0</v>
      </c>
      <c r="DF24" s="130">
        <f t="shared" si="81"/>
        <v>0</v>
      </c>
      <c r="DG24" s="130">
        <f t="shared" si="81"/>
        <v>0</v>
      </c>
      <c r="DH24" s="130">
        <f t="shared" si="81"/>
        <v>0</v>
      </c>
      <c r="DI24" s="130">
        <f t="shared" si="81"/>
        <v>0</v>
      </c>
      <c r="DJ24" s="130">
        <f t="shared" si="81"/>
        <v>0</v>
      </c>
      <c r="DK24" s="130">
        <f t="shared" si="81"/>
        <v>0</v>
      </c>
      <c r="DL24" s="130">
        <f t="shared" si="81"/>
        <v>0</v>
      </c>
      <c r="DM24" s="130">
        <f t="shared" si="81"/>
        <v>0</v>
      </c>
      <c r="DN24" s="130">
        <f t="shared" si="81"/>
        <v>0</v>
      </c>
      <c r="DO24" s="130">
        <f t="shared" si="81"/>
        <v>0</v>
      </c>
      <c r="DP24" s="130">
        <f t="shared" si="81"/>
        <v>0</v>
      </c>
      <c r="DQ24" s="130">
        <f t="shared" si="81"/>
        <v>0</v>
      </c>
      <c r="DR24" s="130">
        <f t="shared" si="81"/>
        <v>0</v>
      </c>
      <c r="DS24" s="130">
        <f t="shared" si="81"/>
        <v>0</v>
      </c>
      <c r="DT24" s="130">
        <f t="shared" si="81"/>
        <v>0</v>
      </c>
      <c r="DU24" s="130">
        <f t="shared" si="81"/>
        <v>0</v>
      </c>
      <c r="DV24" s="130">
        <f t="shared" si="81"/>
        <v>0</v>
      </c>
      <c r="DW24" s="130">
        <f t="shared" si="81"/>
        <v>0</v>
      </c>
      <c r="DX24" s="130">
        <f t="shared" si="81"/>
        <v>0</v>
      </c>
      <c r="DY24" s="130">
        <f t="shared" si="81"/>
        <v>0</v>
      </c>
      <c r="DZ24" s="130">
        <f t="shared" si="81"/>
        <v>0</v>
      </c>
      <c r="EA24" s="130">
        <f t="shared" si="81"/>
        <v>0</v>
      </c>
      <c r="EB24" s="130">
        <f t="shared" si="81"/>
        <v>0</v>
      </c>
      <c r="EC24" s="130">
        <f t="shared" si="81"/>
        <v>0</v>
      </c>
      <c r="ED24" s="130">
        <f t="shared" si="81"/>
        <v>0</v>
      </c>
      <c r="EE24" s="130">
        <f t="shared" si="81"/>
        <v>0</v>
      </c>
      <c r="EF24" s="130">
        <f t="shared" si="81"/>
        <v>0</v>
      </c>
      <c r="EG24" s="130">
        <f t="shared" si="81"/>
        <v>0</v>
      </c>
      <c r="EH24" s="130">
        <f t="shared" si="81"/>
        <v>0</v>
      </c>
      <c r="EI24" s="130">
        <f t="shared" si="81"/>
        <v>0</v>
      </c>
      <c r="EJ24" s="130">
        <f t="shared" si="81"/>
        <v>0</v>
      </c>
      <c r="EK24" s="130">
        <f t="shared" si="81"/>
        <v>0</v>
      </c>
      <c r="EL24" s="130">
        <f t="shared" si="81"/>
        <v>0</v>
      </c>
      <c r="EM24" s="130">
        <f t="shared" ref="EM24:GX24" si="82">ROUND(EM60,0)</f>
        <v>0</v>
      </c>
      <c r="EN24" s="130">
        <f t="shared" si="82"/>
        <v>0</v>
      </c>
      <c r="EO24" s="130">
        <f t="shared" si="82"/>
        <v>0</v>
      </c>
      <c r="EP24" s="130">
        <f t="shared" si="82"/>
        <v>0</v>
      </c>
      <c r="EQ24" s="130">
        <f t="shared" si="82"/>
        <v>0</v>
      </c>
      <c r="ER24" s="130">
        <f t="shared" si="82"/>
        <v>0</v>
      </c>
      <c r="ES24" s="130">
        <f t="shared" si="82"/>
        <v>0</v>
      </c>
      <c r="ET24" s="130">
        <f t="shared" si="82"/>
        <v>0</v>
      </c>
      <c r="EU24" s="130">
        <f t="shared" si="82"/>
        <v>0</v>
      </c>
      <c r="EV24" s="130">
        <f t="shared" si="82"/>
        <v>0</v>
      </c>
      <c r="EW24" s="130">
        <f t="shared" si="82"/>
        <v>0</v>
      </c>
      <c r="EX24" s="130">
        <f t="shared" si="82"/>
        <v>0</v>
      </c>
      <c r="EY24" s="130">
        <f t="shared" si="82"/>
        <v>0</v>
      </c>
      <c r="EZ24" s="130">
        <f t="shared" si="82"/>
        <v>0</v>
      </c>
      <c r="FA24" s="130">
        <f t="shared" si="82"/>
        <v>0</v>
      </c>
      <c r="FB24" s="130">
        <f t="shared" si="82"/>
        <v>0</v>
      </c>
      <c r="FC24" s="130">
        <f t="shared" si="82"/>
        <v>0</v>
      </c>
      <c r="FD24" s="130">
        <f t="shared" si="82"/>
        <v>0</v>
      </c>
      <c r="FE24" s="130">
        <f t="shared" si="82"/>
        <v>0</v>
      </c>
      <c r="FF24" s="130">
        <f t="shared" si="82"/>
        <v>0</v>
      </c>
      <c r="FG24" s="130">
        <f t="shared" si="82"/>
        <v>0</v>
      </c>
      <c r="FH24" s="130">
        <f t="shared" si="82"/>
        <v>0</v>
      </c>
      <c r="FI24" s="130">
        <f t="shared" si="82"/>
        <v>0</v>
      </c>
      <c r="FJ24" s="130">
        <f t="shared" si="82"/>
        <v>0</v>
      </c>
      <c r="FK24" s="130">
        <f t="shared" si="82"/>
        <v>0</v>
      </c>
      <c r="FL24" s="130">
        <f t="shared" si="82"/>
        <v>0</v>
      </c>
      <c r="FM24" s="130">
        <f t="shared" si="82"/>
        <v>0</v>
      </c>
      <c r="FN24" s="130">
        <f t="shared" si="82"/>
        <v>0</v>
      </c>
      <c r="FO24" s="130">
        <f t="shared" si="82"/>
        <v>0</v>
      </c>
      <c r="FP24" s="130">
        <f t="shared" si="82"/>
        <v>0</v>
      </c>
      <c r="FQ24" s="130">
        <f t="shared" si="82"/>
        <v>0</v>
      </c>
      <c r="FR24" s="130">
        <f t="shared" si="82"/>
        <v>0</v>
      </c>
      <c r="FS24" s="130">
        <f t="shared" si="82"/>
        <v>0</v>
      </c>
      <c r="FT24" s="130">
        <f t="shared" si="82"/>
        <v>0</v>
      </c>
      <c r="FU24" s="130">
        <f t="shared" si="82"/>
        <v>0</v>
      </c>
      <c r="FV24" s="130">
        <f t="shared" si="82"/>
        <v>0</v>
      </c>
      <c r="FW24" s="130">
        <f t="shared" si="82"/>
        <v>0</v>
      </c>
      <c r="FX24" s="130">
        <f t="shared" si="82"/>
        <v>0</v>
      </c>
      <c r="FY24" s="130">
        <f t="shared" si="82"/>
        <v>0</v>
      </c>
      <c r="FZ24" s="130">
        <f t="shared" si="82"/>
        <v>0</v>
      </c>
      <c r="GA24" s="130">
        <f t="shared" si="82"/>
        <v>0</v>
      </c>
      <c r="GB24" s="130">
        <f t="shared" si="82"/>
        <v>0</v>
      </c>
      <c r="GC24" s="130">
        <f t="shared" si="82"/>
        <v>0</v>
      </c>
      <c r="GD24" s="130">
        <f t="shared" si="82"/>
        <v>0</v>
      </c>
      <c r="GE24" s="130">
        <f t="shared" si="82"/>
        <v>0</v>
      </c>
      <c r="GF24" s="130">
        <f t="shared" si="82"/>
        <v>0</v>
      </c>
      <c r="GG24" s="130">
        <f t="shared" si="82"/>
        <v>0</v>
      </c>
      <c r="GH24" s="130">
        <f t="shared" si="82"/>
        <v>0</v>
      </c>
      <c r="GI24" s="130">
        <f t="shared" si="82"/>
        <v>0</v>
      </c>
      <c r="GJ24" s="130">
        <f t="shared" si="82"/>
        <v>0</v>
      </c>
      <c r="GK24" s="130">
        <f t="shared" si="82"/>
        <v>0</v>
      </c>
      <c r="GL24" s="130">
        <f t="shared" si="82"/>
        <v>0</v>
      </c>
      <c r="GM24" s="130">
        <f t="shared" si="82"/>
        <v>0</v>
      </c>
      <c r="GN24" s="130">
        <f t="shared" si="82"/>
        <v>0</v>
      </c>
      <c r="GO24" s="130">
        <f t="shared" si="82"/>
        <v>0</v>
      </c>
      <c r="GP24" s="130">
        <f t="shared" si="82"/>
        <v>0</v>
      </c>
      <c r="GQ24" s="130">
        <f t="shared" si="82"/>
        <v>0</v>
      </c>
      <c r="GR24" s="130">
        <f t="shared" si="82"/>
        <v>0</v>
      </c>
      <c r="GS24" s="130">
        <f t="shared" si="82"/>
        <v>0</v>
      </c>
      <c r="GT24" s="130">
        <f t="shared" si="82"/>
        <v>0</v>
      </c>
      <c r="GU24" s="130">
        <f t="shared" si="82"/>
        <v>0</v>
      </c>
      <c r="GV24" s="130">
        <f t="shared" si="82"/>
        <v>0</v>
      </c>
      <c r="GW24" s="130">
        <f t="shared" si="82"/>
        <v>0</v>
      </c>
      <c r="GX24" s="130">
        <f t="shared" si="82"/>
        <v>0</v>
      </c>
      <c r="GY24" s="130">
        <f t="shared" ref="GY24:JJ24" si="83">ROUND(GY60,0)</f>
        <v>0</v>
      </c>
      <c r="GZ24" s="130">
        <f t="shared" si="83"/>
        <v>0</v>
      </c>
      <c r="HA24" s="130">
        <f t="shared" si="83"/>
        <v>0</v>
      </c>
      <c r="HB24" s="130">
        <f t="shared" si="83"/>
        <v>0</v>
      </c>
      <c r="HC24" s="130">
        <f t="shared" si="83"/>
        <v>0</v>
      </c>
      <c r="HD24" s="130">
        <f t="shared" si="83"/>
        <v>0</v>
      </c>
      <c r="HE24" s="130">
        <f t="shared" si="83"/>
        <v>0</v>
      </c>
      <c r="HF24" s="130">
        <f t="shared" si="83"/>
        <v>0</v>
      </c>
      <c r="HG24" s="130">
        <f t="shared" si="83"/>
        <v>0</v>
      </c>
      <c r="HH24" s="130">
        <f t="shared" si="83"/>
        <v>0</v>
      </c>
      <c r="HI24" s="130">
        <f t="shared" si="83"/>
        <v>0</v>
      </c>
      <c r="HJ24" s="130">
        <f t="shared" si="83"/>
        <v>0</v>
      </c>
      <c r="HK24" s="130">
        <f t="shared" si="83"/>
        <v>0</v>
      </c>
      <c r="HL24" s="130">
        <f t="shared" si="83"/>
        <v>0</v>
      </c>
      <c r="HM24" s="130">
        <f t="shared" si="83"/>
        <v>0</v>
      </c>
      <c r="HN24" s="130">
        <f t="shared" si="83"/>
        <v>0</v>
      </c>
      <c r="HO24" s="130">
        <f t="shared" si="83"/>
        <v>0</v>
      </c>
      <c r="HP24" s="130">
        <f t="shared" si="83"/>
        <v>0</v>
      </c>
      <c r="HQ24" s="130">
        <f t="shared" si="83"/>
        <v>0</v>
      </c>
      <c r="HR24" s="130">
        <f t="shared" si="83"/>
        <v>0</v>
      </c>
      <c r="HS24" s="130">
        <f t="shared" si="83"/>
        <v>0</v>
      </c>
      <c r="HT24" s="130">
        <f t="shared" si="83"/>
        <v>0</v>
      </c>
      <c r="HU24" s="130">
        <f t="shared" si="83"/>
        <v>0</v>
      </c>
      <c r="HV24" s="130">
        <f t="shared" si="83"/>
        <v>0</v>
      </c>
      <c r="HW24" s="130">
        <f t="shared" si="83"/>
        <v>0</v>
      </c>
      <c r="HX24" s="130">
        <f t="shared" si="83"/>
        <v>0</v>
      </c>
      <c r="HY24" s="130">
        <f t="shared" si="83"/>
        <v>0</v>
      </c>
      <c r="HZ24" s="130">
        <f t="shared" si="83"/>
        <v>0</v>
      </c>
      <c r="IA24" s="130">
        <f t="shared" si="83"/>
        <v>0</v>
      </c>
      <c r="IB24" s="130">
        <f t="shared" si="83"/>
        <v>0</v>
      </c>
      <c r="IC24" s="130">
        <f t="shared" si="83"/>
        <v>0</v>
      </c>
      <c r="ID24" s="130">
        <f t="shared" si="83"/>
        <v>0</v>
      </c>
      <c r="IE24" s="130">
        <f t="shared" si="83"/>
        <v>0</v>
      </c>
      <c r="IF24" s="130">
        <f t="shared" si="83"/>
        <v>0</v>
      </c>
      <c r="IG24" s="130">
        <f t="shared" si="83"/>
        <v>0</v>
      </c>
      <c r="IH24" s="130">
        <f t="shared" si="83"/>
        <v>0</v>
      </c>
      <c r="II24" s="130">
        <f t="shared" si="83"/>
        <v>0</v>
      </c>
      <c r="IJ24" s="130">
        <f t="shared" si="83"/>
        <v>0</v>
      </c>
      <c r="IK24" s="130">
        <f t="shared" si="83"/>
        <v>0</v>
      </c>
      <c r="IL24" s="130">
        <f t="shared" si="83"/>
        <v>0</v>
      </c>
      <c r="IM24" s="130">
        <f t="shared" si="83"/>
        <v>0</v>
      </c>
      <c r="IN24" s="130">
        <f t="shared" si="83"/>
        <v>0</v>
      </c>
      <c r="IO24" s="130">
        <f t="shared" si="83"/>
        <v>0</v>
      </c>
      <c r="IP24" s="130">
        <f t="shared" si="83"/>
        <v>0</v>
      </c>
      <c r="IQ24" s="130">
        <f t="shared" si="83"/>
        <v>0</v>
      </c>
      <c r="IR24" s="130">
        <f t="shared" si="83"/>
        <v>0</v>
      </c>
      <c r="IS24" s="130">
        <f t="shared" si="83"/>
        <v>0</v>
      </c>
      <c r="IT24" s="130">
        <f t="shared" si="83"/>
        <v>0</v>
      </c>
      <c r="IU24" s="130">
        <f t="shared" si="83"/>
        <v>0</v>
      </c>
      <c r="IV24" s="130">
        <f t="shared" si="83"/>
        <v>0</v>
      </c>
      <c r="IW24" s="130">
        <f t="shared" si="83"/>
        <v>0</v>
      </c>
      <c r="IX24" s="130">
        <f t="shared" si="83"/>
        <v>0</v>
      </c>
      <c r="IY24" s="130">
        <f t="shared" si="83"/>
        <v>0</v>
      </c>
      <c r="IZ24" s="130">
        <f t="shared" si="83"/>
        <v>0</v>
      </c>
      <c r="JA24" s="130">
        <f t="shared" si="83"/>
        <v>0</v>
      </c>
      <c r="JB24" s="130">
        <f t="shared" si="83"/>
        <v>0</v>
      </c>
      <c r="JC24" s="130">
        <f t="shared" si="83"/>
        <v>0</v>
      </c>
      <c r="JD24" s="130">
        <f t="shared" si="83"/>
        <v>0</v>
      </c>
      <c r="JE24" s="130">
        <f t="shared" si="83"/>
        <v>0</v>
      </c>
      <c r="JF24" s="130">
        <f t="shared" si="83"/>
        <v>0</v>
      </c>
      <c r="JG24" s="130">
        <f t="shared" si="83"/>
        <v>0</v>
      </c>
      <c r="JH24" s="130">
        <f t="shared" si="83"/>
        <v>0</v>
      </c>
      <c r="JI24" s="130">
        <f t="shared" si="83"/>
        <v>0</v>
      </c>
      <c r="JJ24" s="130">
        <f t="shared" si="83"/>
        <v>0</v>
      </c>
      <c r="JK24" s="130">
        <f t="shared" ref="JK24:LV24" si="84">ROUND(JK60,0)</f>
        <v>0</v>
      </c>
      <c r="JL24" s="130">
        <f t="shared" si="84"/>
        <v>0</v>
      </c>
      <c r="JM24" s="130">
        <f t="shared" si="84"/>
        <v>0</v>
      </c>
      <c r="JN24" s="130">
        <f t="shared" si="84"/>
        <v>0</v>
      </c>
      <c r="JO24" s="130">
        <f t="shared" si="84"/>
        <v>0</v>
      </c>
      <c r="JP24" s="130">
        <f t="shared" si="84"/>
        <v>0</v>
      </c>
      <c r="JQ24" s="130">
        <f t="shared" si="84"/>
        <v>0</v>
      </c>
      <c r="JR24" s="130">
        <f t="shared" si="84"/>
        <v>0</v>
      </c>
      <c r="JS24" s="130">
        <f t="shared" si="84"/>
        <v>0</v>
      </c>
      <c r="JT24" s="130">
        <f t="shared" si="84"/>
        <v>0</v>
      </c>
      <c r="JU24" s="130">
        <f t="shared" si="84"/>
        <v>0</v>
      </c>
      <c r="JV24" s="130">
        <f t="shared" si="84"/>
        <v>0</v>
      </c>
      <c r="JW24" s="130">
        <f t="shared" si="84"/>
        <v>0</v>
      </c>
      <c r="JX24" s="130">
        <f t="shared" si="84"/>
        <v>0</v>
      </c>
      <c r="JY24" s="130">
        <f t="shared" si="84"/>
        <v>0</v>
      </c>
      <c r="JZ24" s="130">
        <f t="shared" si="84"/>
        <v>0</v>
      </c>
      <c r="KA24" s="130">
        <f t="shared" si="84"/>
        <v>0</v>
      </c>
      <c r="KB24" s="130">
        <f t="shared" si="84"/>
        <v>0</v>
      </c>
      <c r="KC24" s="130">
        <f t="shared" si="84"/>
        <v>0</v>
      </c>
      <c r="KD24" s="130">
        <f t="shared" si="84"/>
        <v>0</v>
      </c>
      <c r="KE24" s="130">
        <f t="shared" si="84"/>
        <v>0</v>
      </c>
      <c r="KF24" s="130">
        <f t="shared" si="84"/>
        <v>0</v>
      </c>
      <c r="KG24" s="130">
        <f t="shared" si="84"/>
        <v>0</v>
      </c>
      <c r="KH24" s="130">
        <f t="shared" si="84"/>
        <v>0</v>
      </c>
      <c r="KI24" s="130">
        <f t="shared" si="84"/>
        <v>0</v>
      </c>
      <c r="KJ24" s="130">
        <f t="shared" si="84"/>
        <v>0</v>
      </c>
      <c r="KK24" s="130">
        <f t="shared" si="84"/>
        <v>0</v>
      </c>
      <c r="KL24" s="130">
        <f t="shared" si="84"/>
        <v>0</v>
      </c>
      <c r="KM24" s="130">
        <f t="shared" si="84"/>
        <v>0</v>
      </c>
      <c r="KN24" s="130">
        <f t="shared" si="84"/>
        <v>0</v>
      </c>
      <c r="KO24" s="130">
        <f t="shared" si="84"/>
        <v>0</v>
      </c>
      <c r="KP24" s="130">
        <f t="shared" si="84"/>
        <v>0</v>
      </c>
      <c r="KQ24" s="130">
        <f t="shared" si="84"/>
        <v>0</v>
      </c>
      <c r="KR24" s="130">
        <f t="shared" si="84"/>
        <v>0</v>
      </c>
      <c r="KS24" s="130">
        <f t="shared" si="84"/>
        <v>0</v>
      </c>
      <c r="KT24" s="130">
        <f t="shared" si="84"/>
        <v>0</v>
      </c>
      <c r="KU24" s="130">
        <f t="shared" si="84"/>
        <v>0</v>
      </c>
      <c r="KV24" s="130">
        <f t="shared" si="84"/>
        <v>0</v>
      </c>
      <c r="KW24" s="130">
        <f t="shared" si="84"/>
        <v>0</v>
      </c>
      <c r="KX24" s="130">
        <f t="shared" si="84"/>
        <v>0</v>
      </c>
      <c r="KY24" s="130">
        <f t="shared" si="84"/>
        <v>0</v>
      </c>
      <c r="KZ24" s="130">
        <f t="shared" si="84"/>
        <v>0</v>
      </c>
      <c r="LA24" s="130">
        <f t="shared" si="84"/>
        <v>0</v>
      </c>
      <c r="LB24" s="130">
        <f t="shared" si="84"/>
        <v>0</v>
      </c>
      <c r="LC24" s="130">
        <f t="shared" si="84"/>
        <v>0</v>
      </c>
      <c r="LD24" s="130">
        <f t="shared" si="84"/>
        <v>0</v>
      </c>
      <c r="LE24" s="130">
        <f t="shared" si="84"/>
        <v>0</v>
      </c>
      <c r="LF24" s="130">
        <f t="shared" si="84"/>
        <v>0</v>
      </c>
      <c r="LG24" s="130">
        <f t="shared" si="84"/>
        <v>0</v>
      </c>
      <c r="LH24" s="130">
        <f t="shared" si="84"/>
        <v>0</v>
      </c>
      <c r="LI24" s="130">
        <f t="shared" si="84"/>
        <v>0</v>
      </c>
      <c r="LJ24" s="130">
        <f t="shared" si="84"/>
        <v>0</v>
      </c>
      <c r="LK24" s="130">
        <f t="shared" si="84"/>
        <v>0</v>
      </c>
      <c r="LL24" s="130">
        <f t="shared" si="84"/>
        <v>0</v>
      </c>
      <c r="LM24" s="130">
        <f t="shared" si="84"/>
        <v>0</v>
      </c>
      <c r="LN24" s="130">
        <f t="shared" si="84"/>
        <v>0</v>
      </c>
      <c r="LO24" s="130">
        <f t="shared" si="84"/>
        <v>0</v>
      </c>
      <c r="LP24" s="130">
        <f t="shared" si="84"/>
        <v>0</v>
      </c>
      <c r="LQ24" s="130">
        <f t="shared" si="84"/>
        <v>0</v>
      </c>
      <c r="LR24" s="130">
        <f t="shared" si="84"/>
        <v>0</v>
      </c>
      <c r="LS24" s="130">
        <f t="shared" si="84"/>
        <v>0</v>
      </c>
      <c r="LT24" s="130">
        <f t="shared" si="84"/>
        <v>0</v>
      </c>
      <c r="LU24" s="130">
        <f t="shared" si="84"/>
        <v>0</v>
      </c>
      <c r="LV24" s="130">
        <f t="shared" si="84"/>
        <v>0</v>
      </c>
      <c r="LW24" s="130">
        <f t="shared" ref="LW24:OH24" si="85">ROUND(LW60,0)</f>
        <v>0</v>
      </c>
      <c r="LX24" s="130">
        <f t="shared" si="85"/>
        <v>0</v>
      </c>
      <c r="LY24" s="130">
        <f t="shared" si="85"/>
        <v>0</v>
      </c>
      <c r="LZ24" s="130">
        <f t="shared" si="85"/>
        <v>0</v>
      </c>
      <c r="MA24" s="130">
        <f t="shared" si="85"/>
        <v>0</v>
      </c>
      <c r="MB24" s="130">
        <f t="shared" si="85"/>
        <v>0</v>
      </c>
      <c r="MC24" s="130">
        <f t="shared" si="85"/>
        <v>0</v>
      </c>
      <c r="MD24" s="130">
        <f t="shared" si="85"/>
        <v>0</v>
      </c>
      <c r="ME24" s="130">
        <f t="shared" si="85"/>
        <v>0</v>
      </c>
      <c r="MF24" s="130">
        <f t="shared" si="85"/>
        <v>0</v>
      </c>
      <c r="MG24" s="130">
        <f t="shared" si="85"/>
        <v>0</v>
      </c>
      <c r="MH24" s="130">
        <f t="shared" si="85"/>
        <v>0</v>
      </c>
      <c r="MI24" s="130">
        <f t="shared" si="85"/>
        <v>0</v>
      </c>
      <c r="MJ24" s="130">
        <f t="shared" si="85"/>
        <v>0</v>
      </c>
      <c r="MK24" s="130">
        <f t="shared" si="85"/>
        <v>0</v>
      </c>
      <c r="ML24" s="130">
        <f t="shared" si="85"/>
        <v>0</v>
      </c>
      <c r="MM24" s="130">
        <f t="shared" si="85"/>
        <v>0</v>
      </c>
      <c r="MN24" s="130">
        <f t="shared" si="85"/>
        <v>0</v>
      </c>
      <c r="MO24" s="130">
        <f t="shared" si="85"/>
        <v>0</v>
      </c>
      <c r="MP24" s="130">
        <f t="shared" si="85"/>
        <v>0</v>
      </c>
      <c r="MQ24" s="130">
        <f t="shared" si="85"/>
        <v>0</v>
      </c>
      <c r="MR24" s="130">
        <f t="shared" si="85"/>
        <v>0</v>
      </c>
      <c r="MS24" s="130">
        <f t="shared" si="85"/>
        <v>0</v>
      </c>
      <c r="MT24" s="130">
        <f t="shared" si="85"/>
        <v>0</v>
      </c>
      <c r="MU24" s="130">
        <f t="shared" si="85"/>
        <v>0</v>
      </c>
      <c r="MV24" s="130">
        <f t="shared" si="85"/>
        <v>0</v>
      </c>
      <c r="MW24" s="130">
        <f t="shared" si="85"/>
        <v>0</v>
      </c>
      <c r="MX24" s="130">
        <f t="shared" si="85"/>
        <v>0</v>
      </c>
      <c r="MY24" s="130">
        <f t="shared" si="85"/>
        <v>0</v>
      </c>
      <c r="MZ24" s="130">
        <f t="shared" si="85"/>
        <v>0</v>
      </c>
      <c r="NA24" s="130">
        <f t="shared" si="85"/>
        <v>0</v>
      </c>
      <c r="NB24" s="130">
        <f t="shared" si="85"/>
        <v>0</v>
      </c>
      <c r="NC24" s="130">
        <f t="shared" si="85"/>
        <v>0</v>
      </c>
      <c r="ND24" s="130">
        <f t="shared" si="85"/>
        <v>0</v>
      </c>
      <c r="NE24" s="130">
        <f t="shared" si="85"/>
        <v>0</v>
      </c>
      <c r="NF24" s="130">
        <f t="shared" si="85"/>
        <v>0</v>
      </c>
      <c r="NG24" s="130">
        <f t="shared" si="85"/>
        <v>0</v>
      </c>
      <c r="NH24" s="130">
        <f t="shared" si="85"/>
        <v>0</v>
      </c>
      <c r="NI24" s="130">
        <f t="shared" si="85"/>
        <v>0</v>
      </c>
      <c r="NJ24" s="130">
        <f t="shared" si="85"/>
        <v>0</v>
      </c>
      <c r="NK24" s="130">
        <f t="shared" si="85"/>
        <v>0</v>
      </c>
      <c r="NL24" s="130">
        <f t="shared" si="85"/>
        <v>0</v>
      </c>
      <c r="NM24" s="130">
        <f t="shared" si="85"/>
        <v>0</v>
      </c>
      <c r="NN24" s="130">
        <f t="shared" si="85"/>
        <v>0</v>
      </c>
      <c r="NO24" s="130">
        <f t="shared" si="85"/>
        <v>0</v>
      </c>
      <c r="NP24" s="130">
        <f t="shared" si="85"/>
        <v>0</v>
      </c>
      <c r="NQ24" s="130">
        <f t="shared" si="85"/>
        <v>0</v>
      </c>
      <c r="NR24" s="130">
        <f t="shared" si="85"/>
        <v>0</v>
      </c>
      <c r="NS24" s="130">
        <f t="shared" si="85"/>
        <v>0</v>
      </c>
      <c r="NT24" s="130">
        <f t="shared" si="85"/>
        <v>0</v>
      </c>
      <c r="NU24" s="130">
        <f t="shared" si="85"/>
        <v>0</v>
      </c>
      <c r="NV24" s="130">
        <f t="shared" si="85"/>
        <v>0</v>
      </c>
      <c r="NW24" s="130">
        <f t="shared" si="85"/>
        <v>0</v>
      </c>
      <c r="NX24" s="130">
        <f t="shared" si="85"/>
        <v>0</v>
      </c>
      <c r="NY24" s="130">
        <f t="shared" si="85"/>
        <v>0</v>
      </c>
      <c r="NZ24" s="130">
        <f t="shared" si="85"/>
        <v>0</v>
      </c>
      <c r="OA24" s="130">
        <f t="shared" si="85"/>
        <v>0</v>
      </c>
      <c r="OB24" s="130">
        <f t="shared" si="85"/>
        <v>0</v>
      </c>
      <c r="OC24" s="130">
        <f t="shared" si="85"/>
        <v>0</v>
      </c>
      <c r="OD24" s="130">
        <f t="shared" si="85"/>
        <v>0</v>
      </c>
      <c r="OE24" s="130">
        <f t="shared" si="85"/>
        <v>0</v>
      </c>
      <c r="OF24" s="130">
        <f t="shared" si="85"/>
        <v>0</v>
      </c>
      <c r="OG24" s="130">
        <f t="shared" si="85"/>
        <v>0</v>
      </c>
      <c r="OH24" s="130">
        <f t="shared" si="85"/>
        <v>0</v>
      </c>
      <c r="OI24" s="130">
        <f t="shared" ref="OI24:QT24" si="86">ROUND(OI60,0)</f>
        <v>0</v>
      </c>
      <c r="OJ24" s="130">
        <f t="shared" si="86"/>
        <v>0</v>
      </c>
      <c r="OK24" s="130">
        <f t="shared" si="86"/>
        <v>0</v>
      </c>
      <c r="OL24" s="130">
        <f t="shared" si="86"/>
        <v>0</v>
      </c>
      <c r="OM24" s="130">
        <f t="shared" si="86"/>
        <v>0</v>
      </c>
      <c r="ON24" s="130">
        <f t="shared" si="86"/>
        <v>0</v>
      </c>
      <c r="OO24" s="130">
        <f t="shared" si="86"/>
        <v>0</v>
      </c>
      <c r="OP24" s="130">
        <f t="shared" si="86"/>
        <v>0</v>
      </c>
      <c r="OQ24" s="130">
        <f t="shared" si="86"/>
        <v>0</v>
      </c>
      <c r="OR24" s="130">
        <f t="shared" si="86"/>
        <v>0</v>
      </c>
      <c r="OS24" s="130">
        <f t="shared" si="86"/>
        <v>0</v>
      </c>
      <c r="OT24" s="130">
        <f t="shared" si="86"/>
        <v>0</v>
      </c>
      <c r="OU24" s="130">
        <f t="shared" si="86"/>
        <v>0</v>
      </c>
      <c r="OV24" s="130">
        <f t="shared" si="86"/>
        <v>0</v>
      </c>
      <c r="OW24" s="130">
        <f t="shared" si="86"/>
        <v>0</v>
      </c>
      <c r="OX24" s="130">
        <f t="shared" si="86"/>
        <v>0</v>
      </c>
      <c r="OY24" s="130">
        <f t="shared" si="86"/>
        <v>0</v>
      </c>
      <c r="OZ24" s="130">
        <f t="shared" si="86"/>
        <v>0</v>
      </c>
      <c r="PA24" s="130">
        <f t="shared" si="86"/>
        <v>0</v>
      </c>
      <c r="PB24" s="130">
        <f t="shared" si="86"/>
        <v>0</v>
      </c>
      <c r="PC24" s="130">
        <f t="shared" si="86"/>
        <v>0</v>
      </c>
      <c r="PD24" s="130">
        <f t="shared" si="86"/>
        <v>0</v>
      </c>
      <c r="PE24" s="130">
        <f t="shared" si="86"/>
        <v>0</v>
      </c>
      <c r="PF24" s="130">
        <f t="shared" si="86"/>
        <v>0</v>
      </c>
      <c r="PG24" s="130">
        <f t="shared" si="86"/>
        <v>0</v>
      </c>
      <c r="PH24" s="130">
        <f t="shared" si="86"/>
        <v>0</v>
      </c>
      <c r="PI24" s="130">
        <f t="shared" si="86"/>
        <v>0</v>
      </c>
      <c r="PJ24" s="130">
        <f t="shared" si="86"/>
        <v>0</v>
      </c>
      <c r="PK24" s="130">
        <f t="shared" si="86"/>
        <v>0</v>
      </c>
      <c r="PL24" s="130">
        <f t="shared" si="86"/>
        <v>0</v>
      </c>
      <c r="PM24" s="130">
        <f t="shared" si="86"/>
        <v>0</v>
      </c>
      <c r="PN24" s="130">
        <f t="shared" si="86"/>
        <v>0</v>
      </c>
      <c r="PO24" s="130">
        <f t="shared" si="86"/>
        <v>0</v>
      </c>
      <c r="PP24" s="130">
        <f t="shared" si="86"/>
        <v>0</v>
      </c>
      <c r="PQ24" s="130">
        <f t="shared" si="86"/>
        <v>0</v>
      </c>
      <c r="PR24" s="130">
        <f t="shared" si="86"/>
        <v>0</v>
      </c>
      <c r="PS24" s="130">
        <f t="shared" si="86"/>
        <v>0</v>
      </c>
      <c r="PT24" s="130">
        <f t="shared" si="86"/>
        <v>0</v>
      </c>
      <c r="PU24" s="130">
        <f t="shared" si="86"/>
        <v>0</v>
      </c>
      <c r="PV24" s="130">
        <f t="shared" si="86"/>
        <v>0</v>
      </c>
      <c r="PW24" s="130">
        <f t="shared" si="86"/>
        <v>0</v>
      </c>
      <c r="PX24" s="130">
        <f t="shared" si="86"/>
        <v>0</v>
      </c>
      <c r="PY24" s="130">
        <f t="shared" si="86"/>
        <v>0</v>
      </c>
      <c r="PZ24" s="130">
        <f t="shared" si="86"/>
        <v>0</v>
      </c>
      <c r="QA24" s="130">
        <f t="shared" si="86"/>
        <v>0</v>
      </c>
      <c r="QB24" s="130">
        <f t="shared" si="86"/>
        <v>0</v>
      </c>
      <c r="QC24" s="130">
        <f t="shared" si="86"/>
        <v>0</v>
      </c>
      <c r="QD24" s="130">
        <f t="shared" si="86"/>
        <v>0</v>
      </c>
      <c r="QE24" s="130">
        <f t="shared" si="86"/>
        <v>0</v>
      </c>
      <c r="QF24" s="130">
        <f t="shared" si="86"/>
        <v>0</v>
      </c>
      <c r="QG24" s="130">
        <f t="shared" si="86"/>
        <v>0</v>
      </c>
      <c r="QH24" s="130">
        <f t="shared" si="86"/>
        <v>0</v>
      </c>
      <c r="QI24" s="130">
        <f t="shared" si="86"/>
        <v>0</v>
      </c>
      <c r="QJ24" s="130">
        <f t="shared" si="86"/>
        <v>0</v>
      </c>
      <c r="QK24" s="130">
        <f t="shared" si="86"/>
        <v>0</v>
      </c>
      <c r="QL24" s="130">
        <f t="shared" si="86"/>
        <v>0</v>
      </c>
      <c r="QM24" s="130">
        <f t="shared" si="86"/>
        <v>0</v>
      </c>
      <c r="QN24" s="130">
        <f t="shared" si="86"/>
        <v>0</v>
      </c>
      <c r="QO24" s="130">
        <f t="shared" si="86"/>
        <v>0</v>
      </c>
      <c r="QP24" s="130">
        <f t="shared" si="86"/>
        <v>0</v>
      </c>
      <c r="QQ24" s="130">
        <f t="shared" si="86"/>
        <v>0</v>
      </c>
      <c r="QR24" s="130">
        <f t="shared" si="86"/>
        <v>0</v>
      </c>
      <c r="QS24" s="130">
        <f t="shared" si="86"/>
        <v>0</v>
      </c>
      <c r="QT24" s="130">
        <f t="shared" si="86"/>
        <v>0</v>
      </c>
      <c r="QU24" s="130">
        <f t="shared" ref="QU24:TF24" si="87">ROUND(QU60,0)</f>
        <v>0</v>
      </c>
      <c r="QV24" s="130">
        <f t="shared" si="87"/>
        <v>0</v>
      </c>
      <c r="QW24" s="130">
        <f t="shared" si="87"/>
        <v>0</v>
      </c>
      <c r="QX24" s="130">
        <f t="shared" si="87"/>
        <v>0</v>
      </c>
      <c r="QY24" s="130">
        <f t="shared" si="87"/>
        <v>0</v>
      </c>
      <c r="QZ24" s="130">
        <f t="shared" si="87"/>
        <v>0</v>
      </c>
      <c r="RA24" s="130">
        <f t="shared" si="87"/>
        <v>0</v>
      </c>
      <c r="RB24" s="130">
        <f t="shared" si="87"/>
        <v>0</v>
      </c>
      <c r="RC24" s="130">
        <f t="shared" si="87"/>
        <v>0</v>
      </c>
      <c r="RD24" s="130">
        <f t="shared" si="87"/>
        <v>0</v>
      </c>
      <c r="RE24" s="130">
        <f t="shared" si="87"/>
        <v>0</v>
      </c>
      <c r="RF24" s="130">
        <f t="shared" si="87"/>
        <v>0</v>
      </c>
      <c r="RG24" s="130">
        <f t="shared" si="87"/>
        <v>0</v>
      </c>
      <c r="RH24" s="130">
        <f t="shared" si="87"/>
        <v>0</v>
      </c>
      <c r="RI24" s="130">
        <f t="shared" si="87"/>
        <v>0</v>
      </c>
      <c r="RJ24" s="130">
        <f t="shared" si="87"/>
        <v>0</v>
      </c>
      <c r="RK24" s="130">
        <f t="shared" si="87"/>
        <v>0</v>
      </c>
      <c r="RL24" s="130">
        <f t="shared" si="87"/>
        <v>0</v>
      </c>
      <c r="RM24" s="130">
        <f t="shared" si="87"/>
        <v>0</v>
      </c>
      <c r="RN24" s="130">
        <f t="shared" si="87"/>
        <v>0</v>
      </c>
      <c r="RO24" s="130">
        <f t="shared" si="87"/>
        <v>0</v>
      </c>
      <c r="RP24" s="130">
        <f t="shared" si="87"/>
        <v>0</v>
      </c>
      <c r="RQ24" s="130">
        <f t="shared" si="87"/>
        <v>0</v>
      </c>
      <c r="RR24" s="130">
        <f t="shared" si="87"/>
        <v>0</v>
      </c>
      <c r="RS24" s="130">
        <f t="shared" si="87"/>
        <v>0</v>
      </c>
      <c r="RT24" s="130">
        <f t="shared" si="87"/>
        <v>0</v>
      </c>
      <c r="RU24" s="130">
        <f t="shared" si="87"/>
        <v>0</v>
      </c>
      <c r="RV24" s="130">
        <f t="shared" si="87"/>
        <v>0</v>
      </c>
      <c r="RW24" s="130">
        <f t="shared" si="87"/>
        <v>0</v>
      </c>
      <c r="RX24" s="130">
        <f t="shared" si="87"/>
        <v>0</v>
      </c>
      <c r="RY24" s="130">
        <f t="shared" si="87"/>
        <v>0</v>
      </c>
      <c r="RZ24" s="130">
        <f t="shared" si="87"/>
        <v>0</v>
      </c>
      <c r="SA24" s="130">
        <f t="shared" si="87"/>
        <v>0</v>
      </c>
      <c r="SB24" s="130">
        <f t="shared" si="87"/>
        <v>0</v>
      </c>
      <c r="SC24" s="130">
        <f t="shared" si="87"/>
        <v>0</v>
      </c>
      <c r="SD24" s="130">
        <f t="shared" si="87"/>
        <v>0</v>
      </c>
      <c r="SE24" s="130">
        <f t="shared" si="87"/>
        <v>0</v>
      </c>
      <c r="SF24" s="130">
        <f t="shared" si="87"/>
        <v>0</v>
      </c>
      <c r="SG24" s="130">
        <f t="shared" si="87"/>
        <v>0</v>
      </c>
      <c r="SH24" s="130">
        <f t="shared" si="87"/>
        <v>0</v>
      </c>
      <c r="SI24" s="130">
        <f t="shared" si="87"/>
        <v>0</v>
      </c>
      <c r="SJ24" s="130">
        <f t="shared" si="87"/>
        <v>0</v>
      </c>
      <c r="SK24" s="130">
        <f t="shared" si="87"/>
        <v>0</v>
      </c>
      <c r="SL24" s="130">
        <f t="shared" si="87"/>
        <v>0</v>
      </c>
      <c r="SM24" s="130">
        <f t="shared" si="87"/>
        <v>0</v>
      </c>
      <c r="SN24" s="130">
        <f t="shared" si="87"/>
        <v>0</v>
      </c>
      <c r="SO24" s="130">
        <f t="shared" si="87"/>
        <v>0</v>
      </c>
      <c r="SP24" s="130">
        <f t="shared" si="87"/>
        <v>0</v>
      </c>
      <c r="SQ24" s="130">
        <f t="shared" si="87"/>
        <v>0</v>
      </c>
      <c r="SR24" s="130">
        <f t="shared" si="87"/>
        <v>0</v>
      </c>
      <c r="SS24" s="130">
        <f t="shared" si="87"/>
        <v>0</v>
      </c>
      <c r="ST24" s="130">
        <f t="shared" si="87"/>
        <v>0</v>
      </c>
      <c r="SU24" s="130">
        <f t="shared" si="87"/>
        <v>0</v>
      </c>
      <c r="SV24" s="130">
        <f t="shared" si="87"/>
        <v>0</v>
      </c>
      <c r="SW24" s="130">
        <f t="shared" si="87"/>
        <v>0</v>
      </c>
      <c r="SX24" s="130">
        <f t="shared" si="87"/>
        <v>0</v>
      </c>
      <c r="SY24" s="130">
        <f t="shared" si="87"/>
        <v>0</v>
      </c>
      <c r="SZ24" s="130">
        <f t="shared" si="87"/>
        <v>0</v>
      </c>
      <c r="TA24" s="130">
        <f t="shared" si="87"/>
        <v>0</v>
      </c>
      <c r="TB24" s="130">
        <f t="shared" si="87"/>
        <v>0</v>
      </c>
      <c r="TC24" s="130">
        <f t="shared" si="87"/>
        <v>0</v>
      </c>
      <c r="TD24" s="130">
        <f t="shared" si="87"/>
        <v>0</v>
      </c>
      <c r="TE24" s="130">
        <f t="shared" si="87"/>
        <v>0</v>
      </c>
      <c r="TF24" s="130">
        <f t="shared" si="87"/>
        <v>0</v>
      </c>
      <c r="TG24" s="130">
        <f t="shared" ref="TG24:VR24" si="88">ROUND(TG60,0)</f>
        <v>0</v>
      </c>
      <c r="TH24" s="130">
        <f t="shared" si="88"/>
        <v>0</v>
      </c>
      <c r="TI24" s="130">
        <f t="shared" si="88"/>
        <v>0</v>
      </c>
      <c r="TJ24" s="130">
        <f t="shared" si="88"/>
        <v>0</v>
      </c>
      <c r="TK24" s="130">
        <f t="shared" si="88"/>
        <v>0</v>
      </c>
      <c r="TL24" s="130">
        <f t="shared" si="88"/>
        <v>0</v>
      </c>
      <c r="TM24" s="130">
        <f t="shared" si="88"/>
        <v>0</v>
      </c>
      <c r="TN24" s="130">
        <f t="shared" si="88"/>
        <v>0</v>
      </c>
      <c r="TO24" s="130">
        <f t="shared" si="88"/>
        <v>0</v>
      </c>
      <c r="TP24" s="130">
        <f t="shared" si="88"/>
        <v>0</v>
      </c>
      <c r="TQ24" s="130">
        <f t="shared" si="88"/>
        <v>0</v>
      </c>
      <c r="TR24" s="130">
        <f t="shared" si="88"/>
        <v>0</v>
      </c>
      <c r="TS24" s="130">
        <f t="shared" si="88"/>
        <v>0</v>
      </c>
      <c r="TT24" s="130">
        <f t="shared" si="88"/>
        <v>0</v>
      </c>
      <c r="TU24" s="130">
        <f t="shared" si="88"/>
        <v>0</v>
      </c>
      <c r="TV24" s="130">
        <f t="shared" si="88"/>
        <v>0</v>
      </c>
      <c r="TW24" s="130">
        <f t="shared" si="88"/>
        <v>0</v>
      </c>
      <c r="TX24" s="130">
        <f t="shared" si="88"/>
        <v>0</v>
      </c>
      <c r="TY24" s="130">
        <f t="shared" si="88"/>
        <v>0</v>
      </c>
      <c r="TZ24" s="130">
        <f t="shared" si="88"/>
        <v>0</v>
      </c>
      <c r="UA24" s="130">
        <f t="shared" si="88"/>
        <v>0</v>
      </c>
      <c r="UB24" s="130">
        <f t="shared" si="88"/>
        <v>0</v>
      </c>
      <c r="UC24" s="130">
        <f t="shared" si="88"/>
        <v>0</v>
      </c>
      <c r="UD24" s="130">
        <f t="shared" si="88"/>
        <v>0</v>
      </c>
      <c r="UE24" s="130">
        <f t="shared" si="88"/>
        <v>0</v>
      </c>
      <c r="UF24" s="130">
        <f t="shared" si="88"/>
        <v>0</v>
      </c>
      <c r="UG24" s="130">
        <f t="shared" si="88"/>
        <v>0</v>
      </c>
      <c r="UH24" s="130">
        <f t="shared" si="88"/>
        <v>0</v>
      </c>
      <c r="UI24" s="130">
        <f t="shared" si="88"/>
        <v>0</v>
      </c>
      <c r="UJ24" s="130">
        <f t="shared" si="88"/>
        <v>0</v>
      </c>
      <c r="UK24" s="130">
        <f t="shared" si="88"/>
        <v>0</v>
      </c>
      <c r="UL24" s="130">
        <f t="shared" si="88"/>
        <v>0</v>
      </c>
      <c r="UM24" s="130">
        <f t="shared" si="88"/>
        <v>0</v>
      </c>
      <c r="UN24" s="130">
        <f t="shared" si="88"/>
        <v>0</v>
      </c>
      <c r="UO24" s="130">
        <f t="shared" si="88"/>
        <v>0</v>
      </c>
      <c r="UP24" s="130">
        <f t="shared" si="88"/>
        <v>0</v>
      </c>
      <c r="UQ24" s="130">
        <f t="shared" si="88"/>
        <v>0</v>
      </c>
      <c r="UR24" s="130">
        <f t="shared" si="88"/>
        <v>0</v>
      </c>
      <c r="US24" s="130">
        <f t="shared" si="88"/>
        <v>0</v>
      </c>
      <c r="UT24" s="130">
        <f t="shared" si="88"/>
        <v>0</v>
      </c>
      <c r="UU24" s="130">
        <f t="shared" si="88"/>
        <v>0</v>
      </c>
      <c r="UV24" s="130">
        <f t="shared" si="88"/>
        <v>0</v>
      </c>
      <c r="UW24" s="130">
        <f t="shared" si="88"/>
        <v>0</v>
      </c>
      <c r="UX24" s="130">
        <f t="shared" si="88"/>
        <v>0</v>
      </c>
      <c r="UY24" s="130">
        <f t="shared" si="88"/>
        <v>0</v>
      </c>
      <c r="UZ24" s="130">
        <f t="shared" si="88"/>
        <v>0</v>
      </c>
      <c r="VA24" s="130">
        <f t="shared" si="88"/>
        <v>0</v>
      </c>
      <c r="VB24" s="130">
        <f t="shared" si="88"/>
        <v>0</v>
      </c>
      <c r="VC24" s="130">
        <f t="shared" si="88"/>
        <v>0</v>
      </c>
      <c r="VD24" s="130">
        <f t="shared" si="88"/>
        <v>0</v>
      </c>
      <c r="VE24" s="130">
        <f t="shared" si="88"/>
        <v>0</v>
      </c>
      <c r="VF24" s="130">
        <f t="shared" si="88"/>
        <v>0</v>
      </c>
      <c r="VG24" s="130">
        <f t="shared" si="88"/>
        <v>0</v>
      </c>
      <c r="VH24" s="130">
        <f t="shared" si="88"/>
        <v>0</v>
      </c>
      <c r="VI24" s="130">
        <f t="shared" si="88"/>
        <v>0</v>
      </c>
      <c r="VJ24" s="130">
        <f t="shared" si="88"/>
        <v>0</v>
      </c>
      <c r="VK24" s="130">
        <f t="shared" si="88"/>
        <v>0</v>
      </c>
      <c r="VL24" s="130">
        <f t="shared" si="88"/>
        <v>0</v>
      </c>
      <c r="VM24" s="130">
        <f t="shared" si="88"/>
        <v>0</v>
      </c>
      <c r="VN24" s="130">
        <f t="shared" si="88"/>
        <v>0</v>
      </c>
      <c r="VO24" s="130">
        <f t="shared" si="88"/>
        <v>0</v>
      </c>
      <c r="VP24" s="130">
        <f t="shared" si="88"/>
        <v>0</v>
      </c>
      <c r="VQ24" s="130">
        <f t="shared" si="88"/>
        <v>0</v>
      </c>
      <c r="VR24" s="130">
        <f t="shared" si="88"/>
        <v>0</v>
      </c>
      <c r="VS24" s="130">
        <f t="shared" ref="VS24:YD24" si="89">ROUND(VS60,0)</f>
        <v>0</v>
      </c>
      <c r="VT24" s="130">
        <f t="shared" si="89"/>
        <v>0</v>
      </c>
      <c r="VU24" s="130">
        <f t="shared" si="89"/>
        <v>0</v>
      </c>
      <c r="VV24" s="130">
        <f t="shared" si="89"/>
        <v>0</v>
      </c>
      <c r="VW24" s="130">
        <f t="shared" si="89"/>
        <v>0</v>
      </c>
      <c r="VX24" s="130">
        <f t="shared" si="89"/>
        <v>0</v>
      </c>
      <c r="VY24" s="130">
        <f t="shared" si="89"/>
        <v>0</v>
      </c>
      <c r="VZ24" s="130">
        <f t="shared" si="89"/>
        <v>0</v>
      </c>
      <c r="WA24" s="130">
        <f t="shared" si="89"/>
        <v>0</v>
      </c>
      <c r="WB24" s="130">
        <f t="shared" si="89"/>
        <v>0</v>
      </c>
      <c r="WC24" s="130">
        <f t="shared" si="89"/>
        <v>0</v>
      </c>
      <c r="WD24" s="130">
        <f t="shared" si="89"/>
        <v>0</v>
      </c>
      <c r="WE24" s="130">
        <f t="shared" si="89"/>
        <v>0</v>
      </c>
      <c r="WF24" s="130">
        <f t="shared" si="89"/>
        <v>0</v>
      </c>
      <c r="WG24" s="130">
        <f t="shared" si="89"/>
        <v>0</v>
      </c>
      <c r="WH24" s="130">
        <f t="shared" si="89"/>
        <v>0</v>
      </c>
      <c r="WI24" s="130">
        <f t="shared" si="89"/>
        <v>0</v>
      </c>
      <c r="WJ24" s="130">
        <f t="shared" si="89"/>
        <v>0</v>
      </c>
      <c r="WK24" s="130">
        <f t="shared" si="89"/>
        <v>0</v>
      </c>
      <c r="WL24" s="130">
        <f t="shared" si="89"/>
        <v>0</v>
      </c>
      <c r="WM24" s="130">
        <f t="shared" si="89"/>
        <v>0</v>
      </c>
      <c r="WN24" s="130">
        <f t="shared" si="89"/>
        <v>0</v>
      </c>
      <c r="WO24" s="130">
        <f t="shared" si="89"/>
        <v>0</v>
      </c>
      <c r="WP24" s="130">
        <f t="shared" si="89"/>
        <v>0</v>
      </c>
      <c r="WQ24" s="130">
        <f t="shared" si="89"/>
        <v>0</v>
      </c>
      <c r="WR24" s="130">
        <f t="shared" si="89"/>
        <v>0</v>
      </c>
      <c r="WS24" s="130">
        <f t="shared" si="89"/>
        <v>0</v>
      </c>
      <c r="WT24" s="130">
        <f t="shared" si="89"/>
        <v>0</v>
      </c>
      <c r="WU24" s="130">
        <f t="shared" si="89"/>
        <v>0</v>
      </c>
      <c r="WV24" s="130">
        <f t="shared" si="89"/>
        <v>0</v>
      </c>
      <c r="WW24" s="130">
        <f t="shared" si="89"/>
        <v>0</v>
      </c>
      <c r="WX24" s="130">
        <f t="shared" si="89"/>
        <v>0</v>
      </c>
      <c r="WY24" s="130">
        <f t="shared" si="89"/>
        <v>0</v>
      </c>
      <c r="WZ24" s="130">
        <f t="shared" si="89"/>
        <v>0</v>
      </c>
      <c r="XA24" s="130">
        <f t="shared" si="89"/>
        <v>0</v>
      </c>
      <c r="XB24" s="130">
        <f t="shared" si="89"/>
        <v>0</v>
      </c>
      <c r="XC24" s="130">
        <f t="shared" si="89"/>
        <v>0</v>
      </c>
      <c r="XD24" s="130">
        <f t="shared" si="89"/>
        <v>0</v>
      </c>
      <c r="XE24" s="130">
        <f t="shared" si="89"/>
        <v>0</v>
      </c>
      <c r="XF24" s="130">
        <f t="shared" si="89"/>
        <v>0</v>
      </c>
      <c r="XG24" s="130">
        <f t="shared" si="89"/>
        <v>0</v>
      </c>
      <c r="XH24" s="130">
        <f t="shared" si="89"/>
        <v>0</v>
      </c>
      <c r="XI24" s="130">
        <f t="shared" si="89"/>
        <v>0</v>
      </c>
      <c r="XJ24" s="130">
        <f t="shared" si="89"/>
        <v>0</v>
      </c>
      <c r="XK24" s="130">
        <f t="shared" si="89"/>
        <v>0</v>
      </c>
      <c r="XL24" s="130">
        <f t="shared" si="89"/>
        <v>0</v>
      </c>
      <c r="XM24" s="130">
        <f t="shared" si="89"/>
        <v>0</v>
      </c>
      <c r="XN24" s="130">
        <f t="shared" si="89"/>
        <v>0</v>
      </c>
      <c r="XO24" s="130">
        <f t="shared" si="89"/>
        <v>0</v>
      </c>
      <c r="XP24" s="130">
        <f t="shared" si="89"/>
        <v>0</v>
      </c>
      <c r="XQ24" s="130">
        <f t="shared" si="89"/>
        <v>0</v>
      </c>
      <c r="XR24" s="130">
        <f t="shared" si="89"/>
        <v>0</v>
      </c>
      <c r="XS24" s="130">
        <f t="shared" si="89"/>
        <v>0</v>
      </c>
      <c r="XT24" s="130">
        <f t="shared" si="89"/>
        <v>0</v>
      </c>
      <c r="XU24" s="130">
        <f t="shared" si="89"/>
        <v>0</v>
      </c>
      <c r="XV24" s="130">
        <f t="shared" si="89"/>
        <v>0</v>
      </c>
      <c r="XW24" s="130">
        <f t="shared" si="89"/>
        <v>0</v>
      </c>
      <c r="XX24" s="130">
        <f t="shared" si="89"/>
        <v>0</v>
      </c>
      <c r="XY24" s="130">
        <f t="shared" si="89"/>
        <v>0</v>
      </c>
      <c r="XZ24" s="130">
        <f t="shared" si="89"/>
        <v>0</v>
      </c>
      <c r="YA24" s="130">
        <f t="shared" si="89"/>
        <v>0</v>
      </c>
      <c r="YB24" s="130">
        <f t="shared" si="89"/>
        <v>0</v>
      </c>
      <c r="YC24" s="130">
        <f t="shared" si="89"/>
        <v>0</v>
      </c>
      <c r="YD24" s="130">
        <f t="shared" si="89"/>
        <v>0</v>
      </c>
      <c r="YE24" s="130">
        <f t="shared" ref="YE24:AAP24" si="90">ROUND(YE60,0)</f>
        <v>0</v>
      </c>
      <c r="YF24" s="130">
        <f t="shared" si="90"/>
        <v>0</v>
      </c>
      <c r="YG24" s="130">
        <f t="shared" si="90"/>
        <v>0</v>
      </c>
      <c r="YH24" s="130">
        <f t="shared" si="90"/>
        <v>0</v>
      </c>
      <c r="YI24" s="130">
        <f t="shared" si="90"/>
        <v>0</v>
      </c>
      <c r="YJ24" s="130">
        <f t="shared" si="90"/>
        <v>0</v>
      </c>
      <c r="YK24" s="130">
        <f t="shared" si="90"/>
        <v>0</v>
      </c>
      <c r="YL24" s="130">
        <f t="shared" si="90"/>
        <v>0</v>
      </c>
      <c r="YM24" s="130">
        <f t="shared" si="90"/>
        <v>0</v>
      </c>
      <c r="YN24" s="130">
        <f t="shared" si="90"/>
        <v>0</v>
      </c>
      <c r="YO24" s="130">
        <f t="shared" si="90"/>
        <v>0</v>
      </c>
      <c r="YP24" s="130">
        <f t="shared" si="90"/>
        <v>0</v>
      </c>
      <c r="YQ24" s="130">
        <f t="shared" si="90"/>
        <v>0</v>
      </c>
      <c r="YR24" s="130">
        <f t="shared" si="90"/>
        <v>0</v>
      </c>
      <c r="YS24" s="130">
        <f t="shared" si="90"/>
        <v>0</v>
      </c>
      <c r="YT24" s="130">
        <f t="shared" si="90"/>
        <v>0</v>
      </c>
      <c r="YU24" s="130">
        <f t="shared" si="90"/>
        <v>0</v>
      </c>
      <c r="YV24" s="130">
        <f t="shared" si="90"/>
        <v>0</v>
      </c>
      <c r="YW24" s="130">
        <f t="shared" si="90"/>
        <v>0</v>
      </c>
      <c r="YX24" s="130">
        <f t="shared" si="90"/>
        <v>0</v>
      </c>
      <c r="YY24" s="130">
        <f t="shared" si="90"/>
        <v>0</v>
      </c>
      <c r="YZ24" s="130">
        <f t="shared" si="90"/>
        <v>0</v>
      </c>
      <c r="ZA24" s="130">
        <f t="shared" si="90"/>
        <v>0</v>
      </c>
      <c r="ZB24" s="130">
        <f t="shared" si="90"/>
        <v>0</v>
      </c>
      <c r="ZC24" s="130">
        <f t="shared" si="90"/>
        <v>0</v>
      </c>
      <c r="ZD24" s="130">
        <f t="shared" si="90"/>
        <v>0</v>
      </c>
      <c r="ZE24" s="130">
        <f t="shared" si="90"/>
        <v>0</v>
      </c>
      <c r="ZF24" s="130">
        <f t="shared" si="90"/>
        <v>0</v>
      </c>
      <c r="ZG24" s="130">
        <f t="shared" si="90"/>
        <v>0</v>
      </c>
      <c r="ZH24" s="130">
        <f t="shared" si="90"/>
        <v>0</v>
      </c>
      <c r="ZI24" s="130">
        <f t="shared" si="90"/>
        <v>0</v>
      </c>
      <c r="ZJ24" s="130">
        <f t="shared" si="90"/>
        <v>0</v>
      </c>
      <c r="ZK24" s="130">
        <f t="shared" si="90"/>
        <v>0</v>
      </c>
      <c r="ZL24" s="130">
        <f t="shared" si="90"/>
        <v>0</v>
      </c>
      <c r="ZM24" s="130">
        <f t="shared" si="90"/>
        <v>0</v>
      </c>
      <c r="ZN24" s="130">
        <f t="shared" si="90"/>
        <v>0</v>
      </c>
      <c r="ZO24" s="130">
        <f t="shared" si="90"/>
        <v>0</v>
      </c>
      <c r="ZP24" s="130">
        <f t="shared" si="90"/>
        <v>0</v>
      </c>
      <c r="ZQ24" s="130">
        <f t="shared" si="90"/>
        <v>0</v>
      </c>
      <c r="ZR24" s="130">
        <f t="shared" si="90"/>
        <v>0</v>
      </c>
      <c r="ZS24" s="130">
        <f t="shared" si="90"/>
        <v>0</v>
      </c>
      <c r="ZT24" s="130">
        <f t="shared" si="90"/>
        <v>0</v>
      </c>
      <c r="ZU24" s="130">
        <f t="shared" si="90"/>
        <v>0</v>
      </c>
      <c r="ZV24" s="130">
        <f t="shared" si="90"/>
        <v>0</v>
      </c>
      <c r="ZW24" s="130">
        <f t="shared" si="90"/>
        <v>0</v>
      </c>
      <c r="ZX24" s="130">
        <f t="shared" si="90"/>
        <v>0</v>
      </c>
      <c r="ZY24" s="130">
        <f t="shared" si="90"/>
        <v>0</v>
      </c>
      <c r="ZZ24" s="130">
        <f t="shared" si="90"/>
        <v>0</v>
      </c>
      <c r="AAA24" s="130">
        <f t="shared" si="90"/>
        <v>0</v>
      </c>
      <c r="AAB24" s="130">
        <f t="shared" si="90"/>
        <v>0</v>
      </c>
      <c r="AAC24" s="130">
        <f t="shared" si="90"/>
        <v>0</v>
      </c>
      <c r="AAD24" s="130">
        <f t="shared" si="90"/>
        <v>0</v>
      </c>
      <c r="AAE24" s="130">
        <f t="shared" si="90"/>
        <v>0</v>
      </c>
      <c r="AAF24" s="130">
        <f t="shared" si="90"/>
        <v>0</v>
      </c>
      <c r="AAG24" s="130">
        <f t="shared" si="90"/>
        <v>0</v>
      </c>
      <c r="AAH24" s="130">
        <f t="shared" si="90"/>
        <v>0</v>
      </c>
      <c r="AAI24" s="130">
        <f t="shared" si="90"/>
        <v>0</v>
      </c>
      <c r="AAJ24" s="130">
        <f t="shared" si="90"/>
        <v>0</v>
      </c>
      <c r="AAK24" s="130">
        <f t="shared" si="90"/>
        <v>0</v>
      </c>
      <c r="AAL24" s="130">
        <f t="shared" si="90"/>
        <v>0</v>
      </c>
      <c r="AAM24" s="130">
        <f t="shared" si="90"/>
        <v>0</v>
      </c>
      <c r="AAN24" s="130">
        <f t="shared" si="90"/>
        <v>0</v>
      </c>
      <c r="AAO24" s="130">
        <f t="shared" si="90"/>
        <v>0</v>
      </c>
      <c r="AAP24" s="130">
        <f t="shared" si="90"/>
        <v>0</v>
      </c>
      <c r="AAQ24" s="130">
        <f t="shared" ref="AAQ24:ADB24" si="91">ROUND(AAQ60,0)</f>
        <v>0</v>
      </c>
      <c r="AAR24" s="130">
        <f t="shared" si="91"/>
        <v>0</v>
      </c>
      <c r="AAS24" s="130">
        <f t="shared" si="91"/>
        <v>0</v>
      </c>
      <c r="AAT24" s="130">
        <f t="shared" si="91"/>
        <v>0</v>
      </c>
      <c r="AAU24" s="130">
        <f t="shared" si="91"/>
        <v>0</v>
      </c>
      <c r="AAV24" s="130">
        <f t="shared" si="91"/>
        <v>0</v>
      </c>
      <c r="AAW24" s="130">
        <f t="shared" si="91"/>
        <v>0</v>
      </c>
      <c r="AAX24" s="130">
        <f t="shared" si="91"/>
        <v>0</v>
      </c>
      <c r="AAY24" s="130">
        <f t="shared" si="91"/>
        <v>0</v>
      </c>
      <c r="AAZ24" s="130">
        <f t="shared" si="91"/>
        <v>0</v>
      </c>
      <c r="ABA24" s="130">
        <f t="shared" si="91"/>
        <v>0</v>
      </c>
      <c r="ABB24" s="130">
        <f t="shared" si="91"/>
        <v>0</v>
      </c>
      <c r="ABC24" s="130">
        <f t="shared" si="91"/>
        <v>0</v>
      </c>
      <c r="ABD24" s="130">
        <f t="shared" si="91"/>
        <v>0</v>
      </c>
      <c r="ABE24" s="130">
        <f t="shared" si="91"/>
        <v>0</v>
      </c>
      <c r="ABF24" s="130">
        <f t="shared" si="91"/>
        <v>0</v>
      </c>
      <c r="ABG24" s="130">
        <f t="shared" si="91"/>
        <v>0</v>
      </c>
      <c r="ABH24" s="130">
        <f t="shared" si="91"/>
        <v>0</v>
      </c>
      <c r="ABI24" s="130">
        <f t="shared" si="91"/>
        <v>0</v>
      </c>
      <c r="ABJ24" s="130">
        <f t="shared" si="91"/>
        <v>0</v>
      </c>
      <c r="ABK24" s="130">
        <f t="shared" si="91"/>
        <v>0</v>
      </c>
      <c r="ABL24" s="130">
        <f t="shared" si="91"/>
        <v>0</v>
      </c>
      <c r="ABM24" s="130">
        <f t="shared" si="91"/>
        <v>0</v>
      </c>
      <c r="ABN24" s="130">
        <f t="shared" si="91"/>
        <v>0</v>
      </c>
      <c r="ABO24" s="130">
        <f t="shared" si="91"/>
        <v>0</v>
      </c>
      <c r="ABP24" s="130">
        <f t="shared" si="91"/>
        <v>0</v>
      </c>
      <c r="ABQ24" s="130">
        <f t="shared" si="91"/>
        <v>0</v>
      </c>
      <c r="ABR24" s="130">
        <f t="shared" si="91"/>
        <v>0</v>
      </c>
      <c r="ABS24" s="130">
        <f t="shared" si="91"/>
        <v>0</v>
      </c>
      <c r="ABT24" s="130">
        <f t="shared" si="91"/>
        <v>0</v>
      </c>
      <c r="ABU24" s="130">
        <f t="shared" si="91"/>
        <v>0</v>
      </c>
      <c r="ABV24" s="130">
        <f t="shared" si="91"/>
        <v>0</v>
      </c>
      <c r="ABW24" s="130">
        <f t="shared" si="91"/>
        <v>0</v>
      </c>
      <c r="ABX24" s="130">
        <f t="shared" si="91"/>
        <v>0</v>
      </c>
      <c r="ABY24" s="130">
        <f t="shared" si="91"/>
        <v>0</v>
      </c>
      <c r="ABZ24" s="130">
        <f t="shared" si="91"/>
        <v>0</v>
      </c>
      <c r="ACA24" s="130">
        <f t="shared" si="91"/>
        <v>0</v>
      </c>
      <c r="ACB24" s="130">
        <f t="shared" si="91"/>
        <v>0</v>
      </c>
      <c r="ACC24" s="130">
        <f t="shared" si="91"/>
        <v>0</v>
      </c>
      <c r="ACD24" s="130">
        <f t="shared" si="91"/>
        <v>0</v>
      </c>
      <c r="ACE24" s="130">
        <f t="shared" si="91"/>
        <v>0</v>
      </c>
      <c r="ACF24" s="130">
        <f t="shared" si="91"/>
        <v>0</v>
      </c>
      <c r="ACG24" s="130">
        <f t="shared" si="91"/>
        <v>0</v>
      </c>
      <c r="ACH24" s="130">
        <f t="shared" si="91"/>
        <v>0</v>
      </c>
      <c r="ACI24" s="130">
        <f t="shared" si="91"/>
        <v>0</v>
      </c>
      <c r="ACJ24" s="130">
        <f t="shared" si="91"/>
        <v>0</v>
      </c>
      <c r="ACK24" s="130">
        <f t="shared" si="91"/>
        <v>0</v>
      </c>
      <c r="ACL24" s="130">
        <f t="shared" si="91"/>
        <v>0</v>
      </c>
      <c r="ACM24" s="130">
        <f t="shared" si="91"/>
        <v>0</v>
      </c>
      <c r="ACN24" s="130">
        <f t="shared" si="91"/>
        <v>0</v>
      </c>
      <c r="ACO24" s="130">
        <f t="shared" si="91"/>
        <v>0</v>
      </c>
      <c r="ACP24" s="130">
        <f t="shared" si="91"/>
        <v>0</v>
      </c>
      <c r="ACQ24" s="130">
        <f t="shared" si="91"/>
        <v>0</v>
      </c>
      <c r="ACR24" s="130">
        <f t="shared" si="91"/>
        <v>0</v>
      </c>
      <c r="ACS24" s="130">
        <f t="shared" si="91"/>
        <v>0</v>
      </c>
      <c r="ACT24" s="130">
        <f t="shared" si="91"/>
        <v>0</v>
      </c>
      <c r="ACU24" s="130">
        <f t="shared" si="91"/>
        <v>0</v>
      </c>
      <c r="ACV24" s="130">
        <f t="shared" si="91"/>
        <v>0</v>
      </c>
      <c r="ACW24" s="130">
        <f t="shared" si="91"/>
        <v>0</v>
      </c>
      <c r="ACX24" s="130">
        <f t="shared" si="91"/>
        <v>0</v>
      </c>
      <c r="ACY24" s="130">
        <f t="shared" si="91"/>
        <v>0</v>
      </c>
      <c r="ACZ24" s="130">
        <f t="shared" si="91"/>
        <v>0</v>
      </c>
      <c r="ADA24" s="130">
        <f t="shared" si="91"/>
        <v>0</v>
      </c>
      <c r="ADB24" s="130">
        <f t="shared" si="91"/>
        <v>0</v>
      </c>
      <c r="ADC24" s="130">
        <f t="shared" ref="ADC24:AEW24" si="92">ROUND(ADC60,0)</f>
        <v>0</v>
      </c>
      <c r="ADD24" s="130">
        <f t="shared" si="92"/>
        <v>0</v>
      </c>
      <c r="ADE24" s="130">
        <f t="shared" si="92"/>
        <v>0</v>
      </c>
      <c r="ADF24" s="130">
        <f t="shared" si="92"/>
        <v>0</v>
      </c>
      <c r="ADG24" s="130">
        <f t="shared" si="92"/>
        <v>0</v>
      </c>
      <c r="ADH24" s="130">
        <f t="shared" si="92"/>
        <v>0</v>
      </c>
      <c r="ADI24" s="130">
        <f t="shared" si="92"/>
        <v>0</v>
      </c>
      <c r="ADJ24" s="130">
        <f t="shared" si="92"/>
        <v>0</v>
      </c>
      <c r="ADK24" s="130">
        <f t="shared" si="92"/>
        <v>0</v>
      </c>
      <c r="ADL24" s="130">
        <f t="shared" si="92"/>
        <v>0</v>
      </c>
      <c r="ADM24" s="130">
        <f t="shared" si="92"/>
        <v>0</v>
      </c>
      <c r="ADN24" s="130">
        <f t="shared" si="92"/>
        <v>0</v>
      </c>
      <c r="ADO24" s="130">
        <f t="shared" si="92"/>
        <v>0</v>
      </c>
      <c r="ADP24" s="130">
        <f t="shared" si="92"/>
        <v>0</v>
      </c>
      <c r="ADQ24" s="130">
        <f t="shared" si="92"/>
        <v>0</v>
      </c>
      <c r="ADR24" s="130">
        <f t="shared" si="92"/>
        <v>0</v>
      </c>
      <c r="ADS24" s="130">
        <f t="shared" si="92"/>
        <v>0</v>
      </c>
      <c r="ADT24" s="130">
        <f t="shared" si="92"/>
        <v>0</v>
      </c>
      <c r="ADU24" s="130">
        <f t="shared" si="92"/>
        <v>0</v>
      </c>
      <c r="ADV24" s="130">
        <f t="shared" si="92"/>
        <v>0</v>
      </c>
      <c r="ADW24" s="130">
        <f t="shared" si="92"/>
        <v>0</v>
      </c>
      <c r="ADX24" s="130">
        <f t="shared" si="92"/>
        <v>0</v>
      </c>
      <c r="ADY24" s="130">
        <f t="shared" si="92"/>
        <v>0</v>
      </c>
      <c r="ADZ24" s="130">
        <f t="shared" si="92"/>
        <v>0</v>
      </c>
      <c r="AEA24" s="130">
        <f t="shared" si="92"/>
        <v>0</v>
      </c>
      <c r="AEB24" s="130">
        <f t="shared" si="92"/>
        <v>0</v>
      </c>
      <c r="AEC24" s="130">
        <f t="shared" si="92"/>
        <v>0</v>
      </c>
      <c r="AED24" s="130">
        <f t="shared" si="92"/>
        <v>0</v>
      </c>
      <c r="AEE24" s="130">
        <f t="shared" si="92"/>
        <v>0</v>
      </c>
      <c r="AEF24" s="130">
        <f t="shared" si="92"/>
        <v>0</v>
      </c>
      <c r="AEG24" s="130">
        <f t="shared" si="92"/>
        <v>0</v>
      </c>
      <c r="AEH24" s="130">
        <f t="shared" si="92"/>
        <v>0</v>
      </c>
      <c r="AEI24" s="130">
        <f t="shared" si="92"/>
        <v>0</v>
      </c>
      <c r="AEJ24" s="130">
        <f t="shared" si="92"/>
        <v>0</v>
      </c>
      <c r="AEK24" s="130">
        <f t="shared" si="92"/>
        <v>0</v>
      </c>
      <c r="AEL24" s="130">
        <f t="shared" si="92"/>
        <v>0</v>
      </c>
      <c r="AEM24" s="130">
        <f t="shared" si="92"/>
        <v>0</v>
      </c>
      <c r="AEN24" s="130">
        <f t="shared" si="92"/>
        <v>0</v>
      </c>
      <c r="AEO24" s="130">
        <f t="shared" si="92"/>
        <v>0</v>
      </c>
      <c r="AEP24" s="130">
        <f t="shared" si="92"/>
        <v>0</v>
      </c>
      <c r="AEQ24" s="130">
        <f t="shared" si="92"/>
        <v>0</v>
      </c>
      <c r="AER24" s="130">
        <f t="shared" si="92"/>
        <v>0</v>
      </c>
      <c r="AES24" s="130">
        <f t="shared" si="92"/>
        <v>0</v>
      </c>
      <c r="AET24" s="130">
        <f t="shared" si="92"/>
        <v>0</v>
      </c>
      <c r="AEU24" s="130">
        <f t="shared" si="92"/>
        <v>0</v>
      </c>
      <c r="AEV24" s="130">
        <f t="shared" si="92"/>
        <v>0</v>
      </c>
      <c r="AEW24" s="130">
        <f t="shared" si="92"/>
        <v>0</v>
      </c>
      <c r="AEX24" s="144" t="s">
        <v>221</v>
      </c>
    </row>
    <row r="25" spans="1:830" ht="22.5" customHeight="1" x14ac:dyDescent="0.25">
      <c r="A25" s="36"/>
      <c r="B25" s="128" t="s">
        <v>437</v>
      </c>
      <c r="C25" s="160">
        <f>REKAP!$J$6</f>
        <v>0</v>
      </c>
      <c r="D25" s="124">
        <f>REKAP!$J$4</f>
        <v>0</v>
      </c>
      <c r="E25" s="159">
        <f>REKAP!$J$5</f>
        <v>0</v>
      </c>
      <c r="F25" s="36"/>
      <c r="G25" s="138" t="s">
        <v>219</v>
      </c>
      <c r="H25" s="4" t="s">
        <v>220</v>
      </c>
      <c r="I25" s="143"/>
      <c r="J25" s="141">
        <f t="shared" si="0"/>
        <v>0</v>
      </c>
      <c r="K25" s="7"/>
      <c r="L25" s="141"/>
      <c r="M25" s="7"/>
      <c r="N25" s="130"/>
      <c r="O25" s="130"/>
      <c r="P25" s="130"/>
      <c r="Q25" s="130"/>
      <c r="R25" s="130"/>
      <c r="S25" s="130"/>
      <c r="T25" s="130"/>
      <c r="U25" s="130"/>
      <c r="V25" s="130"/>
      <c r="W25" s="130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  <c r="CK25" s="130"/>
      <c r="CL25" s="130"/>
      <c r="CM25" s="130"/>
      <c r="CN25" s="130"/>
      <c r="CO25" s="130"/>
      <c r="CP25" s="130"/>
      <c r="CQ25" s="130"/>
      <c r="CR25" s="130"/>
      <c r="CS25" s="130"/>
      <c r="CT25" s="130"/>
      <c r="CU25" s="130"/>
      <c r="CV25" s="130"/>
      <c r="CW25" s="130"/>
      <c r="CX25" s="130"/>
      <c r="CY25" s="130"/>
      <c r="CZ25" s="130"/>
      <c r="DA25" s="130"/>
      <c r="DB25" s="130"/>
      <c r="DC25" s="130"/>
      <c r="DD25" s="130"/>
      <c r="DE25" s="130"/>
      <c r="DF25" s="130"/>
      <c r="DG25" s="130"/>
      <c r="DH25" s="130"/>
      <c r="DI25" s="130"/>
      <c r="DJ25" s="130"/>
      <c r="DK25" s="130"/>
      <c r="DL25" s="130"/>
      <c r="DM25" s="130"/>
      <c r="DN25" s="130"/>
      <c r="DO25" s="130"/>
      <c r="DP25" s="130"/>
      <c r="DQ25" s="130"/>
      <c r="DR25" s="130"/>
      <c r="DS25" s="130"/>
      <c r="DT25" s="130"/>
      <c r="DU25" s="130"/>
      <c r="DV25" s="130"/>
      <c r="DW25" s="130"/>
      <c r="DX25" s="130"/>
      <c r="DY25" s="130"/>
      <c r="DZ25" s="130"/>
      <c r="EA25" s="130"/>
      <c r="EB25" s="130"/>
      <c r="EC25" s="130"/>
      <c r="ED25" s="130"/>
      <c r="EE25" s="130"/>
      <c r="EF25" s="130"/>
      <c r="EG25" s="130"/>
      <c r="EH25" s="130"/>
      <c r="EI25" s="130"/>
      <c r="EJ25" s="130"/>
      <c r="EK25" s="130"/>
      <c r="EL25" s="130"/>
      <c r="EM25" s="130"/>
      <c r="EN25" s="130"/>
      <c r="EO25" s="130"/>
      <c r="EP25" s="130"/>
      <c r="EQ25" s="130"/>
      <c r="ER25" s="130"/>
      <c r="ES25" s="130"/>
      <c r="ET25" s="130"/>
      <c r="EU25" s="130"/>
      <c r="EV25" s="130"/>
      <c r="EW25" s="130"/>
      <c r="EX25" s="130"/>
      <c r="EY25" s="130"/>
      <c r="EZ25" s="130"/>
      <c r="FA25" s="130"/>
      <c r="FB25" s="130"/>
      <c r="FC25" s="130"/>
      <c r="FD25" s="130"/>
      <c r="FE25" s="130"/>
      <c r="FF25" s="130"/>
      <c r="FG25" s="130"/>
      <c r="FH25" s="130"/>
      <c r="FI25" s="130"/>
      <c r="FJ25" s="130"/>
      <c r="FK25" s="130"/>
      <c r="FL25" s="130"/>
      <c r="FM25" s="130"/>
      <c r="FN25" s="130"/>
      <c r="FO25" s="130"/>
      <c r="FP25" s="130"/>
      <c r="FQ25" s="130"/>
      <c r="FR25" s="130"/>
      <c r="FS25" s="130"/>
      <c r="FT25" s="130"/>
      <c r="FU25" s="130"/>
      <c r="FV25" s="130"/>
      <c r="FW25" s="130"/>
      <c r="FX25" s="130"/>
      <c r="FY25" s="130"/>
      <c r="FZ25" s="130"/>
      <c r="GA25" s="130"/>
      <c r="GB25" s="130"/>
      <c r="GC25" s="130"/>
      <c r="GD25" s="130"/>
      <c r="GE25" s="130"/>
      <c r="GF25" s="130"/>
      <c r="GG25" s="130"/>
      <c r="GH25" s="130"/>
      <c r="GI25" s="130"/>
      <c r="GJ25" s="130"/>
      <c r="GK25" s="130"/>
      <c r="GL25" s="130"/>
      <c r="GM25" s="130"/>
      <c r="GN25" s="130"/>
      <c r="GO25" s="130"/>
      <c r="GP25" s="130"/>
      <c r="GQ25" s="130"/>
      <c r="GR25" s="130"/>
      <c r="GS25" s="130"/>
      <c r="GT25" s="130"/>
      <c r="GU25" s="130"/>
      <c r="GV25" s="130"/>
      <c r="GW25" s="130"/>
      <c r="GX25" s="130"/>
      <c r="GY25" s="130"/>
      <c r="GZ25" s="130"/>
      <c r="HA25" s="130"/>
      <c r="HB25" s="130"/>
      <c r="HC25" s="130"/>
      <c r="HD25" s="130"/>
      <c r="HE25" s="130"/>
      <c r="HF25" s="130"/>
      <c r="HG25" s="130"/>
      <c r="HH25" s="130"/>
      <c r="HI25" s="130"/>
      <c r="HJ25" s="130"/>
      <c r="HK25" s="130"/>
      <c r="HL25" s="130"/>
      <c r="HM25" s="130"/>
      <c r="HN25" s="130"/>
      <c r="HO25" s="130"/>
      <c r="HP25" s="130"/>
      <c r="HQ25" s="130"/>
      <c r="HR25" s="130"/>
      <c r="HS25" s="130"/>
      <c r="HT25" s="130"/>
      <c r="HU25" s="130"/>
      <c r="HV25" s="130"/>
      <c r="HW25" s="130"/>
      <c r="HX25" s="130"/>
      <c r="HY25" s="130"/>
      <c r="HZ25" s="130"/>
      <c r="IA25" s="130"/>
      <c r="IB25" s="130"/>
      <c r="IC25" s="130"/>
      <c r="ID25" s="130"/>
      <c r="IE25" s="130"/>
      <c r="IF25" s="130"/>
      <c r="IG25" s="130"/>
      <c r="IH25" s="130"/>
      <c r="II25" s="130"/>
      <c r="IJ25" s="130"/>
      <c r="IK25" s="130"/>
      <c r="IL25" s="130"/>
      <c r="IM25" s="130"/>
      <c r="IN25" s="130"/>
      <c r="IO25" s="130"/>
      <c r="IP25" s="130"/>
      <c r="IQ25" s="130"/>
      <c r="IR25" s="130"/>
      <c r="IS25" s="130"/>
      <c r="IT25" s="130"/>
      <c r="IU25" s="130"/>
      <c r="IV25" s="130"/>
      <c r="IW25" s="130"/>
      <c r="IX25" s="130"/>
      <c r="IY25" s="130"/>
      <c r="IZ25" s="130"/>
      <c r="JA25" s="130"/>
      <c r="JB25" s="130"/>
      <c r="JC25" s="130"/>
      <c r="JD25" s="130"/>
      <c r="JE25" s="130"/>
      <c r="JF25" s="130"/>
      <c r="JG25" s="130"/>
      <c r="JH25" s="130"/>
      <c r="JI25" s="130"/>
      <c r="JJ25" s="130"/>
      <c r="JK25" s="130"/>
      <c r="JL25" s="130"/>
      <c r="JM25" s="130"/>
      <c r="JN25" s="130"/>
      <c r="JO25" s="130"/>
      <c r="JP25" s="130"/>
      <c r="JQ25" s="130"/>
      <c r="JR25" s="130"/>
      <c r="JS25" s="130"/>
      <c r="JT25" s="130"/>
      <c r="JU25" s="130"/>
      <c r="JV25" s="130"/>
      <c r="JW25" s="130"/>
      <c r="JX25" s="130"/>
      <c r="JY25" s="130"/>
      <c r="JZ25" s="140">
        <f>sd!$I$80</f>
        <v>0</v>
      </c>
      <c r="KA25" s="140">
        <f>sd!$I$81</f>
        <v>0</v>
      </c>
      <c r="KB25" s="140">
        <f>sd!$I$82</f>
        <v>0</v>
      </c>
      <c r="KC25" s="140">
        <f>sd!$I$83</f>
        <v>0</v>
      </c>
      <c r="KD25" s="140">
        <f>sd!$I$84</f>
        <v>0</v>
      </c>
      <c r="KE25" s="140">
        <f>sd!$I$85</f>
        <v>0</v>
      </c>
      <c r="KF25" s="130">
        <f>sd!$I$68</f>
        <v>0</v>
      </c>
      <c r="KG25" s="130">
        <f>sd!$I$69</f>
        <v>0</v>
      </c>
      <c r="KH25" s="130">
        <f>sd!$I$70</f>
        <v>0</v>
      </c>
      <c r="KI25" s="130">
        <f>sd!$I$71</f>
        <v>0</v>
      </c>
      <c r="KJ25" s="130">
        <f>sd!$I$72</f>
        <v>0</v>
      </c>
      <c r="KK25" s="130">
        <f>sd!$I$73</f>
        <v>0</v>
      </c>
      <c r="KL25" s="130">
        <f>sd!$U$12</f>
        <v>0</v>
      </c>
      <c r="KM25" s="130">
        <f>sd!$U$13</f>
        <v>0</v>
      </c>
      <c r="KN25" s="130">
        <f>sd!$U$14</f>
        <v>0</v>
      </c>
      <c r="KO25" s="130">
        <f>sd!$U$15</f>
        <v>0</v>
      </c>
      <c r="KP25" s="130">
        <f>sd!$U$16</f>
        <v>0</v>
      </c>
      <c r="KQ25" s="130">
        <f>sd!$U$17</f>
        <v>0</v>
      </c>
      <c r="KR25" s="140">
        <f>sd!$U8</f>
        <v>0</v>
      </c>
      <c r="KS25" s="140">
        <f>sd!$U9</f>
        <v>0</v>
      </c>
      <c r="KT25" s="140">
        <f>sd!$U10</f>
        <v>0</v>
      </c>
      <c r="KU25" s="140">
        <f>sd!$U11</f>
        <v>0</v>
      </c>
      <c r="KV25" s="140">
        <f>sd!$U12</f>
        <v>0</v>
      </c>
      <c r="KW25" s="140">
        <f>sd!$U13</f>
        <v>0</v>
      </c>
      <c r="KX25" s="130">
        <f>sd!I92</f>
        <v>0</v>
      </c>
      <c r="KY25" s="130">
        <f>sd!I93</f>
        <v>0</v>
      </c>
      <c r="KZ25" s="130">
        <f>SMP!$I$39</f>
        <v>0</v>
      </c>
      <c r="LA25" s="130">
        <f>SMP!$I$40</f>
        <v>0</v>
      </c>
      <c r="LB25" s="130">
        <f>SMP!$I$41</f>
        <v>0</v>
      </c>
      <c r="LC25" s="130">
        <f>SMP!$I$42</f>
        <v>0</v>
      </c>
      <c r="LD25" s="130">
        <f>SMP!$I$43</f>
        <v>0</v>
      </c>
      <c r="LE25" s="140">
        <f>SMP!$I$44</f>
        <v>0</v>
      </c>
      <c r="LF25" s="140">
        <f>SMP!$I$51</f>
        <v>0</v>
      </c>
      <c r="LG25" s="140">
        <f>SMP!$I$52</f>
        <v>0</v>
      </c>
      <c r="LH25" s="140">
        <f>SMP!$I$53</f>
        <v>0</v>
      </c>
      <c r="LI25" s="140">
        <f>SMP!$I$72</f>
        <v>0</v>
      </c>
      <c r="LJ25" s="140">
        <f>SMP!$I$73</f>
        <v>0</v>
      </c>
      <c r="LK25" s="140">
        <f>SMP!$I$74</f>
        <v>0</v>
      </c>
      <c r="LL25" s="140">
        <f>SMP!$I$66</f>
        <v>0</v>
      </c>
      <c r="LM25" s="140">
        <f>SMP!$I$67</f>
        <v>0</v>
      </c>
      <c r="LN25" s="140">
        <f>SMP!$I$68</f>
        <v>0</v>
      </c>
      <c r="LO25" s="130">
        <f>SMP!$I69</f>
        <v>0</v>
      </c>
      <c r="LP25" s="130">
        <f>SMP!$I70</f>
        <v>0</v>
      </c>
      <c r="LQ25" s="130">
        <f>SMP!$I71</f>
        <v>0</v>
      </c>
      <c r="LR25" s="130">
        <f>SMA!$I$12</f>
        <v>0</v>
      </c>
      <c r="LS25" s="130">
        <f>SMA!$I$13</f>
        <v>0</v>
      </c>
      <c r="LT25" s="130">
        <f>SMA!$I$42</f>
        <v>0</v>
      </c>
      <c r="LU25" s="140">
        <f>SMA!$I$43</f>
        <v>0</v>
      </c>
      <c r="LV25" s="140">
        <f>SMA!$I$64</f>
        <v>0</v>
      </c>
      <c r="LW25" s="140">
        <f>SMA!$I$65</f>
        <v>0</v>
      </c>
      <c r="LX25" s="140">
        <f>SMA!$I$66</f>
        <v>0</v>
      </c>
      <c r="LY25" s="140">
        <f>SMA!$I$67</f>
        <v>0</v>
      </c>
      <c r="LZ25" s="140">
        <f>SMA!$I$68</f>
        <v>0</v>
      </c>
      <c r="MA25" s="140">
        <f>SMA!$I$69</f>
        <v>0</v>
      </c>
      <c r="MB25" s="140">
        <f>SMA!$I$76</f>
        <v>0</v>
      </c>
      <c r="MC25" s="140">
        <f>SMA!$I$77</f>
        <v>0</v>
      </c>
      <c r="MD25" s="140">
        <f>SMA!$I$78</f>
        <v>0</v>
      </c>
      <c r="ME25" s="140">
        <f>SMA!$I$97</f>
        <v>0</v>
      </c>
      <c r="MF25" s="140">
        <f>SMA!$I$98</f>
        <v>0</v>
      </c>
      <c r="MG25" s="140">
        <f>SMA!$I$99</f>
        <v>0</v>
      </c>
      <c r="MH25" s="140">
        <f>SMA!$I$91</f>
        <v>0</v>
      </c>
      <c r="MI25" s="140">
        <f>SMA!$I$92</f>
        <v>0</v>
      </c>
      <c r="MJ25" s="140">
        <f>SMA!$I$93</f>
        <v>0</v>
      </c>
      <c r="MK25" s="140">
        <f>SMA!$I$94</f>
        <v>0</v>
      </c>
      <c r="ML25" s="140">
        <f>SMA!$I$95</f>
        <v>0</v>
      </c>
      <c r="MM25" s="140">
        <f>SMA!$I$96</f>
        <v>0</v>
      </c>
      <c r="MN25" s="140">
        <f>SMK!$I11</f>
        <v>0</v>
      </c>
      <c r="MO25" s="140">
        <f>SMK!$I12</f>
        <v>0</v>
      </c>
      <c r="MP25" s="140">
        <f>SMK!$I13</f>
        <v>0</v>
      </c>
      <c r="MQ25" s="130"/>
      <c r="MR25" s="130"/>
      <c r="MS25" s="130"/>
      <c r="MT25" s="130"/>
      <c r="MU25" s="130"/>
      <c r="MV25" s="130"/>
      <c r="MW25" s="130"/>
      <c r="MX25" s="130"/>
      <c r="MY25" s="130"/>
      <c r="MZ25" s="130"/>
      <c r="NA25" s="130"/>
      <c r="NB25" s="130"/>
      <c r="NC25" s="130"/>
      <c r="ND25" s="130"/>
      <c r="NE25" s="130"/>
      <c r="NF25" s="130"/>
      <c r="NG25" s="130"/>
      <c r="NH25" s="130"/>
      <c r="NI25" s="130"/>
      <c r="NJ25" s="130"/>
      <c r="NK25" s="130"/>
      <c r="NL25" s="130"/>
      <c r="NM25" s="130"/>
      <c r="NN25" s="130"/>
      <c r="NO25" s="130"/>
      <c r="NP25" s="130"/>
      <c r="NQ25" s="130"/>
      <c r="NR25" s="130"/>
      <c r="NS25" s="130"/>
      <c r="NT25" s="130"/>
      <c r="NU25" s="130"/>
      <c r="NV25" s="130"/>
      <c r="NW25" s="130"/>
      <c r="NX25" s="130"/>
      <c r="NY25" s="130"/>
      <c r="NZ25" s="130"/>
      <c r="OA25" s="130"/>
      <c r="OB25" s="130"/>
      <c r="OC25" s="130"/>
      <c r="OD25" s="130"/>
      <c r="OE25" s="130"/>
      <c r="OF25" s="130"/>
      <c r="OG25" s="130"/>
      <c r="OH25" s="130"/>
      <c r="OI25" s="130"/>
      <c r="OJ25" s="130"/>
      <c r="OK25" s="130"/>
      <c r="OL25" s="130"/>
      <c r="OM25" s="130"/>
      <c r="ON25" s="130"/>
      <c r="OO25" s="130"/>
      <c r="OP25" s="130"/>
      <c r="OQ25" s="130"/>
      <c r="OR25" s="130"/>
      <c r="OS25" s="130"/>
      <c r="OT25" s="130"/>
      <c r="OU25" s="130"/>
      <c r="OV25" s="130"/>
      <c r="OW25" s="130"/>
      <c r="OX25" s="130"/>
      <c r="OY25" s="130"/>
      <c r="OZ25" s="130"/>
      <c r="PA25" s="130"/>
      <c r="PB25" s="130"/>
      <c r="PC25" s="130"/>
      <c r="PD25" s="130"/>
      <c r="PE25" s="130"/>
      <c r="PF25" s="130"/>
      <c r="PG25" s="130"/>
      <c r="PH25" s="130"/>
      <c r="PI25" s="130"/>
      <c r="PJ25" s="130"/>
      <c r="PK25" s="130"/>
      <c r="PL25" s="130"/>
      <c r="PM25" s="130"/>
      <c r="PN25" s="130"/>
      <c r="PO25" s="130"/>
      <c r="PP25" s="130"/>
      <c r="PQ25" s="130"/>
      <c r="PR25" s="130"/>
      <c r="PS25" s="130"/>
      <c r="PT25" s="130"/>
      <c r="PU25" s="130"/>
      <c r="PV25" s="130"/>
      <c r="PW25" s="130"/>
      <c r="PX25" s="130"/>
      <c r="PY25" s="130"/>
      <c r="PZ25" s="130"/>
      <c r="QA25" s="130"/>
      <c r="QB25" s="130"/>
      <c r="QC25" s="130"/>
      <c r="QD25" s="130"/>
      <c r="QE25" s="130"/>
      <c r="QF25" s="130"/>
      <c r="QG25" s="130"/>
      <c r="QH25" s="130"/>
      <c r="QI25" s="130"/>
      <c r="QJ25" s="130"/>
      <c r="QK25" s="130"/>
      <c r="QL25" s="130"/>
      <c r="QM25" s="130"/>
      <c r="QN25" s="130"/>
      <c r="QO25" s="130"/>
      <c r="QP25" s="130"/>
      <c r="QQ25" s="130"/>
      <c r="QR25" s="130"/>
      <c r="QS25" s="130"/>
      <c r="QT25" s="130"/>
      <c r="QU25" s="130"/>
      <c r="QV25" s="130"/>
      <c r="QW25" s="130"/>
      <c r="QX25" s="130"/>
      <c r="QY25" s="130"/>
      <c r="QZ25" s="130"/>
      <c r="RA25" s="130"/>
      <c r="RB25" s="130"/>
      <c r="RC25" s="130"/>
      <c r="RD25" s="130"/>
      <c r="RE25" s="130"/>
      <c r="RF25" s="130"/>
      <c r="RG25" s="130"/>
      <c r="RH25" s="130"/>
      <c r="RI25" s="130"/>
      <c r="RJ25" s="130"/>
      <c r="RK25" s="130"/>
      <c r="RL25" s="130"/>
      <c r="RM25" s="130"/>
      <c r="RN25" s="130"/>
      <c r="RO25" s="130"/>
      <c r="RP25" s="130"/>
      <c r="RQ25" s="130"/>
      <c r="RR25" s="130"/>
      <c r="RS25" s="130"/>
      <c r="RT25" s="130"/>
      <c r="RU25" s="130"/>
      <c r="RV25" s="130"/>
      <c r="RW25" s="130"/>
      <c r="RX25" s="130"/>
      <c r="RY25" s="130"/>
      <c r="RZ25" s="130"/>
      <c r="SA25" s="130"/>
      <c r="SB25" s="130"/>
      <c r="SC25" s="130"/>
      <c r="SD25" s="130"/>
      <c r="SE25" s="130"/>
      <c r="SF25" s="130"/>
      <c r="SG25" s="130"/>
      <c r="SH25" s="130"/>
      <c r="SI25" s="130"/>
      <c r="SJ25" s="130"/>
      <c r="SK25" s="130"/>
      <c r="SL25" s="130"/>
      <c r="SM25" s="130"/>
      <c r="SN25" s="130"/>
      <c r="SO25" s="130"/>
      <c r="SP25" s="130"/>
      <c r="SQ25" s="130"/>
      <c r="SR25" s="130"/>
      <c r="SS25" s="130"/>
      <c r="ST25" s="130"/>
      <c r="SU25" s="130"/>
      <c r="SV25" s="130"/>
      <c r="SW25" s="130"/>
      <c r="SX25" s="130"/>
      <c r="SY25" s="130"/>
      <c r="SZ25" s="130"/>
      <c r="TA25" s="130"/>
      <c r="TB25" s="130"/>
      <c r="TC25" s="130"/>
      <c r="TD25" s="130"/>
      <c r="TE25" s="130"/>
      <c r="TF25" s="130"/>
      <c r="TG25" s="130"/>
      <c r="TH25" s="130"/>
      <c r="TI25" s="130"/>
      <c r="TJ25" s="130"/>
      <c r="TK25" s="130"/>
      <c r="TL25" s="130"/>
      <c r="TM25" s="130"/>
      <c r="TN25" s="130"/>
      <c r="TO25" s="130"/>
      <c r="TP25" s="130"/>
      <c r="TQ25" s="130"/>
      <c r="TR25" s="130"/>
      <c r="TS25" s="130"/>
      <c r="TT25" s="130"/>
      <c r="TU25" s="130"/>
      <c r="TV25" s="130"/>
      <c r="TW25" s="130"/>
      <c r="TX25" s="130"/>
      <c r="TY25" s="130"/>
      <c r="TZ25" s="130"/>
      <c r="UA25" s="130"/>
      <c r="UB25" s="130"/>
      <c r="UC25" s="130"/>
      <c r="UD25" s="130"/>
      <c r="UE25" s="130"/>
      <c r="UF25" s="130"/>
      <c r="UG25" s="130"/>
      <c r="UH25" s="130"/>
      <c r="UI25" s="130"/>
      <c r="UJ25" s="130"/>
      <c r="UK25" s="130"/>
      <c r="UL25" s="130"/>
      <c r="UM25" s="130"/>
      <c r="UN25" s="130"/>
      <c r="UO25" s="130"/>
      <c r="UP25" s="130"/>
      <c r="UQ25" s="130"/>
      <c r="UR25" s="130"/>
      <c r="US25" s="130"/>
      <c r="UT25" s="130"/>
      <c r="UU25" s="130"/>
      <c r="UV25" s="130"/>
      <c r="UW25" s="130"/>
      <c r="UX25" s="130"/>
      <c r="UY25" s="130"/>
      <c r="UZ25" s="130"/>
      <c r="VA25" s="130"/>
      <c r="VB25" s="130"/>
      <c r="VC25" s="130"/>
      <c r="VD25" s="130"/>
      <c r="VE25" s="130"/>
      <c r="VF25" s="130"/>
      <c r="VG25" s="130"/>
      <c r="VH25" s="130"/>
      <c r="VI25" s="130"/>
      <c r="VJ25" s="130"/>
      <c r="VK25" s="130"/>
      <c r="VL25" s="130"/>
      <c r="VM25" s="130"/>
      <c r="VN25" s="130"/>
      <c r="VO25" s="130"/>
      <c r="VP25" s="130"/>
      <c r="VQ25" s="130"/>
      <c r="VR25" s="130"/>
      <c r="VS25" s="130"/>
      <c r="VT25" s="130"/>
      <c r="VU25" s="130"/>
      <c r="VV25" s="130"/>
      <c r="VW25" s="130"/>
      <c r="VX25" s="130"/>
      <c r="VY25" s="130"/>
      <c r="VZ25" s="130"/>
      <c r="WA25" s="130"/>
      <c r="WB25" s="130"/>
      <c r="WC25" s="130"/>
      <c r="WD25" s="130"/>
      <c r="WE25" s="130"/>
      <c r="WF25" s="130"/>
      <c r="WG25" s="130"/>
      <c r="WH25" s="130"/>
      <c r="WI25" s="130"/>
      <c r="WJ25" s="130"/>
      <c r="WK25" s="130"/>
      <c r="WL25" s="130"/>
      <c r="WM25" s="130"/>
      <c r="WN25" s="130"/>
      <c r="WO25" s="130"/>
      <c r="WP25" s="130"/>
      <c r="WQ25" s="130"/>
      <c r="WR25" s="130"/>
      <c r="WS25" s="130"/>
      <c r="WT25" s="130"/>
      <c r="WU25" s="130"/>
      <c r="WV25" s="130"/>
      <c r="WW25" s="130"/>
      <c r="WX25" s="130"/>
      <c r="WY25" s="130"/>
      <c r="WZ25" s="130"/>
      <c r="XA25" s="130"/>
      <c r="XB25" s="130"/>
      <c r="XC25" s="130"/>
      <c r="XD25" s="130"/>
      <c r="XE25" s="130"/>
      <c r="XF25" s="130"/>
      <c r="XG25" s="130"/>
      <c r="XH25" s="130"/>
      <c r="XI25" s="130"/>
      <c r="XJ25" s="130"/>
      <c r="XK25" s="130"/>
      <c r="XL25" s="130"/>
      <c r="XM25" s="130"/>
      <c r="XN25" s="130"/>
      <c r="XO25" s="130"/>
      <c r="XP25" s="130"/>
      <c r="XQ25" s="130"/>
      <c r="XR25" s="130"/>
      <c r="XS25" s="130"/>
      <c r="XT25" s="130"/>
      <c r="XU25" s="130"/>
      <c r="XV25" s="130"/>
      <c r="XW25" s="130"/>
      <c r="XX25" s="130"/>
      <c r="XY25" s="130"/>
      <c r="XZ25" s="130"/>
      <c r="YA25" s="130"/>
      <c r="YB25" s="130"/>
      <c r="YC25" s="130"/>
      <c r="YD25" s="130"/>
      <c r="YE25" s="130"/>
      <c r="YF25" s="130"/>
      <c r="YG25" s="130"/>
      <c r="YH25" s="130"/>
      <c r="YI25" s="130"/>
      <c r="YJ25" s="130"/>
      <c r="YK25" s="130"/>
      <c r="YL25" s="130"/>
      <c r="YM25" s="130"/>
      <c r="YN25" s="130"/>
      <c r="YO25" s="130"/>
      <c r="YP25" s="130"/>
      <c r="YQ25" s="130"/>
      <c r="YR25" s="130"/>
      <c r="YS25" s="130"/>
      <c r="YT25" s="130"/>
      <c r="YU25" s="130"/>
      <c r="YV25" s="130"/>
      <c r="YW25" s="130"/>
      <c r="YX25" s="130"/>
      <c r="YY25" s="130"/>
      <c r="YZ25" s="130"/>
      <c r="ZA25" s="130"/>
      <c r="ZB25" s="130"/>
      <c r="ZC25" s="130"/>
      <c r="ZD25" s="130"/>
      <c r="ZE25" s="130"/>
      <c r="ZF25" s="130"/>
      <c r="ZG25" s="130"/>
      <c r="ZH25" s="130"/>
      <c r="ZI25" s="130"/>
      <c r="ZJ25" s="130"/>
      <c r="ZK25" s="130"/>
      <c r="ZL25" s="130"/>
      <c r="ZM25" s="130"/>
      <c r="ZN25" s="130"/>
      <c r="ZO25" s="130"/>
      <c r="ZP25" s="130"/>
      <c r="ZQ25" s="130"/>
      <c r="ZR25" s="130"/>
      <c r="ZS25" s="130"/>
      <c r="ZT25" s="130"/>
      <c r="ZU25" s="130"/>
      <c r="ZV25" s="130"/>
      <c r="ZW25" s="130"/>
      <c r="ZX25" s="130"/>
      <c r="ZY25" s="130"/>
      <c r="ZZ25" s="130"/>
      <c r="AAA25" s="130"/>
      <c r="AAB25" s="130"/>
      <c r="AAC25" s="130"/>
      <c r="AAD25" s="130"/>
      <c r="AAE25" s="130"/>
      <c r="AAF25" s="130"/>
      <c r="AAG25" s="130"/>
      <c r="AAH25" s="130"/>
      <c r="AAI25" s="130"/>
      <c r="AAJ25" s="130"/>
      <c r="AAK25" s="130"/>
      <c r="AAL25" s="130"/>
      <c r="AAM25" s="130"/>
      <c r="AAN25" s="130"/>
      <c r="AAO25" s="130"/>
      <c r="AAP25" s="130"/>
      <c r="AAQ25" s="130"/>
      <c r="AAR25" s="130"/>
      <c r="AAS25" s="130"/>
      <c r="AAT25" s="130"/>
      <c r="AAU25" s="130"/>
      <c r="AAV25" s="130"/>
      <c r="AAW25" s="130"/>
      <c r="AAX25" s="130"/>
      <c r="AAY25" s="130"/>
      <c r="AAZ25" s="130"/>
      <c r="ABA25" s="130"/>
      <c r="ABB25" s="130"/>
      <c r="ABC25" s="130"/>
      <c r="ABD25" s="130"/>
      <c r="ABE25" s="130"/>
      <c r="ABF25" s="130"/>
      <c r="ABG25" s="130"/>
      <c r="ABH25" s="130"/>
      <c r="ABI25" s="130"/>
      <c r="ABJ25" s="130"/>
      <c r="ABK25" s="130"/>
      <c r="ABL25" s="130"/>
      <c r="ABM25" s="130"/>
      <c r="ABN25" s="130"/>
      <c r="ABO25" s="130"/>
      <c r="ABP25" s="130"/>
      <c r="ABQ25" s="130"/>
      <c r="ABR25" s="130"/>
      <c r="ABS25" s="130"/>
      <c r="ABT25" s="130"/>
      <c r="ABU25" s="130"/>
      <c r="ABV25" s="130"/>
      <c r="ABW25" s="130"/>
      <c r="ABX25" s="130"/>
      <c r="ABY25" s="130"/>
      <c r="ABZ25" s="130"/>
      <c r="ACA25" s="130"/>
      <c r="ACB25" s="130"/>
      <c r="ACC25" s="130"/>
      <c r="ACD25" s="130"/>
      <c r="ACE25" s="130"/>
      <c r="ACF25" s="130"/>
      <c r="ACG25" s="130"/>
      <c r="ACH25" s="130"/>
      <c r="ACI25" s="130"/>
      <c r="ACJ25" s="130"/>
      <c r="ACK25" s="130"/>
      <c r="ACL25" s="130"/>
      <c r="ACM25" s="130"/>
      <c r="ACN25" s="130"/>
      <c r="ACO25" s="130"/>
      <c r="ACP25" s="130"/>
      <c r="ACQ25" s="130"/>
      <c r="ACR25" s="130"/>
      <c r="ACS25" s="130"/>
      <c r="ACT25" s="130"/>
      <c r="ACU25" s="130"/>
      <c r="ACV25" s="130"/>
      <c r="ACW25" s="130"/>
      <c r="ACX25" s="130"/>
      <c r="ACY25" s="130"/>
      <c r="ACZ25" s="130"/>
      <c r="ADA25" s="130"/>
      <c r="ADB25" s="130"/>
      <c r="ADC25" s="130"/>
      <c r="ADD25" s="130"/>
      <c r="ADE25" s="130"/>
      <c r="ADF25" s="130"/>
      <c r="ADG25" s="130"/>
      <c r="ADH25" s="130"/>
      <c r="ADI25" s="130"/>
      <c r="ADJ25" s="130"/>
      <c r="ADK25" s="130"/>
      <c r="ADL25" s="130"/>
      <c r="ADM25" s="130"/>
      <c r="ADN25" s="130"/>
      <c r="ADO25" s="130"/>
      <c r="ADP25" s="130"/>
      <c r="ADQ25" s="130"/>
      <c r="ADR25" s="130"/>
      <c r="ADS25" s="130"/>
      <c r="ADT25" s="130"/>
      <c r="ADU25" s="130"/>
      <c r="ADV25" s="130"/>
      <c r="ADW25" s="130"/>
      <c r="ADX25" s="130"/>
      <c r="ADY25" s="130"/>
      <c r="ADZ25" s="130"/>
      <c r="AEA25" s="130"/>
      <c r="AEB25" s="130"/>
      <c r="AEC25" s="130"/>
      <c r="AED25" s="130"/>
      <c r="AEE25" s="130"/>
      <c r="AEF25" s="130"/>
      <c r="AEG25" s="130"/>
      <c r="AEH25" s="130"/>
      <c r="AEI25" s="130"/>
      <c r="AEJ25" s="130"/>
      <c r="AEK25" s="130"/>
      <c r="AEL25" s="130"/>
      <c r="AEM25" s="130"/>
      <c r="AEN25" s="130"/>
      <c r="AEO25" s="130"/>
      <c r="AEP25" s="130"/>
      <c r="AEQ25" s="130"/>
      <c r="AER25" s="130"/>
      <c r="AES25" s="130"/>
      <c r="AET25" s="130"/>
      <c r="AEU25" s="130"/>
      <c r="AEV25" s="130"/>
      <c r="AEW25" s="130"/>
    </row>
    <row r="26" spans="1:830" ht="22.5" customHeight="1" x14ac:dyDescent="0.25">
      <c r="A26" s="36"/>
      <c r="B26" s="128" t="s">
        <v>407</v>
      </c>
      <c r="C26" s="160">
        <f>REKAP!$J$6</f>
        <v>0</v>
      </c>
      <c r="D26" s="124">
        <f>REKAP!$J$4</f>
        <v>0</v>
      </c>
      <c r="E26" s="159">
        <f>REKAP!$J$5</f>
        <v>0</v>
      </c>
      <c r="F26" s="36"/>
      <c r="G26" s="138" t="s">
        <v>218</v>
      </c>
      <c r="H26" s="4" t="s">
        <v>220</v>
      </c>
      <c r="I26" s="143"/>
      <c r="J26" s="141">
        <f t="shared" si="0"/>
        <v>0</v>
      </c>
      <c r="K26" s="7"/>
      <c r="L26" s="7"/>
      <c r="M26" s="7"/>
      <c r="N26" s="130"/>
      <c r="O26" s="7"/>
      <c r="P26" s="7"/>
      <c r="Q26" s="7"/>
      <c r="R26" s="7"/>
      <c r="S26" s="7"/>
      <c r="T26" s="130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130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130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140"/>
      <c r="CA26" s="7"/>
      <c r="CB26" s="7"/>
      <c r="CC26" s="7"/>
      <c r="CD26" s="7"/>
      <c r="CE26" s="7"/>
      <c r="CF26" s="7"/>
      <c r="CG26" s="7"/>
      <c r="CH26" s="7"/>
      <c r="CI26" s="7"/>
      <c r="CJ26" s="129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130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130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140"/>
      <c r="GX26" s="7"/>
      <c r="GY26" s="7"/>
      <c r="GZ26" s="7"/>
      <c r="HA26" s="7"/>
      <c r="HB26" s="140"/>
      <c r="HC26" s="140"/>
      <c r="HD26" s="140"/>
      <c r="HE26" s="140"/>
      <c r="HF26" s="140"/>
      <c r="HG26" s="140"/>
      <c r="HH26" s="140"/>
      <c r="HI26" s="140"/>
      <c r="HJ26" s="140"/>
      <c r="HK26" s="140"/>
      <c r="HL26" s="140"/>
      <c r="HM26" s="140"/>
      <c r="HN26" s="140"/>
      <c r="HO26" s="140"/>
      <c r="HP26" s="140"/>
      <c r="HQ26" s="140"/>
      <c r="HR26" s="140"/>
      <c r="HS26" s="140"/>
      <c r="HT26" s="140"/>
      <c r="HU26" s="140"/>
      <c r="HV26" s="140"/>
      <c r="HW26" s="140"/>
      <c r="HX26" s="140"/>
      <c r="HY26" s="140"/>
      <c r="HZ26" s="140"/>
      <c r="IA26" s="140"/>
      <c r="IB26" s="140"/>
      <c r="IC26" s="140"/>
      <c r="ID26" s="140"/>
      <c r="IE26" s="140"/>
      <c r="IF26" s="140"/>
      <c r="IG26" s="140"/>
      <c r="IH26" s="140"/>
      <c r="II26" s="140"/>
      <c r="IJ26" s="140"/>
      <c r="IK26" s="140"/>
      <c r="IL26" s="140"/>
      <c r="IM26" s="140"/>
      <c r="IN26" s="140"/>
      <c r="IO26" s="140"/>
      <c r="IP26" s="140"/>
      <c r="IQ26" s="140"/>
      <c r="IR26" s="140"/>
      <c r="IS26" s="140"/>
      <c r="IT26" s="140"/>
      <c r="IU26" s="140"/>
      <c r="IV26" s="140"/>
      <c r="IW26" s="140"/>
      <c r="IX26" s="140"/>
      <c r="IY26" s="140"/>
      <c r="IZ26" s="140"/>
      <c r="JA26" s="140"/>
      <c r="JB26" s="140"/>
      <c r="JC26" s="140"/>
      <c r="JD26" s="140"/>
      <c r="JE26" s="140"/>
      <c r="JF26" s="140"/>
      <c r="JG26" s="140"/>
      <c r="JH26" s="140"/>
      <c r="JI26" s="140"/>
      <c r="JJ26" s="140"/>
      <c r="JK26" s="140"/>
      <c r="JL26" s="140"/>
      <c r="JM26" s="140"/>
      <c r="JN26" s="140"/>
      <c r="JO26" s="140"/>
      <c r="JP26" s="140"/>
      <c r="JQ26" s="140"/>
      <c r="JR26" s="140"/>
      <c r="JS26" s="140"/>
      <c r="JT26" s="140"/>
      <c r="JU26" s="140"/>
      <c r="JV26" s="140"/>
      <c r="JW26" s="140"/>
      <c r="JX26" s="140"/>
      <c r="JY26" s="140"/>
      <c r="JZ26" s="140"/>
      <c r="KA26" s="140"/>
      <c r="KB26" s="140"/>
      <c r="KC26" s="140"/>
      <c r="KD26" s="140"/>
      <c r="KE26" s="140"/>
      <c r="KF26" s="140"/>
      <c r="KG26" s="4"/>
      <c r="KH26" s="7"/>
      <c r="KI26" s="7"/>
      <c r="KJ26" s="7"/>
      <c r="KK26" s="7"/>
      <c r="KL26" s="7"/>
      <c r="KM26" s="7"/>
      <c r="KN26" s="7"/>
      <c r="KO26" s="7"/>
      <c r="KP26" s="7"/>
      <c r="KQ26" s="7"/>
      <c r="KR26" s="140"/>
      <c r="KS26" s="7"/>
      <c r="KT26" s="7"/>
      <c r="KU26" s="7"/>
      <c r="KV26" s="7"/>
      <c r="KW26" s="7"/>
      <c r="KX26" s="7"/>
      <c r="KY26" s="7"/>
      <c r="KZ26" s="7"/>
      <c r="LA26" s="7"/>
      <c r="LB26" s="7"/>
      <c r="LC26" s="7"/>
      <c r="LD26" s="7"/>
      <c r="LE26" s="7"/>
      <c r="LF26" s="7"/>
      <c r="LG26" s="140"/>
      <c r="LH26" s="7"/>
      <c r="LI26" s="7"/>
      <c r="LJ26" s="7"/>
      <c r="LK26" s="7"/>
      <c r="LL26" s="7"/>
      <c r="LM26" s="7"/>
      <c r="LN26" s="7"/>
      <c r="LO26" s="7"/>
      <c r="LP26" s="7"/>
      <c r="LQ26" s="7"/>
      <c r="LR26" s="7"/>
      <c r="LS26" s="7"/>
      <c r="LT26" s="7"/>
      <c r="LU26" s="140"/>
      <c r="LV26" s="7"/>
      <c r="LW26" s="7"/>
      <c r="LX26" s="140"/>
      <c r="LY26" s="7"/>
      <c r="LZ26" s="7"/>
      <c r="MA26" s="140"/>
      <c r="MB26" s="7"/>
      <c r="MC26" s="7"/>
      <c r="MD26" s="7"/>
      <c r="ME26" s="7"/>
      <c r="MF26" s="7"/>
      <c r="MG26" s="140"/>
      <c r="MH26" s="140"/>
      <c r="MI26" s="140"/>
      <c r="MJ26" s="140"/>
      <c r="MK26" s="140"/>
      <c r="ML26" s="140"/>
      <c r="MM26" s="140"/>
      <c r="MN26" s="140"/>
      <c r="MO26" s="140"/>
      <c r="MP26" s="140"/>
      <c r="MQ26" s="140">
        <f>SMA!$R$6</f>
        <v>0</v>
      </c>
      <c r="MR26" s="140">
        <f>SMA!$R$7</f>
        <v>0</v>
      </c>
      <c r="MS26" s="140">
        <f>SMA!$R$8</f>
        <v>0</v>
      </c>
      <c r="MT26" s="140">
        <f>SMA!$R$9</f>
        <v>0</v>
      </c>
      <c r="MU26" s="140">
        <f>SMA!$R$10</f>
        <v>0</v>
      </c>
      <c r="MV26" s="140">
        <f>SMA!$R$11</f>
        <v>0</v>
      </c>
      <c r="MW26" s="140">
        <f>SMA!$R$12</f>
        <v>0</v>
      </c>
      <c r="MX26" s="140">
        <f>SMA!$R$13</f>
        <v>0</v>
      </c>
      <c r="MY26" s="140">
        <f>SMA!$R$14</f>
        <v>0</v>
      </c>
      <c r="MZ26" s="140">
        <f>SMA!$R$15</f>
        <v>0</v>
      </c>
      <c r="NA26" s="140">
        <f>SMA!$R$16</f>
        <v>0</v>
      </c>
      <c r="NB26" s="140">
        <f>SMA!$R$17</f>
        <v>0</v>
      </c>
      <c r="NC26" s="140">
        <f>SMA!$R$18</f>
        <v>0</v>
      </c>
      <c r="ND26" s="140">
        <f>SMA!$R$19</f>
        <v>0</v>
      </c>
      <c r="NE26" s="140">
        <f>SMA!$R$20</f>
        <v>0</v>
      </c>
      <c r="NF26" s="140">
        <f>SMA!$R$21</f>
        <v>0</v>
      </c>
      <c r="NG26" s="140">
        <f>SMA!$R$22</f>
        <v>0</v>
      </c>
      <c r="NH26" s="140"/>
      <c r="NI26" s="7"/>
      <c r="NJ26" s="7"/>
      <c r="NK26" s="7"/>
      <c r="NL26" s="7"/>
      <c r="NM26" s="7"/>
      <c r="NN26" s="7"/>
      <c r="NO26" s="7"/>
      <c r="NP26" s="7"/>
      <c r="NQ26" s="7"/>
      <c r="NR26" s="7"/>
      <c r="NS26" s="7"/>
      <c r="NT26" s="7"/>
      <c r="NU26" s="7"/>
      <c r="NV26" s="7"/>
      <c r="NW26" s="7"/>
      <c r="NX26" s="7"/>
      <c r="NY26" s="7"/>
      <c r="NZ26" s="7"/>
      <c r="OA26" s="7"/>
      <c r="OB26" s="7"/>
      <c r="OC26" s="7"/>
      <c r="OD26" s="7"/>
      <c r="OE26" s="7"/>
      <c r="OF26" s="7"/>
      <c r="OG26" s="7"/>
      <c r="OH26" s="7"/>
      <c r="OI26" s="7"/>
      <c r="OJ26" s="7"/>
      <c r="OK26" s="7"/>
      <c r="OL26" s="7"/>
      <c r="OM26" s="7"/>
      <c r="ON26" s="7"/>
      <c r="OO26" s="7"/>
      <c r="OP26" s="7"/>
      <c r="OQ26" s="7"/>
      <c r="OR26" s="7"/>
      <c r="OS26" s="7"/>
      <c r="OT26" s="7"/>
      <c r="OU26" s="7"/>
      <c r="OV26" s="7"/>
      <c r="OW26" s="7"/>
      <c r="OX26" s="7"/>
      <c r="OY26" s="7"/>
      <c r="OZ26" s="7"/>
      <c r="PA26" s="7"/>
      <c r="PB26" s="36"/>
      <c r="PC26" s="7"/>
      <c r="PD26" s="7"/>
      <c r="PE26" s="7"/>
      <c r="PF26" s="7"/>
      <c r="PG26" s="7"/>
      <c r="PH26" s="7"/>
      <c r="PI26" s="7"/>
      <c r="PJ26" s="7"/>
      <c r="PK26" s="7"/>
      <c r="PL26" s="7"/>
      <c r="PM26" s="7"/>
      <c r="PN26" s="7"/>
      <c r="PO26" s="7"/>
      <c r="PP26" s="7"/>
      <c r="PQ26" s="7"/>
      <c r="PR26" s="7"/>
      <c r="PS26" s="7"/>
      <c r="PT26" s="7"/>
      <c r="PU26" s="7"/>
      <c r="PV26" s="7"/>
      <c r="PW26" s="7"/>
      <c r="PX26" s="7"/>
      <c r="PY26" s="7"/>
      <c r="PZ26" s="7"/>
      <c r="QA26" s="7"/>
      <c r="QB26" s="7"/>
      <c r="QC26" s="7"/>
      <c r="QD26" s="7"/>
      <c r="QE26" s="7"/>
      <c r="QF26" s="7"/>
      <c r="QG26" s="7"/>
      <c r="QH26" s="7"/>
      <c r="QI26" s="7"/>
      <c r="QJ26" s="7"/>
      <c r="QK26" s="7"/>
      <c r="QL26" s="7"/>
      <c r="QM26" s="7"/>
      <c r="QN26" s="7"/>
      <c r="QO26" s="7"/>
      <c r="QP26" s="7"/>
      <c r="QQ26" s="7"/>
      <c r="QR26" s="7"/>
      <c r="QS26" s="7"/>
      <c r="QT26" s="7"/>
      <c r="QU26" s="7"/>
      <c r="QV26" s="7"/>
      <c r="QW26" s="7"/>
      <c r="QX26" s="7"/>
      <c r="QY26" s="7"/>
      <c r="QZ26" s="7"/>
      <c r="RA26" s="7"/>
      <c r="RB26" s="7"/>
      <c r="RC26" s="7"/>
      <c r="RD26" s="7"/>
      <c r="RE26" s="7"/>
      <c r="RF26" s="7"/>
      <c r="RG26" s="7"/>
      <c r="RH26" s="7"/>
      <c r="RI26" s="7"/>
      <c r="RJ26" s="7"/>
      <c r="RK26" s="7"/>
      <c r="RL26" s="7"/>
      <c r="RM26" s="7"/>
      <c r="RN26" s="7"/>
      <c r="RO26" s="36"/>
      <c r="RP26" s="7"/>
      <c r="RQ26" s="7"/>
      <c r="RR26" s="7"/>
      <c r="RS26" s="7"/>
      <c r="RT26" s="7"/>
      <c r="RU26" s="7"/>
      <c r="RV26" s="7"/>
      <c r="RW26" s="7"/>
      <c r="RX26" s="7"/>
      <c r="RY26" s="7"/>
      <c r="RZ26" s="7"/>
      <c r="SA26" s="7"/>
      <c r="SB26" s="36"/>
      <c r="SC26" s="7"/>
      <c r="SD26" s="7"/>
      <c r="SE26" s="7"/>
      <c r="SF26" s="7"/>
      <c r="SG26" s="7"/>
      <c r="SH26" s="7"/>
      <c r="SI26" s="7"/>
      <c r="SJ26" s="7"/>
      <c r="SK26" s="7"/>
      <c r="SL26" s="7"/>
      <c r="SM26" s="7"/>
      <c r="SN26" s="7"/>
      <c r="SO26" s="7"/>
      <c r="SP26" s="7"/>
      <c r="SQ26" s="7"/>
      <c r="SR26" s="7"/>
      <c r="SS26" s="7"/>
      <c r="ST26" s="7"/>
      <c r="SU26" s="7"/>
      <c r="SV26" s="7"/>
      <c r="SW26" s="7"/>
      <c r="SX26" s="7"/>
      <c r="SY26" s="7"/>
      <c r="SZ26" s="7"/>
      <c r="TA26" s="7"/>
      <c r="TB26" s="7"/>
      <c r="TC26" s="7"/>
      <c r="TD26" s="36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7"/>
      <c r="YG26" s="7"/>
      <c r="YH26" s="7"/>
      <c r="YI26" s="7"/>
      <c r="YJ26" s="7"/>
      <c r="YK26" s="7"/>
      <c r="YL26" s="7"/>
      <c r="YM26" s="7"/>
      <c r="YN26" s="7"/>
      <c r="YO26" s="7"/>
      <c r="YP26" s="7"/>
      <c r="YQ26" s="7"/>
      <c r="YR26" s="7"/>
      <c r="YS26" s="7"/>
      <c r="YT26" s="7"/>
      <c r="YU26" s="7"/>
      <c r="YV26" s="7"/>
      <c r="YW26" s="7"/>
      <c r="YX26" s="7"/>
      <c r="YY26" s="7"/>
      <c r="YZ26" s="7"/>
      <c r="ZA26" s="7"/>
      <c r="ZB26" s="7"/>
      <c r="ZC26" s="7"/>
      <c r="ZD26" s="7"/>
      <c r="ZE26" s="7"/>
      <c r="ZF26" s="7"/>
      <c r="ZG26" s="7"/>
      <c r="ZH26" s="7"/>
      <c r="ZI26" s="7"/>
      <c r="ZJ26" s="7"/>
      <c r="ZK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4"/>
      <c r="ZW26" s="7"/>
      <c r="ZX26" s="7"/>
      <c r="ZY26" s="7"/>
      <c r="ZZ26" s="7"/>
      <c r="AAA26" s="7"/>
      <c r="AAB26" s="7"/>
      <c r="AAC26" s="7"/>
      <c r="AAD26" s="7"/>
      <c r="AAE26" s="7"/>
      <c r="AAF26" s="36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4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  <c r="ABL26" s="7"/>
      <c r="ABM26" s="7"/>
      <c r="ABN26" s="7"/>
      <c r="ABO26" s="7"/>
      <c r="ABP26" s="7"/>
      <c r="ABQ26" s="7"/>
      <c r="ABR26" s="7"/>
      <c r="ABS26" s="7"/>
      <c r="ABT26" s="7"/>
      <c r="ABU26" s="7"/>
      <c r="ABV26" s="7"/>
      <c r="ABW26" s="7"/>
      <c r="ABX26" s="7"/>
      <c r="ABY26" s="7"/>
      <c r="ABZ26" s="7"/>
      <c r="ACA26" s="7"/>
      <c r="ACB26" s="7"/>
      <c r="ACC26" s="7"/>
      <c r="ACD26" s="7"/>
      <c r="ACE26" s="7"/>
      <c r="ACF26" s="7"/>
      <c r="ACG26" s="7"/>
      <c r="ACH26" s="7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144" t="s">
        <v>221</v>
      </c>
    </row>
    <row r="27" spans="1:830" ht="22.5" customHeight="1" x14ac:dyDescent="0.25">
      <c r="A27" s="36"/>
      <c r="B27" s="128" t="s">
        <v>414</v>
      </c>
      <c r="C27" s="160">
        <f>REKAP!$J$6</f>
        <v>0</v>
      </c>
      <c r="D27" s="124">
        <f>REKAP!$J$4</f>
        <v>0</v>
      </c>
      <c r="E27" s="159">
        <f>REKAP!$J$5</f>
        <v>0</v>
      </c>
      <c r="F27" s="36"/>
      <c r="G27" s="138" t="s">
        <v>219</v>
      </c>
      <c r="H27" s="4" t="s">
        <v>193</v>
      </c>
      <c r="I27" s="143"/>
      <c r="J27" s="141">
        <f t="shared" si="0"/>
        <v>0</v>
      </c>
      <c r="K27" s="7"/>
      <c r="L27" s="7"/>
      <c r="M27" s="7"/>
      <c r="N27" s="130">
        <f>ROUND(N61,0)</f>
        <v>0</v>
      </c>
      <c r="O27" s="130">
        <f t="shared" ref="O27:BZ27" si="93">ROUND(O61,0)</f>
        <v>0</v>
      </c>
      <c r="P27" s="130">
        <f t="shared" si="93"/>
        <v>0</v>
      </c>
      <c r="Q27" s="130">
        <f t="shared" si="93"/>
        <v>0</v>
      </c>
      <c r="R27" s="130">
        <f t="shared" si="93"/>
        <v>0</v>
      </c>
      <c r="S27" s="130">
        <f t="shared" si="93"/>
        <v>0</v>
      </c>
      <c r="T27" s="130">
        <f t="shared" si="93"/>
        <v>0</v>
      </c>
      <c r="U27" s="130">
        <f t="shared" si="93"/>
        <v>0</v>
      </c>
      <c r="V27" s="130">
        <f t="shared" si="93"/>
        <v>0</v>
      </c>
      <c r="W27" s="130">
        <f t="shared" si="93"/>
        <v>0</v>
      </c>
      <c r="X27" s="130">
        <f t="shared" si="93"/>
        <v>0</v>
      </c>
      <c r="Y27" s="130">
        <f t="shared" si="93"/>
        <v>0</v>
      </c>
      <c r="Z27" s="130">
        <f t="shared" si="93"/>
        <v>0</v>
      </c>
      <c r="AA27" s="130">
        <f t="shared" si="93"/>
        <v>0</v>
      </c>
      <c r="AB27" s="130">
        <f t="shared" si="93"/>
        <v>0</v>
      </c>
      <c r="AC27" s="130">
        <f t="shared" si="93"/>
        <v>0</v>
      </c>
      <c r="AD27" s="130">
        <f t="shared" si="93"/>
        <v>0</v>
      </c>
      <c r="AE27" s="130">
        <f t="shared" si="93"/>
        <v>0</v>
      </c>
      <c r="AF27" s="130">
        <f t="shared" si="93"/>
        <v>0</v>
      </c>
      <c r="AG27" s="130">
        <f t="shared" si="93"/>
        <v>0</v>
      </c>
      <c r="AH27" s="130">
        <f t="shared" si="93"/>
        <v>0</v>
      </c>
      <c r="AI27" s="130">
        <f t="shared" si="93"/>
        <v>0</v>
      </c>
      <c r="AJ27" s="130">
        <f t="shared" si="93"/>
        <v>0</v>
      </c>
      <c r="AK27" s="130">
        <f t="shared" si="93"/>
        <v>0</v>
      </c>
      <c r="AL27" s="130">
        <f t="shared" si="93"/>
        <v>0</v>
      </c>
      <c r="AM27" s="130">
        <f t="shared" si="93"/>
        <v>0</v>
      </c>
      <c r="AN27" s="130">
        <f t="shared" si="93"/>
        <v>0</v>
      </c>
      <c r="AO27" s="130">
        <f t="shared" si="93"/>
        <v>0</v>
      </c>
      <c r="AP27" s="130">
        <f t="shared" si="93"/>
        <v>0</v>
      </c>
      <c r="AQ27" s="130">
        <f t="shared" si="93"/>
        <v>0</v>
      </c>
      <c r="AR27" s="130">
        <f t="shared" si="93"/>
        <v>0</v>
      </c>
      <c r="AS27" s="130">
        <f t="shared" si="93"/>
        <v>0</v>
      </c>
      <c r="AT27" s="130">
        <f t="shared" si="93"/>
        <v>0</v>
      </c>
      <c r="AU27" s="130">
        <f t="shared" si="93"/>
        <v>0</v>
      </c>
      <c r="AV27" s="130">
        <f t="shared" si="93"/>
        <v>0</v>
      </c>
      <c r="AW27" s="130">
        <f t="shared" si="93"/>
        <v>0</v>
      </c>
      <c r="AX27" s="130">
        <f t="shared" si="93"/>
        <v>0</v>
      </c>
      <c r="AY27" s="130">
        <f t="shared" si="93"/>
        <v>0</v>
      </c>
      <c r="AZ27" s="130">
        <f t="shared" si="93"/>
        <v>0</v>
      </c>
      <c r="BA27" s="130">
        <f t="shared" si="93"/>
        <v>0</v>
      </c>
      <c r="BB27" s="130">
        <f t="shared" si="93"/>
        <v>0</v>
      </c>
      <c r="BC27" s="130">
        <f t="shared" si="93"/>
        <v>0</v>
      </c>
      <c r="BD27" s="130">
        <f t="shared" si="93"/>
        <v>0</v>
      </c>
      <c r="BE27" s="130">
        <f t="shared" si="93"/>
        <v>0</v>
      </c>
      <c r="BF27" s="130">
        <f t="shared" si="93"/>
        <v>0</v>
      </c>
      <c r="BG27" s="130">
        <f t="shared" si="93"/>
        <v>0</v>
      </c>
      <c r="BH27" s="130">
        <f t="shared" si="93"/>
        <v>0</v>
      </c>
      <c r="BI27" s="130">
        <f t="shared" si="93"/>
        <v>0</v>
      </c>
      <c r="BJ27" s="130">
        <f t="shared" si="93"/>
        <v>0</v>
      </c>
      <c r="BK27" s="130">
        <f t="shared" si="93"/>
        <v>0</v>
      </c>
      <c r="BL27" s="130">
        <f t="shared" si="93"/>
        <v>0</v>
      </c>
      <c r="BM27" s="130">
        <f t="shared" si="93"/>
        <v>0</v>
      </c>
      <c r="BN27" s="130">
        <f t="shared" si="93"/>
        <v>0</v>
      </c>
      <c r="BO27" s="130">
        <f t="shared" si="93"/>
        <v>0</v>
      </c>
      <c r="BP27" s="130">
        <f t="shared" si="93"/>
        <v>0</v>
      </c>
      <c r="BQ27" s="130">
        <f t="shared" si="93"/>
        <v>0</v>
      </c>
      <c r="BR27" s="130">
        <f t="shared" si="93"/>
        <v>0</v>
      </c>
      <c r="BS27" s="130">
        <f t="shared" si="93"/>
        <v>0</v>
      </c>
      <c r="BT27" s="130">
        <f t="shared" si="93"/>
        <v>0</v>
      </c>
      <c r="BU27" s="130">
        <f t="shared" si="93"/>
        <v>0</v>
      </c>
      <c r="BV27" s="130">
        <f t="shared" si="93"/>
        <v>0</v>
      </c>
      <c r="BW27" s="130">
        <f t="shared" si="93"/>
        <v>0</v>
      </c>
      <c r="BX27" s="130">
        <f t="shared" si="93"/>
        <v>0</v>
      </c>
      <c r="BY27" s="130">
        <f t="shared" si="93"/>
        <v>0</v>
      </c>
      <c r="BZ27" s="130">
        <f t="shared" si="93"/>
        <v>0</v>
      </c>
      <c r="CA27" s="130">
        <f t="shared" ref="CA27:EL27" si="94">ROUND(CA61,0)</f>
        <v>0</v>
      </c>
      <c r="CB27" s="130">
        <f t="shared" si="94"/>
        <v>0</v>
      </c>
      <c r="CC27" s="130">
        <f t="shared" si="94"/>
        <v>0</v>
      </c>
      <c r="CD27" s="130">
        <f t="shared" si="94"/>
        <v>0</v>
      </c>
      <c r="CE27" s="130">
        <f t="shared" si="94"/>
        <v>0</v>
      </c>
      <c r="CF27" s="130">
        <f t="shared" si="94"/>
        <v>0</v>
      </c>
      <c r="CG27" s="130">
        <f t="shared" si="94"/>
        <v>0</v>
      </c>
      <c r="CH27" s="130">
        <f t="shared" si="94"/>
        <v>0</v>
      </c>
      <c r="CI27" s="130">
        <f t="shared" si="94"/>
        <v>0</v>
      </c>
      <c r="CJ27" s="130">
        <f t="shared" si="94"/>
        <v>0</v>
      </c>
      <c r="CK27" s="130">
        <f t="shared" si="94"/>
        <v>0</v>
      </c>
      <c r="CL27" s="130">
        <f t="shared" si="94"/>
        <v>0</v>
      </c>
      <c r="CM27" s="130">
        <f t="shared" si="94"/>
        <v>0</v>
      </c>
      <c r="CN27" s="130">
        <f t="shared" si="94"/>
        <v>0</v>
      </c>
      <c r="CO27" s="130">
        <f t="shared" si="94"/>
        <v>0</v>
      </c>
      <c r="CP27" s="130">
        <f t="shared" si="94"/>
        <v>0</v>
      </c>
      <c r="CQ27" s="130">
        <f t="shared" si="94"/>
        <v>0</v>
      </c>
      <c r="CR27" s="130">
        <f t="shared" si="94"/>
        <v>0</v>
      </c>
      <c r="CS27" s="130">
        <f t="shared" si="94"/>
        <v>0</v>
      </c>
      <c r="CT27" s="130">
        <f t="shared" si="94"/>
        <v>0</v>
      </c>
      <c r="CU27" s="130">
        <f t="shared" si="94"/>
        <v>0</v>
      </c>
      <c r="CV27" s="130">
        <f t="shared" si="94"/>
        <v>0</v>
      </c>
      <c r="CW27" s="130">
        <f t="shared" si="94"/>
        <v>0</v>
      </c>
      <c r="CX27" s="130">
        <f t="shared" si="94"/>
        <v>0</v>
      </c>
      <c r="CY27" s="130">
        <f t="shared" si="94"/>
        <v>0</v>
      </c>
      <c r="CZ27" s="130">
        <f t="shared" si="94"/>
        <v>0</v>
      </c>
      <c r="DA27" s="130">
        <f t="shared" si="94"/>
        <v>0</v>
      </c>
      <c r="DB27" s="130">
        <f t="shared" si="94"/>
        <v>0</v>
      </c>
      <c r="DC27" s="130">
        <f t="shared" si="94"/>
        <v>0</v>
      </c>
      <c r="DD27" s="130">
        <f t="shared" si="94"/>
        <v>0</v>
      </c>
      <c r="DE27" s="130">
        <f t="shared" si="94"/>
        <v>0</v>
      </c>
      <c r="DF27" s="130">
        <f t="shared" si="94"/>
        <v>0</v>
      </c>
      <c r="DG27" s="130">
        <f t="shared" si="94"/>
        <v>0</v>
      </c>
      <c r="DH27" s="130">
        <f t="shared" si="94"/>
        <v>0</v>
      </c>
      <c r="DI27" s="130">
        <f t="shared" si="94"/>
        <v>0</v>
      </c>
      <c r="DJ27" s="130">
        <f t="shared" si="94"/>
        <v>0</v>
      </c>
      <c r="DK27" s="130">
        <f t="shared" si="94"/>
        <v>0</v>
      </c>
      <c r="DL27" s="130">
        <f t="shared" si="94"/>
        <v>0</v>
      </c>
      <c r="DM27" s="130">
        <f t="shared" si="94"/>
        <v>0</v>
      </c>
      <c r="DN27" s="130">
        <f t="shared" si="94"/>
        <v>0</v>
      </c>
      <c r="DO27" s="130">
        <f t="shared" si="94"/>
        <v>0</v>
      </c>
      <c r="DP27" s="130">
        <f t="shared" si="94"/>
        <v>0</v>
      </c>
      <c r="DQ27" s="130">
        <f t="shared" si="94"/>
        <v>0</v>
      </c>
      <c r="DR27" s="130">
        <f t="shared" si="94"/>
        <v>0</v>
      </c>
      <c r="DS27" s="130">
        <f t="shared" si="94"/>
        <v>0</v>
      </c>
      <c r="DT27" s="130">
        <f t="shared" si="94"/>
        <v>0</v>
      </c>
      <c r="DU27" s="130">
        <f t="shared" si="94"/>
        <v>0</v>
      </c>
      <c r="DV27" s="130">
        <f t="shared" si="94"/>
        <v>0</v>
      </c>
      <c r="DW27" s="130">
        <f t="shared" si="94"/>
        <v>0</v>
      </c>
      <c r="DX27" s="130">
        <f t="shared" si="94"/>
        <v>0</v>
      </c>
      <c r="DY27" s="130">
        <f t="shared" si="94"/>
        <v>0</v>
      </c>
      <c r="DZ27" s="130">
        <f t="shared" si="94"/>
        <v>0</v>
      </c>
      <c r="EA27" s="130">
        <f t="shared" si="94"/>
        <v>0</v>
      </c>
      <c r="EB27" s="130">
        <f t="shared" si="94"/>
        <v>0</v>
      </c>
      <c r="EC27" s="130">
        <f t="shared" si="94"/>
        <v>0</v>
      </c>
      <c r="ED27" s="130">
        <f t="shared" si="94"/>
        <v>0</v>
      </c>
      <c r="EE27" s="130">
        <f t="shared" si="94"/>
        <v>0</v>
      </c>
      <c r="EF27" s="130">
        <f t="shared" si="94"/>
        <v>0</v>
      </c>
      <c r="EG27" s="130">
        <f t="shared" si="94"/>
        <v>0</v>
      </c>
      <c r="EH27" s="130">
        <f t="shared" si="94"/>
        <v>0</v>
      </c>
      <c r="EI27" s="130">
        <f t="shared" si="94"/>
        <v>0</v>
      </c>
      <c r="EJ27" s="130">
        <f t="shared" si="94"/>
        <v>0</v>
      </c>
      <c r="EK27" s="130">
        <f t="shared" si="94"/>
        <v>0</v>
      </c>
      <c r="EL27" s="130">
        <f t="shared" si="94"/>
        <v>0</v>
      </c>
      <c r="EM27" s="130">
        <f t="shared" ref="EM27:GX27" si="95">ROUND(EM61,0)</f>
        <v>0</v>
      </c>
      <c r="EN27" s="130">
        <f t="shared" si="95"/>
        <v>0</v>
      </c>
      <c r="EO27" s="130">
        <f t="shared" si="95"/>
        <v>0</v>
      </c>
      <c r="EP27" s="130">
        <f t="shared" si="95"/>
        <v>0</v>
      </c>
      <c r="EQ27" s="130">
        <f t="shared" si="95"/>
        <v>0</v>
      </c>
      <c r="ER27" s="130">
        <f t="shared" si="95"/>
        <v>0</v>
      </c>
      <c r="ES27" s="130">
        <f t="shared" si="95"/>
        <v>0</v>
      </c>
      <c r="ET27" s="130">
        <f t="shared" si="95"/>
        <v>0</v>
      </c>
      <c r="EU27" s="130">
        <f t="shared" si="95"/>
        <v>0</v>
      </c>
      <c r="EV27" s="130">
        <f t="shared" si="95"/>
        <v>0</v>
      </c>
      <c r="EW27" s="130">
        <f t="shared" si="95"/>
        <v>0</v>
      </c>
      <c r="EX27" s="130">
        <f t="shared" si="95"/>
        <v>0</v>
      </c>
      <c r="EY27" s="130">
        <f t="shared" si="95"/>
        <v>0</v>
      </c>
      <c r="EZ27" s="130">
        <f t="shared" si="95"/>
        <v>0</v>
      </c>
      <c r="FA27" s="130">
        <f t="shared" si="95"/>
        <v>0</v>
      </c>
      <c r="FB27" s="130">
        <f t="shared" si="95"/>
        <v>0</v>
      </c>
      <c r="FC27" s="130">
        <f t="shared" si="95"/>
        <v>0</v>
      </c>
      <c r="FD27" s="130">
        <f t="shared" si="95"/>
        <v>0</v>
      </c>
      <c r="FE27" s="130">
        <f t="shared" si="95"/>
        <v>0</v>
      </c>
      <c r="FF27" s="130">
        <f t="shared" si="95"/>
        <v>0</v>
      </c>
      <c r="FG27" s="130">
        <f t="shared" si="95"/>
        <v>0</v>
      </c>
      <c r="FH27" s="130">
        <f t="shared" si="95"/>
        <v>0</v>
      </c>
      <c r="FI27" s="130">
        <f t="shared" si="95"/>
        <v>0</v>
      </c>
      <c r="FJ27" s="130">
        <f t="shared" si="95"/>
        <v>0</v>
      </c>
      <c r="FK27" s="130">
        <f t="shared" si="95"/>
        <v>0</v>
      </c>
      <c r="FL27" s="130">
        <f t="shared" si="95"/>
        <v>0</v>
      </c>
      <c r="FM27" s="130">
        <f t="shared" si="95"/>
        <v>0</v>
      </c>
      <c r="FN27" s="130">
        <f t="shared" si="95"/>
        <v>0</v>
      </c>
      <c r="FO27" s="130">
        <f t="shared" si="95"/>
        <v>0</v>
      </c>
      <c r="FP27" s="130">
        <f t="shared" si="95"/>
        <v>0</v>
      </c>
      <c r="FQ27" s="130">
        <f t="shared" si="95"/>
        <v>0</v>
      </c>
      <c r="FR27" s="130">
        <f t="shared" si="95"/>
        <v>0</v>
      </c>
      <c r="FS27" s="130">
        <f t="shared" si="95"/>
        <v>0</v>
      </c>
      <c r="FT27" s="130">
        <f t="shared" si="95"/>
        <v>0</v>
      </c>
      <c r="FU27" s="130">
        <f t="shared" si="95"/>
        <v>0</v>
      </c>
      <c r="FV27" s="130">
        <f t="shared" si="95"/>
        <v>0</v>
      </c>
      <c r="FW27" s="130">
        <f t="shared" si="95"/>
        <v>0</v>
      </c>
      <c r="FX27" s="130">
        <f t="shared" si="95"/>
        <v>0</v>
      </c>
      <c r="FY27" s="130">
        <f t="shared" si="95"/>
        <v>0</v>
      </c>
      <c r="FZ27" s="130">
        <f t="shared" si="95"/>
        <v>0</v>
      </c>
      <c r="GA27" s="130">
        <f t="shared" si="95"/>
        <v>0</v>
      </c>
      <c r="GB27" s="130">
        <f t="shared" si="95"/>
        <v>0</v>
      </c>
      <c r="GC27" s="130">
        <f t="shared" si="95"/>
        <v>0</v>
      </c>
      <c r="GD27" s="130">
        <f t="shared" si="95"/>
        <v>0</v>
      </c>
      <c r="GE27" s="130">
        <f t="shared" si="95"/>
        <v>0</v>
      </c>
      <c r="GF27" s="130">
        <f t="shared" si="95"/>
        <v>0</v>
      </c>
      <c r="GG27" s="130">
        <f t="shared" si="95"/>
        <v>0</v>
      </c>
      <c r="GH27" s="130">
        <f t="shared" si="95"/>
        <v>0</v>
      </c>
      <c r="GI27" s="130">
        <f t="shared" si="95"/>
        <v>0</v>
      </c>
      <c r="GJ27" s="130">
        <f t="shared" si="95"/>
        <v>0</v>
      </c>
      <c r="GK27" s="130">
        <f t="shared" si="95"/>
        <v>0</v>
      </c>
      <c r="GL27" s="130">
        <f t="shared" si="95"/>
        <v>0</v>
      </c>
      <c r="GM27" s="130">
        <f t="shared" si="95"/>
        <v>0</v>
      </c>
      <c r="GN27" s="130">
        <f t="shared" si="95"/>
        <v>0</v>
      </c>
      <c r="GO27" s="130">
        <f t="shared" si="95"/>
        <v>0</v>
      </c>
      <c r="GP27" s="130">
        <f t="shared" si="95"/>
        <v>0</v>
      </c>
      <c r="GQ27" s="130">
        <f t="shared" si="95"/>
        <v>0</v>
      </c>
      <c r="GR27" s="130">
        <f t="shared" si="95"/>
        <v>0</v>
      </c>
      <c r="GS27" s="130">
        <f t="shared" si="95"/>
        <v>0</v>
      </c>
      <c r="GT27" s="130">
        <f t="shared" si="95"/>
        <v>0</v>
      </c>
      <c r="GU27" s="130">
        <f t="shared" si="95"/>
        <v>0</v>
      </c>
      <c r="GV27" s="130">
        <f t="shared" si="95"/>
        <v>0</v>
      </c>
      <c r="GW27" s="130">
        <f t="shared" si="95"/>
        <v>0</v>
      </c>
      <c r="GX27" s="130">
        <f t="shared" si="95"/>
        <v>0</v>
      </c>
      <c r="GY27" s="130">
        <f t="shared" ref="GY27:JJ27" si="96">ROUND(GY61,0)</f>
        <v>0</v>
      </c>
      <c r="GZ27" s="130">
        <f t="shared" si="96"/>
        <v>0</v>
      </c>
      <c r="HA27" s="130">
        <f t="shared" si="96"/>
        <v>0</v>
      </c>
      <c r="HB27" s="130">
        <f t="shared" si="96"/>
        <v>0</v>
      </c>
      <c r="HC27" s="130">
        <f t="shared" si="96"/>
        <v>0</v>
      </c>
      <c r="HD27" s="130">
        <f t="shared" si="96"/>
        <v>0</v>
      </c>
      <c r="HE27" s="130">
        <f t="shared" si="96"/>
        <v>0</v>
      </c>
      <c r="HF27" s="130">
        <f t="shared" si="96"/>
        <v>0</v>
      </c>
      <c r="HG27" s="130">
        <f t="shared" si="96"/>
        <v>0</v>
      </c>
      <c r="HH27" s="130">
        <f t="shared" si="96"/>
        <v>0</v>
      </c>
      <c r="HI27" s="130">
        <f t="shared" si="96"/>
        <v>0</v>
      </c>
      <c r="HJ27" s="130">
        <f t="shared" si="96"/>
        <v>0</v>
      </c>
      <c r="HK27" s="130">
        <f t="shared" si="96"/>
        <v>0</v>
      </c>
      <c r="HL27" s="130">
        <f t="shared" si="96"/>
        <v>0</v>
      </c>
      <c r="HM27" s="130">
        <f t="shared" si="96"/>
        <v>0</v>
      </c>
      <c r="HN27" s="130">
        <f t="shared" si="96"/>
        <v>0</v>
      </c>
      <c r="HO27" s="130">
        <f t="shared" si="96"/>
        <v>0</v>
      </c>
      <c r="HP27" s="130">
        <f t="shared" si="96"/>
        <v>0</v>
      </c>
      <c r="HQ27" s="130">
        <f t="shared" si="96"/>
        <v>0</v>
      </c>
      <c r="HR27" s="130">
        <f t="shared" si="96"/>
        <v>0</v>
      </c>
      <c r="HS27" s="130">
        <f t="shared" si="96"/>
        <v>0</v>
      </c>
      <c r="HT27" s="130">
        <f t="shared" si="96"/>
        <v>0</v>
      </c>
      <c r="HU27" s="130">
        <f t="shared" si="96"/>
        <v>0</v>
      </c>
      <c r="HV27" s="130">
        <f t="shared" si="96"/>
        <v>0</v>
      </c>
      <c r="HW27" s="130">
        <f t="shared" si="96"/>
        <v>0</v>
      </c>
      <c r="HX27" s="130">
        <f t="shared" si="96"/>
        <v>0</v>
      </c>
      <c r="HY27" s="130">
        <f t="shared" si="96"/>
        <v>0</v>
      </c>
      <c r="HZ27" s="130">
        <f t="shared" si="96"/>
        <v>0</v>
      </c>
      <c r="IA27" s="130">
        <f t="shared" si="96"/>
        <v>0</v>
      </c>
      <c r="IB27" s="130">
        <f t="shared" si="96"/>
        <v>0</v>
      </c>
      <c r="IC27" s="130">
        <f t="shared" si="96"/>
        <v>0</v>
      </c>
      <c r="ID27" s="130">
        <f t="shared" si="96"/>
        <v>0</v>
      </c>
      <c r="IE27" s="130">
        <f t="shared" si="96"/>
        <v>0</v>
      </c>
      <c r="IF27" s="130">
        <f t="shared" si="96"/>
        <v>0</v>
      </c>
      <c r="IG27" s="130">
        <f t="shared" si="96"/>
        <v>0</v>
      </c>
      <c r="IH27" s="130">
        <f t="shared" si="96"/>
        <v>0</v>
      </c>
      <c r="II27" s="130">
        <f t="shared" si="96"/>
        <v>0</v>
      </c>
      <c r="IJ27" s="130">
        <f t="shared" si="96"/>
        <v>0</v>
      </c>
      <c r="IK27" s="130">
        <f t="shared" si="96"/>
        <v>0</v>
      </c>
      <c r="IL27" s="130">
        <f t="shared" si="96"/>
        <v>0</v>
      </c>
      <c r="IM27" s="130">
        <f t="shared" si="96"/>
        <v>0</v>
      </c>
      <c r="IN27" s="130">
        <f t="shared" si="96"/>
        <v>0</v>
      </c>
      <c r="IO27" s="130">
        <f t="shared" si="96"/>
        <v>0</v>
      </c>
      <c r="IP27" s="130">
        <f t="shared" si="96"/>
        <v>0</v>
      </c>
      <c r="IQ27" s="130">
        <f t="shared" si="96"/>
        <v>0</v>
      </c>
      <c r="IR27" s="130">
        <f t="shared" si="96"/>
        <v>0</v>
      </c>
      <c r="IS27" s="130">
        <f t="shared" si="96"/>
        <v>0</v>
      </c>
      <c r="IT27" s="130">
        <f t="shared" si="96"/>
        <v>0</v>
      </c>
      <c r="IU27" s="130">
        <f t="shared" si="96"/>
        <v>0</v>
      </c>
      <c r="IV27" s="130">
        <f t="shared" si="96"/>
        <v>0</v>
      </c>
      <c r="IW27" s="130">
        <f t="shared" si="96"/>
        <v>0</v>
      </c>
      <c r="IX27" s="130">
        <f t="shared" si="96"/>
        <v>0</v>
      </c>
      <c r="IY27" s="130">
        <f t="shared" si="96"/>
        <v>0</v>
      </c>
      <c r="IZ27" s="130">
        <f t="shared" si="96"/>
        <v>0</v>
      </c>
      <c r="JA27" s="130">
        <f t="shared" si="96"/>
        <v>0</v>
      </c>
      <c r="JB27" s="130">
        <f t="shared" si="96"/>
        <v>0</v>
      </c>
      <c r="JC27" s="130">
        <f t="shared" si="96"/>
        <v>0</v>
      </c>
      <c r="JD27" s="130">
        <f t="shared" si="96"/>
        <v>0</v>
      </c>
      <c r="JE27" s="130">
        <f t="shared" si="96"/>
        <v>0</v>
      </c>
      <c r="JF27" s="130">
        <f t="shared" si="96"/>
        <v>0</v>
      </c>
      <c r="JG27" s="130">
        <f t="shared" si="96"/>
        <v>0</v>
      </c>
      <c r="JH27" s="130">
        <f t="shared" si="96"/>
        <v>0</v>
      </c>
      <c r="JI27" s="130">
        <f t="shared" si="96"/>
        <v>0</v>
      </c>
      <c r="JJ27" s="130">
        <f t="shared" si="96"/>
        <v>0</v>
      </c>
      <c r="JK27" s="130">
        <f t="shared" ref="JK27:LV27" si="97">ROUND(JK61,0)</f>
        <v>0</v>
      </c>
      <c r="JL27" s="130">
        <f t="shared" si="97"/>
        <v>0</v>
      </c>
      <c r="JM27" s="130">
        <f t="shared" si="97"/>
        <v>0</v>
      </c>
      <c r="JN27" s="130">
        <f t="shared" si="97"/>
        <v>0</v>
      </c>
      <c r="JO27" s="130">
        <f t="shared" si="97"/>
        <v>0</v>
      </c>
      <c r="JP27" s="130">
        <f t="shared" si="97"/>
        <v>0</v>
      </c>
      <c r="JQ27" s="130">
        <f t="shared" si="97"/>
        <v>0</v>
      </c>
      <c r="JR27" s="130">
        <f t="shared" si="97"/>
        <v>0</v>
      </c>
      <c r="JS27" s="130">
        <f t="shared" si="97"/>
        <v>0</v>
      </c>
      <c r="JT27" s="130">
        <f t="shared" si="97"/>
        <v>0</v>
      </c>
      <c r="JU27" s="130">
        <f t="shared" si="97"/>
        <v>0</v>
      </c>
      <c r="JV27" s="130">
        <f t="shared" si="97"/>
        <v>0</v>
      </c>
      <c r="JW27" s="130">
        <f t="shared" si="97"/>
        <v>0</v>
      </c>
      <c r="JX27" s="130">
        <f t="shared" si="97"/>
        <v>0</v>
      </c>
      <c r="JY27" s="130">
        <f t="shared" si="97"/>
        <v>0</v>
      </c>
      <c r="JZ27" s="130">
        <f t="shared" si="97"/>
        <v>0</v>
      </c>
      <c r="KA27" s="130">
        <f t="shared" si="97"/>
        <v>0</v>
      </c>
      <c r="KB27" s="130">
        <f t="shared" si="97"/>
        <v>0</v>
      </c>
      <c r="KC27" s="130">
        <f t="shared" si="97"/>
        <v>0</v>
      </c>
      <c r="KD27" s="130">
        <f t="shared" si="97"/>
        <v>0</v>
      </c>
      <c r="KE27" s="130">
        <f t="shared" si="97"/>
        <v>0</v>
      </c>
      <c r="KF27" s="130">
        <f t="shared" si="97"/>
        <v>0</v>
      </c>
      <c r="KG27" s="130">
        <f t="shared" si="97"/>
        <v>0</v>
      </c>
      <c r="KH27" s="130">
        <f t="shared" si="97"/>
        <v>0</v>
      </c>
      <c r="KI27" s="130">
        <f t="shared" si="97"/>
        <v>0</v>
      </c>
      <c r="KJ27" s="130">
        <f t="shared" si="97"/>
        <v>0</v>
      </c>
      <c r="KK27" s="130">
        <f t="shared" si="97"/>
        <v>0</v>
      </c>
      <c r="KL27" s="130">
        <f t="shared" si="97"/>
        <v>0</v>
      </c>
      <c r="KM27" s="130">
        <f t="shared" si="97"/>
        <v>0</v>
      </c>
      <c r="KN27" s="130">
        <f t="shared" si="97"/>
        <v>0</v>
      </c>
      <c r="KO27" s="130">
        <f t="shared" si="97"/>
        <v>0</v>
      </c>
      <c r="KP27" s="130">
        <f t="shared" si="97"/>
        <v>0</v>
      </c>
      <c r="KQ27" s="130">
        <f t="shared" si="97"/>
        <v>0</v>
      </c>
      <c r="KR27" s="130">
        <f t="shared" si="97"/>
        <v>0</v>
      </c>
      <c r="KS27" s="130">
        <f t="shared" si="97"/>
        <v>0</v>
      </c>
      <c r="KT27" s="130">
        <f t="shared" si="97"/>
        <v>0</v>
      </c>
      <c r="KU27" s="130">
        <f t="shared" si="97"/>
        <v>0</v>
      </c>
      <c r="KV27" s="130">
        <f t="shared" si="97"/>
        <v>0</v>
      </c>
      <c r="KW27" s="130">
        <f t="shared" si="97"/>
        <v>0</v>
      </c>
      <c r="KX27" s="130">
        <f t="shared" si="97"/>
        <v>0</v>
      </c>
      <c r="KY27" s="130">
        <f t="shared" si="97"/>
        <v>0</v>
      </c>
      <c r="KZ27" s="130">
        <f t="shared" si="97"/>
        <v>0</v>
      </c>
      <c r="LA27" s="130">
        <f t="shared" si="97"/>
        <v>0</v>
      </c>
      <c r="LB27" s="130">
        <f t="shared" si="97"/>
        <v>0</v>
      </c>
      <c r="LC27" s="130">
        <f t="shared" si="97"/>
        <v>0</v>
      </c>
      <c r="LD27" s="130">
        <f t="shared" si="97"/>
        <v>0</v>
      </c>
      <c r="LE27" s="130">
        <f t="shared" si="97"/>
        <v>0</v>
      </c>
      <c r="LF27" s="130">
        <f t="shared" si="97"/>
        <v>0</v>
      </c>
      <c r="LG27" s="130">
        <f t="shared" si="97"/>
        <v>0</v>
      </c>
      <c r="LH27" s="130">
        <f t="shared" si="97"/>
        <v>0</v>
      </c>
      <c r="LI27" s="130">
        <f t="shared" si="97"/>
        <v>0</v>
      </c>
      <c r="LJ27" s="130">
        <f t="shared" si="97"/>
        <v>0</v>
      </c>
      <c r="LK27" s="130">
        <f t="shared" si="97"/>
        <v>0</v>
      </c>
      <c r="LL27" s="130">
        <f t="shared" si="97"/>
        <v>0</v>
      </c>
      <c r="LM27" s="130">
        <f t="shared" si="97"/>
        <v>0</v>
      </c>
      <c r="LN27" s="130">
        <f t="shared" si="97"/>
        <v>0</v>
      </c>
      <c r="LO27" s="130">
        <f t="shared" si="97"/>
        <v>0</v>
      </c>
      <c r="LP27" s="130">
        <f t="shared" si="97"/>
        <v>0</v>
      </c>
      <c r="LQ27" s="130">
        <f t="shared" si="97"/>
        <v>0</v>
      </c>
      <c r="LR27" s="130">
        <f t="shared" si="97"/>
        <v>0</v>
      </c>
      <c r="LS27" s="130">
        <f t="shared" si="97"/>
        <v>0</v>
      </c>
      <c r="LT27" s="130">
        <f t="shared" si="97"/>
        <v>0</v>
      </c>
      <c r="LU27" s="130">
        <f t="shared" si="97"/>
        <v>0</v>
      </c>
      <c r="LV27" s="130">
        <f t="shared" si="97"/>
        <v>0</v>
      </c>
      <c r="LW27" s="130">
        <f t="shared" ref="LW27:OH27" si="98">ROUND(LW61,0)</f>
        <v>0</v>
      </c>
      <c r="LX27" s="130">
        <f t="shared" si="98"/>
        <v>0</v>
      </c>
      <c r="LY27" s="130">
        <f t="shared" si="98"/>
        <v>0</v>
      </c>
      <c r="LZ27" s="130">
        <f t="shared" si="98"/>
        <v>0</v>
      </c>
      <c r="MA27" s="130">
        <f t="shared" si="98"/>
        <v>0</v>
      </c>
      <c r="MB27" s="130">
        <f t="shared" si="98"/>
        <v>0</v>
      </c>
      <c r="MC27" s="130">
        <f t="shared" si="98"/>
        <v>0</v>
      </c>
      <c r="MD27" s="130">
        <f t="shared" si="98"/>
        <v>0</v>
      </c>
      <c r="ME27" s="130">
        <f t="shared" si="98"/>
        <v>0</v>
      </c>
      <c r="MF27" s="130">
        <f t="shared" si="98"/>
        <v>0</v>
      </c>
      <c r="MG27" s="130">
        <f t="shared" si="98"/>
        <v>0</v>
      </c>
      <c r="MH27" s="130">
        <f t="shared" si="98"/>
        <v>0</v>
      </c>
      <c r="MI27" s="130">
        <f t="shared" si="98"/>
        <v>0</v>
      </c>
      <c r="MJ27" s="130">
        <f t="shared" si="98"/>
        <v>0</v>
      </c>
      <c r="MK27" s="130">
        <f t="shared" si="98"/>
        <v>0</v>
      </c>
      <c r="ML27" s="130">
        <f t="shared" si="98"/>
        <v>0</v>
      </c>
      <c r="MM27" s="130">
        <f t="shared" si="98"/>
        <v>0</v>
      </c>
      <c r="MN27" s="130">
        <f t="shared" si="98"/>
        <v>0</v>
      </c>
      <c r="MO27" s="130">
        <f t="shared" si="98"/>
        <v>0</v>
      </c>
      <c r="MP27" s="130">
        <f t="shared" si="98"/>
        <v>0</v>
      </c>
      <c r="MQ27" s="130">
        <f t="shared" si="98"/>
        <v>0</v>
      </c>
      <c r="MR27" s="130">
        <f t="shared" si="98"/>
        <v>0</v>
      </c>
      <c r="MS27" s="130">
        <f t="shared" si="98"/>
        <v>0</v>
      </c>
      <c r="MT27" s="130">
        <f t="shared" si="98"/>
        <v>0</v>
      </c>
      <c r="MU27" s="130">
        <f t="shared" si="98"/>
        <v>0</v>
      </c>
      <c r="MV27" s="130">
        <f t="shared" si="98"/>
        <v>0</v>
      </c>
      <c r="MW27" s="130">
        <f t="shared" si="98"/>
        <v>0</v>
      </c>
      <c r="MX27" s="130">
        <f t="shared" si="98"/>
        <v>0</v>
      </c>
      <c r="MY27" s="130">
        <f t="shared" si="98"/>
        <v>0</v>
      </c>
      <c r="MZ27" s="130">
        <f t="shared" si="98"/>
        <v>0</v>
      </c>
      <c r="NA27" s="130">
        <f t="shared" si="98"/>
        <v>0</v>
      </c>
      <c r="NB27" s="130">
        <f t="shared" si="98"/>
        <v>0</v>
      </c>
      <c r="NC27" s="130">
        <f t="shared" si="98"/>
        <v>0</v>
      </c>
      <c r="ND27" s="130">
        <f t="shared" si="98"/>
        <v>0</v>
      </c>
      <c r="NE27" s="130">
        <f t="shared" si="98"/>
        <v>0</v>
      </c>
      <c r="NF27" s="130">
        <f t="shared" si="98"/>
        <v>0</v>
      </c>
      <c r="NG27" s="130">
        <f t="shared" si="98"/>
        <v>0</v>
      </c>
      <c r="NH27" s="130">
        <f t="shared" si="98"/>
        <v>0</v>
      </c>
      <c r="NI27" s="130">
        <f t="shared" si="98"/>
        <v>0</v>
      </c>
      <c r="NJ27" s="130">
        <f t="shared" si="98"/>
        <v>0</v>
      </c>
      <c r="NK27" s="130">
        <f t="shared" si="98"/>
        <v>0</v>
      </c>
      <c r="NL27" s="130">
        <f t="shared" si="98"/>
        <v>0</v>
      </c>
      <c r="NM27" s="130">
        <f t="shared" si="98"/>
        <v>0</v>
      </c>
      <c r="NN27" s="130">
        <f t="shared" si="98"/>
        <v>0</v>
      </c>
      <c r="NO27" s="130">
        <f t="shared" si="98"/>
        <v>0</v>
      </c>
      <c r="NP27" s="130">
        <f t="shared" si="98"/>
        <v>0</v>
      </c>
      <c r="NQ27" s="130">
        <f t="shared" si="98"/>
        <v>0</v>
      </c>
      <c r="NR27" s="130">
        <f t="shared" si="98"/>
        <v>0</v>
      </c>
      <c r="NS27" s="130">
        <f t="shared" si="98"/>
        <v>0</v>
      </c>
      <c r="NT27" s="130">
        <f t="shared" si="98"/>
        <v>0</v>
      </c>
      <c r="NU27" s="130">
        <f t="shared" si="98"/>
        <v>0</v>
      </c>
      <c r="NV27" s="130">
        <f t="shared" si="98"/>
        <v>0</v>
      </c>
      <c r="NW27" s="130">
        <f t="shared" si="98"/>
        <v>0</v>
      </c>
      <c r="NX27" s="130">
        <f t="shared" si="98"/>
        <v>0</v>
      </c>
      <c r="NY27" s="130">
        <f t="shared" si="98"/>
        <v>0</v>
      </c>
      <c r="NZ27" s="130">
        <f t="shared" si="98"/>
        <v>0</v>
      </c>
      <c r="OA27" s="130">
        <f t="shared" si="98"/>
        <v>0</v>
      </c>
      <c r="OB27" s="130">
        <f t="shared" si="98"/>
        <v>0</v>
      </c>
      <c r="OC27" s="130">
        <f t="shared" si="98"/>
        <v>0</v>
      </c>
      <c r="OD27" s="130">
        <f t="shared" si="98"/>
        <v>0</v>
      </c>
      <c r="OE27" s="130">
        <f t="shared" si="98"/>
        <v>0</v>
      </c>
      <c r="OF27" s="130">
        <f t="shared" si="98"/>
        <v>0</v>
      </c>
      <c r="OG27" s="130">
        <f t="shared" si="98"/>
        <v>0</v>
      </c>
      <c r="OH27" s="130">
        <f t="shared" si="98"/>
        <v>0</v>
      </c>
      <c r="OI27" s="130">
        <f t="shared" ref="OI27:QT27" si="99">ROUND(OI61,0)</f>
        <v>0</v>
      </c>
      <c r="OJ27" s="130">
        <f t="shared" si="99"/>
        <v>0</v>
      </c>
      <c r="OK27" s="130">
        <f t="shared" si="99"/>
        <v>0</v>
      </c>
      <c r="OL27" s="130">
        <f t="shared" si="99"/>
        <v>0</v>
      </c>
      <c r="OM27" s="130">
        <f t="shared" si="99"/>
        <v>0</v>
      </c>
      <c r="ON27" s="130">
        <f t="shared" si="99"/>
        <v>0</v>
      </c>
      <c r="OO27" s="130">
        <f t="shared" si="99"/>
        <v>0</v>
      </c>
      <c r="OP27" s="130">
        <f t="shared" si="99"/>
        <v>0</v>
      </c>
      <c r="OQ27" s="130">
        <f t="shared" si="99"/>
        <v>0</v>
      </c>
      <c r="OR27" s="130">
        <f t="shared" si="99"/>
        <v>0</v>
      </c>
      <c r="OS27" s="130">
        <f t="shared" si="99"/>
        <v>0</v>
      </c>
      <c r="OT27" s="130">
        <f t="shared" si="99"/>
        <v>0</v>
      </c>
      <c r="OU27" s="130">
        <f t="shared" si="99"/>
        <v>0</v>
      </c>
      <c r="OV27" s="130">
        <f t="shared" si="99"/>
        <v>0</v>
      </c>
      <c r="OW27" s="130">
        <f t="shared" si="99"/>
        <v>0</v>
      </c>
      <c r="OX27" s="130">
        <f t="shared" si="99"/>
        <v>0</v>
      </c>
      <c r="OY27" s="130">
        <f t="shared" si="99"/>
        <v>0</v>
      </c>
      <c r="OZ27" s="130">
        <f t="shared" si="99"/>
        <v>0</v>
      </c>
      <c r="PA27" s="130">
        <f t="shared" si="99"/>
        <v>0</v>
      </c>
      <c r="PB27" s="130">
        <f t="shared" si="99"/>
        <v>0</v>
      </c>
      <c r="PC27" s="130">
        <f t="shared" si="99"/>
        <v>0</v>
      </c>
      <c r="PD27" s="130">
        <f t="shared" si="99"/>
        <v>0</v>
      </c>
      <c r="PE27" s="130">
        <f t="shared" si="99"/>
        <v>0</v>
      </c>
      <c r="PF27" s="130">
        <f t="shared" si="99"/>
        <v>0</v>
      </c>
      <c r="PG27" s="130">
        <f t="shared" si="99"/>
        <v>0</v>
      </c>
      <c r="PH27" s="130">
        <f t="shared" si="99"/>
        <v>0</v>
      </c>
      <c r="PI27" s="130">
        <f t="shared" si="99"/>
        <v>0</v>
      </c>
      <c r="PJ27" s="130">
        <f t="shared" si="99"/>
        <v>0</v>
      </c>
      <c r="PK27" s="130">
        <f t="shared" si="99"/>
        <v>0</v>
      </c>
      <c r="PL27" s="130">
        <f t="shared" si="99"/>
        <v>0</v>
      </c>
      <c r="PM27" s="130">
        <f t="shared" si="99"/>
        <v>0</v>
      </c>
      <c r="PN27" s="130">
        <f t="shared" si="99"/>
        <v>0</v>
      </c>
      <c r="PO27" s="130">
        <f t="shared" si="99"/>
        <v>0</v>
      </c>
      <c r="PP27" s="130">
        <f t="shared" si="99"/>
        <v>0</v>
      </c>
      <c r="PQ27" s="130">
        <f t="shared" si="99"/>
        <v>0</v>
      </c>
      <c r="PR27" s="130">
        <f t="shared" si="99"/>
        <v>0</v>
      </c>
      <c r="PS27" s="130">
        <f t="shared" si="99"/>
        <v>0</v>
      </c>
      <c r="PT27" s="130">
        <f t="shared" si="99"/>
        <v>0</v>
      </c>
      <c r="PU27" s="130">
        <f t="shared" si="99"/>
        <v>0</v>
      </c>
      <c r="PV27" s="130">
        <f t="shared" si="99"/>
        <v>0</v>
      </c>
      <c r="PW27" s="130">
        <f t="shared" si="99"/>
        <v>0</v>
      </c>
      <c r="PX27" s="130">
        <f t="shared" si="99"/>
        <v>0</v>
      </c>
      <c r="PY27" s="130">
        <f t="shared" si="99"/>
        <v>0</v>
      </c>
      <c r="PZ27" s="130">
        <f t="shared" si="99"/>
        <v>0</v>
      </c>
      <c r="QA27" s="130">
        <f t="shared" si="99"/>
        <v>0</v>
      </c>
      <c r="QB27" s="130">
        <f t="shared" si="99"/>
        <v>0</v>
      </c>
      <c r="QC27" s="130">
        <f t="shared" si="99"/>
        <v>0</v>
      </c>
      <c r="QD27" s="130">
        <f t="shared" si="99"/>
        <v>0</v>
      </c>
      <c r="QE27" s="130">
        <f t="shared" si="99"/>
        <v>0</v>
      </c>
      <c r="QF27" s="130">
        <f t="shared" si="99"/>
        <v>0</v>
      </c>
      <c r="QG27" s="130">
        <f t="shared" si="99"/>
        <v>0</v>
      </c>
      <c r="QH27" s="130">
        <f t="shared" si="99"/>
        <v>0</v>
      </c>
      <c r="QI27" s="130">
        <f t="shared" si="99"/>
        <v>0</v>
      </c>
      <c r="QJ27" s="130">
        <f t="shared" si="99"/>
        <v>0</v>
      </c>
      <c r="QK27" s="130">
        <f t="shared" si="99"/>
        <v>0</v>
      </c>
      <c r="QL27" s="130">
        <f t="shared" si="99"/>
        <v>0</v>
      </c>
      <c r="QM27" s="130">
        <f t="shared" si="99"/>
        <v>0</v>
      </c>
      <c r="QN27" s="130">
        <f t="shared" si="99"/>
        <v>0</v>
      </c>
      <c r="QO27" s="130">
        <f t="shared" si="99"/>
        <v>0</v>
      </c>
      <c r="QP27" s="130">
        <f t="shared" si="99"/>
        <v>0</v>
      </c>
      <c r="QQ27" s="130">
        <f t="shared" si="99"/>
        <v>0</v>
      </c>
      <c r="QR27" s="130">
        <f t="shared" si="99"/>
        <v>0</v>
      </c>
      <c r="QS27" s="130">
        <f t="shared" si="99"/>
        <v>0</v>
      </c>
      <c r="QT27" s="130">
        <f t="shared" si="99"/>
        <v>0</v>
      </c>
      <c r="QU27" s="130">
        <f t="shared" ref="QU27:TF27" si="100">ROUND(QU61,0)</f>
        <v>0</v>
      </c>
      <c r="QV27" s="130">
        <f t="shared" si="100"/>
        <v>0</v>
      </c>
      <c r="QW27" s="130">
        <f t="shared" si="100"/>
        <v>0</v>
      </c>
      <c r="QX27" s="130">
        <f t="shared" si="100"/>
        <v>0</v>
      </c>
      <c r="QY27" s="130">
        <f t="shared" si="100"/>
        <v>0</v>
      </c>
      <c r="QZ27" s="130">
        <f t="shared" si="100"/>
        <v>0</v>
      </c>
      <c r="RA27" s="130">
        <f t="shared" si="100"/>
        <v>0</v>
      </c>
      <c r="RB27" s="130">
        <f t="shared" si="100"/>
        <v>0</v>
      </c>
      <c r="RC27" s="130">
        <f t="shared" si="100"/>
        <v>0</v>
      </c>
      <c r="RD27" s="130">
        <f t="shared" si="100"/>
        <v>0</v>
      </c>
      <c r="RE27" s="130">
        <f t="shared" si="100"/>
        <v>0</v>
      </c>
      <c r="RF27" s="130">
        <f t="shared" si="100"/>
        <v>0</v>
      </c>
      <c r="RG27" s="130">
        <f t="shared" si="100"/>
        <v>0</v>
      </c>
      <c r="RH27" s="130">
        <f t="shared" si="100"/>
        <v>0</v>
      </c>
      <c r="RI27" s="130">
        <f t="shared" si="100"/>
        <v>0</v>
      </c>
      <c r="RJ27" s="130">
        <f t="shared" si="100"/>
        <v>0</v>
      </c>
      <c r="RK27" s="130">
        <f t="shared" si="100"/>
        <v>0</v>
      </c>
      <c r="RL27" s="130">
        <f t="shared" si="100"/>
        <v>0</v>
      </c>
      <c r="RM27" s="130">
        <f t="shared" si="100"/>
        <v>0</v>
      </c>
      <c r="RN27" s="130">
        <f t="shared" si="100"/>
        <v>0</v>
      </c>
      <c r="RO27" s="130">
        <f t="shared" si="100"/>
        <v>0</v>
      </c>
      <c r="RP27" s="130">
        <f t="shared" si="100"/>
        <v>0</v>
      </c>
      <c r="RQ27" s="130">
        <f t="shared" si="100"/>
        <v>0</v>
      </c>
      <c r="RR27" s="130">
        <f t="shared" si="100"/>
        <v>0</v>
      </c>
      <c r="RS27" s="130">
        <f t="shared" si="100"/>
        <v>0</v>
      </c>
      <c r="RT27" s="130">
        <f t="shared" si="100"/>
        <v>0</v>
      </c>
      <c r="RU27" s="130">
        <f t="shared" si="100"/>
        <v>0</v>
      </c>
      <c r="RV27" s="130">
        <f t="shared" si="100"/>
        <v>0</v>
      </c>
      <c r="RW27" s="130">
        <f t="shared" si="100"/>
        <v>0</v>
      </c>
      <c r="RX27" s="130">
        <f t="shared" si="100"/>
        <v>0</v>
      </c>
      <c r="RY27" s="130">
        <f t="shared" si="100"/>
        <v>0</v>
      </c>
      <c r="RZ27" s="130">
        <f t="shared" si="100"/>
        <v>0</v>
      </c>
      <c r="SA27" s="130">
        <f t="shared" si="100"/>
        <v>0</v>
      </c>
      <c r="SB27" s="130">
        <f t="shared" si="100"/>
        <v>0</v>
      </c>
      <c r="SC27" s="130">
        <f t="shared" si="100"/>
        <v>0</v>
      </c>
      <c r="SD27" s="130">
        <f t="shared" si="100"/>
        <v>0</v>
      </c>
      <c r="SE27" s="130">
        <f t="shared" si="100"/>
        <v>0</v>
      </c>
      <c r="SF27" s="130">
        <f t="shared" si="100"/>
        <v>0</v>
      </c>
      <c r="SG27" s="130">
        <f t="shared" si="100"/>
        <v>0</v>
      </c>
      <c r="SH27" s="130">
        <f t="shared" si="100"/>
        <v>0</v>
      </c>
      <c r="SI27" s="130">
        <f t="shared" si="100"/>
        <v>0</v>
      </c>
      <c r="SJ27" s="130">
        <f t="shared" si="100"/>
        <v>0</v>
      </c>
      <c r="SK27" s="130">
        <f t="shared" si="100"/>
        <v>0</v>
      </c>
      <c r="SL27" s="130">
        <f t="shared" si="100"/>
        <v>0</v>
      </c>
      <c r="SM27" s="130">
        <f t="shared" si="100"/>
        <v>0</v>
      </c>
      <c r="SN27" s="130">
        <f t="shared" si="100"/>
        <v>0</v>
      </c>
      <c r="SO27" s="130">
        <f t="shared" si="100"/>
        <v>0</v>
      </c>
      <c r="SP27" s="130">
        <f t="shared" si="100"/>
        <v>0</v>
      </c>
      <c r="SQ27" s="130">
        <f t="shared" si="100"/>
        <v>0</v>
      </c>
      <c r="SR27" s="130">
        <f t="shared" si="100"/>
        <v>0</v>
      </c>
      <c r="SS27" s="130">
        <f t="shared" si="100"/>
        <v>0</v>
      </c>
      <c r="ST27" s="130">
        <f t="shared" si="100"/>
        <v>0</v>
      </c>
      <c r="SU27" s="130">
        <f t="shared" si="100"/>
        <v>0</v>
      </c>
      <c r="SV27" s="130">
        <f t="shared" si="100"/>
        <v>0</v>
      </c>
      <c r="SW27" s="130">
        <f t="shared" si="100"/>
        <v>0</v>
      </c>
      <c r="SX27" s="130">
        <f t="shared" si="100"/>
        <v>0</v>
      </c>
      <c r="SY27" s="130">
        <f t="shared" si="100"/>
        <v>0</v>
      </c>
      <c r="SZ27" s="130">
        <f t="shared" si="100"/>
        <v>0</v>
      </c>
      <c r="TA27" s="130">
        <f t="shared" si="100"/>
        <v>0</v>
      </c>
      <c r="TB27" s="130">
        <f t="shared" si="100"/>
        <v>0</v>
      </c>
      <c r="TC27" s="130">
        <f t="shared" si="100"/>
        <v>0</v>
      </c>
      <c r="TD27" s="130">
        <f t="shared" si="100"/>
        <v>0</v>
      </c>
      <c r="TE27" s="130">
        <f t="shared" si="100"/>
        <v>0</v>
      </c>
      <c r="TF27" s="130">
        <f t="shared" si="100"/>
        <v>0</v>
      </c>
      <c r="TG27" s="130">
        <f t="shared" ref="TG27:VR27" si="101">ROUND(TG61,0)</f>
        <v>0</v>
      </c>
      <c r="TH27" s="130">
        <f t="shared" si="101"/>
        <v>0</v>
      </c>
      <c r="TI27" s="130">
        <f t="shared" si="101"/>
        <v>0</v>
      </c>
      <c r="TJ27" s="130">
        <f t="shared" si="101"/>
        <v>0</v>
      </c>
      <c r="TK27" s="130">
        <f t="shared" si="101"/>
        <v>0</v>
      </c>
      <c r="TL27" s="130">
        <f t="shared" si="101"/>
        <v>0</v>
      </c>
      <c r="TM27" s="130">
        <f t="shared" si="101"/>
        <v>0</v>
      </c>
      <c r="TN27" s="130">
        <f t="shared" si="101"/>
        <v>0</v>
      </c>
      <c r="TO27" s="130">
        <f t="shared" si="101"/>
        <v>0</v>
      </c>
      <c r="TP27" s="130">
        <f t="shared" si="101"/>
        <v>0</v>
      </c>
      <c r="TQ27" s="130">
        <f t="shared" si="101"/>
        <v>0</v>
      </c>
      <c r="TR27" s="130">
        <f t="shared" si="101"/>
        <v>0</v>
      </c>
      <c r="TS27" s="130">
        <f t="shared" si="101"/>
        <v>0</v>
      </c>
      <c r="TT27" s="130">
        <f t="shared" si="101"/>
        <v>0</v>
      </c>
      <c r="TU27" s="130">
        <f t="shared" si="101"/>
        <v>0</v>
      </c>
      <c r="TV27" s="130">
        <f t="shared" si="101"/>
        <v>0</v>
      </c>
      <c r="TW27" s="130">
        <f t="shared" si="101"/>
        <v>0</v>
      </c>
      <c r="TX27" s="130">
        <f t="shared" si="101"/>
        <v>0</v>
      </c>
      <c r="TY27" s="130">
        <f t="shared" si="101"/>
        <v>0</v>
      </c>
      <c r="TZ27" s="130">
        <f t="shared" si="101"/>
        <v>0</v>
      </c>
      <c r="UA27" s="130">
        <f t="shared" si="101"/>
        <v>0</v>
      </c>
      <c r="UB27" s="130">
        <f t="shared" si="101"/>
        <v>0</v>
      </c>
      <c r="UC27" s="130">
        <f t="shared" si="101"/>
        <v>0</v>
      </c>
      <c r="UD27" s="130">
        <f t="shared" si="101"/>
        <v>0</v>
      </c>
      <c r="UE27" s="130">
        <f t="shared" si="101"/>
        <v>0</v>
      </c>
      <c r="UF27" s="130">
        <f t="shared" si="101"/>
        <v>0</v>
      </c>
      <c r="UG27" s="130">
        <f t="shared" si="101"/>
        <v>0</v>
      </c>
      <c r="UH27" s="130">
        <f t="shared" si="101"/>
        <v>0</v>
      </c>
      <c r="UI27" s="130">
        <f t="shared" si="101"/>
        <v>0</v>
      </c>
      <c r="UJ27" s="130">
        <f t="shared" si="101"/>
        <v>0</v>
      </c>
      <c r="UK27" s="130">
        <f t="shared" si="101"/>
        <v>0</v>
      </c>
      <c r="UL27" s="130">
        <f t="shared" si="101"/>
        <v>0</v>
      </c>
      <c r="UM27" s="130">
        <f t="shared" si="101"/>
        <v>0</v>
      </c>
      <c r="UN27" s="130">
        <f t="shared" si="101"/>
        <v>0</v>
      </c>
      <c r="UO27" s="130">
        <f t="shared" si="101"/>
        <v>0</v>
      </c>
      <c r="UP27" s="130">
        <f t="shared" si="101"/>
        <v>0</v>
      </c>
      <c r="UQ27" s="130">
        <f t="shared" si="101"/>
        <v>0</v>
      </c>
      <c r="UR27" s="130">
        <f t="shared" si="101"/>
        <v>0</v>
      </c>
      <c r="US27" s="130">
        <f t="shared" si="101"/>
        <v>0</v>
      </c>
      <c r="UT27" s="130">
        <f t="shared" si="101"/>
        <v>0</v>
      </c>
      <c r="UU27" s="130">
        <f t="shared" si="101"/>
        <v>0</v>
      </c>
      <c r="UV27" s="130">
        <f t="shared" si="101"/>
        <v>0</v>
      </c>
      <c r="UW27" s="130">
        <f t="shared" si="101"/>
        <v>0</v>
      </c>
      <c r="UX27" s="130">
        <f t="shared" si="101"/>
        <v>0</v>
      </c>
      <c r="UY27" s="130">
        <f t="shared" si="101"/>
        <v>0</v>
      </c>
      <c r="UZ27" s="130">
        <f t="shared" si="101"/>
        <v>0</v>
      </c>
      <c r="VA27" s="130">
        <f t="shared" si="101"/>
        <v>0</v>
      </c>
      <c r="VB27" s="130">
        <f t="shared" si="101"/>
        <v>0</v>
      </c>
      <c r="VC27" s="130">
        <f t="shared" si="101"/>
        <v>0</v>
      </c>
      <c r="VD27" s="130">
        <f t="shared" si="101"/>
        <v>0</v>
      </c>
      <c r="VE27" s="130">
        <f t="shared" si="101"/>
        <v>0</v>
      </c>
      <c r="VF27" s="130">
        <f t="shared" si="101"/>
        <v>0</v>
      </c>
      <c r="VG27" s="130">
        <f t="shared" si="101"/>
        <v>0</v>
      </c>
      <c r="VH27" s="130">
        <f t="shared" si="101"/>
        <v>0</v>
      </c>
      <c r="VI27" s="130">
        <f t="shared" si="101"/>
        <v>0</v>
      </c>
      <c r="VJ27" s="130">
        <f t="shared" si="101"/>
        <v>0</v>
      </c>
      <c r="VK27" s="130">
        <f t="shared" si="101"/>
        <v>0</v>
      </c>
      <c r="VL27" s="130">
        <f t="shared" si="101"/>
        <v>0</v>
      </c>
      <c r="VM27" s="130">
        <f t="shared" si="101"/>
        <v>0</v>
      </c>
      <c r="VN27" s="130">
        <f t="shared" si="101"/>
        <v>0</v>
      </c>
      <c r="VO27" s="130">
        <f t="shared" si="101"/>
        <v>0</v>
      </c>
      <c r="VP27" s="130">
        <f t="shared" si="101"/>
        <v>0</v>
      </c>
      <c r="VQ27" s="130">
        <f t="shared" si="101"/>
        <v>0</v>
      </c>
      <c r="VR27" s="130">
        <f t="shared" si="101"/>
        <v>0</v>
      </c>
      <c r="VS27" s="130">
        <f t="shared" ref="VS27:YD27" si="102">ROUND(VS61,0)</f>
        <v>0</v>
      </c>
      <c r="VT27" s="130">
        <f t="shared" si="102"/>
        <v>0</v>
      </c>
      <c r="VU27" s="130">
        <f t="shared" si="102"/>
        <v>0</v>
      </c>
      <c r="VV27" s="130">
        <f t="shared" si="102"/>
        <v>0</v>
      </c>
      <c r="VW27" s="130">
        <f t="shared" si="102"/>
        <v>0</v>
      </c>
      <c r="VX27" s="130">
        <f t="shared" si="102"/>
        <v>0</v>
      </c>
      <c r="VY27" s="130">
        <f t="shared" si="102"/>
        <v>0</v>
      </c>
      <c r="VZ27" s="130">
        <f t="shared" si="102"/>
        <v>0</v>
      </c>
      <c r="WA27" s="130">
        <f t="shared" si="102"/>
        <v>0</v>
      </c>
      <c r="WB27" s="130">
        <f t="shared" si="102"/>
        <v>0</v>
      </c>
      <c r="WC27" s="130">
        <f t="shared" si="102"/>
        <v>0</v>
      </c>
      <c r="WD27" s="130">
        <f t="shared" si="102"/>
        <v>0</v>
      </c>
      <c r="WE27" s="130">
        <f t="shared" si="102"/>
        <v>0</v>
      </c>
      <c r="WF27" s="130">
        <f t="shared" si="102"/>
        <v>0</v>
      </c>
      <c r="WG27" s="130">
        <f t="shared" si="102"/>
        <v>0</v>
      </c>
      <c r="WH27" s="130">
        <f t="shared" si="102"/>
        <v>0</v>
      </c>
      <c r="WI27" s="130">
        <f t="shared" si="102"/>
        <v>0</v>
      </c>
      <c r="WJ27" s="130">
        <f t="shared" si="102"/>
        <v>0</v>
      </c>
      <c r="WK27" s="130">
        <f t="shared" si="102"/>
        <v>0</v>
      </c>
      <c r="WL27" s="130">
        <f t="shared" si="102"/>
        <v>0</v>
      </c>
      <c r="WM27" s="130">
        <f t="shared" si="102"/>
        <v>0</v>
      </c>
      <c r="WN27" s="130">
        <f t="shared" si="102"/>
        <v>0</v>
      </c>
      <c r="WO27" s="130">
        <f t="shared" si="102"/>
        <v>0</v>
      </c>
      <c r="WP27" s="130">
        <f t="shared" si="102"/>
        <v>0</v>
      </c>
      <c r="WQ27" s="130">
        <f t="shared" si="102"/>
        <v>0</v>
      </c>
      <c r="WR27" s="130">
        <f t="shared" si="102"/>
        <v>0</v>
      </c>
      <c r="WS27" s="130">
        <f t="shared" si="102"/>
        <v>0</v>
      </c>
      <c r="WT27" s="130">
        <f t="shared" si="102"/>
        <v>0</v>
      </c>
      <c r="WU27" s="130">
        <f t="shared" si="102"/>
        <v>0</v>
      </c>
      <c r="WV27" s="130">
        <f t="shared" si="102"/>
        <v>0</v>
      </c>
      <c r="WW27" s="130">
        <f t="shared" si="102"/>
        <v>0</v>
      </c>
      <c r="WX27" s="130">
        <f t="shared" si="102"/>
        <v>0</v>
      </c>
      <c r="WY27" s="130">
        <f t="shared" si="102"/>
        <v>0</v>
      </c>
      <c r="WZ27" s="130">
        <f t="shared" si="102"/>
        <v>0</v>
      </c>
      <c r="XA27" s="130">
        <f t="shared" si="102"/>
        <v>0</v>
      </c>
      <c r="XB27" s="130">
        <f t="shared" si="102"/>
        <v>0</v>
      </c>
      <c r="XC27" s="130">
        <f t="shared" si="102"/>
        <v>0</v>
      </c>
      <c r="XD27" s="130">
        <f t="shared" si="102"/>
        <v>0</v>
      </c>
      <c r="XE27" s="130">
        <f t="shared" si="102"/>
        <v>0</v>
      </c>
      <c r="XF27" s="130">
        <f t="shared" si="102"/>
        <v>0</v>
      </c>
      <c r="XG27" s="130">
        <f t="shared" si="102"/>
        <v>0</v>
      </c>
      <c r="XH27" s="130">
        <f t="shared" si="102"/>
        <v>0</v>
      </c>
      <c r="XI27" s="130">
        <f t="shared" si="102"/>
        <v>0</v>
      </c>
      <c r="XJ27" s="130">
        <f t="shared" si="102"/>
        <v>0</v>
      </c>
      <c r="XK27" s="130">
        <f t="shared" si="102"/>
        <v>0</v>
      </c>
      <c r="XL27" s="130">
        <f t="shared" si="102"/>
        <v>0</v>
      </c>
      <c r="XM27" s="130">
        <f t="shared" si="102"/>
        <v>0</v>
      </c>
      <c r="XN27" s="130">
        <f t="shared" si="102"/>
        <v>0</v>
      </c>
      <c r="XO27" s="130">
        <f t="shared" si="102"/>
        <v>0</v>
      </c>
      <c r="XP27" s="130">
        <f t="shared" si="102"/>
        <v>0</v>
      </c>
      <c r="XQ27" s="130">
        <f t="shared" si="102"/>
        <v>0</v>
      </c>
      <c r="XR27" s="130">
        <f t="shared" si="102"/>
        <v>0</v>
      </c>
      <c r="XS27" s="130">
        <f t="shared" si="102"/>
        <v>0</v>
      </c>
      <c r="XT27" s="130">
        <f t="shared" si="102"/>
        <v>0</v>
      </c>
      <c r="XU27" s="130">
        <f t="shared" si="102"/>
        <v>0</v>
      </c>
      <c r="XV27" s="130">
        <f t="shared" si="102"/>
        <v>0</v>
      </c>
      <c r="XW27" s="130">
        <f t="shared" si="102"/>
        <v>0</v>
      </c>
      <c r="XX27" s="130">
        <f t="shared" si="102"/>
        <v>0</v>
      </c>
      <c r="XY27" s="130">
        <f t="shared" si="102"/>
        <v>0</v>
      </c>
      <c r="XZ27" s="130">
        <f t="shared" si="102"/>
        <v>0</v>
      </c>
      <c r="YA27" s="130">
        <f t="shared" si="102"/>
        <v>0</v>
      </c>
      <c r="YB27" s="130">
        <f t="shared" si="102"/>
        <v>0</v>
      </c>
      <c r="YC27" s="130">
        <f t="shared" si="102"/>
        <v>0</v>
      </c>
      <c r="YD27" s="130">
        <f t="shared" si="102"/>
        <v>0</v>
      </c>
      <c r="YE27" s="130">
        <f t="shared" ref="YE27:AAP27" si="103">ROUND(YE61,0)</f>
        <v>0</v>
      </c>
      <c r="YF27" s="130">
        <f t="shared" si="103"/>
        <v>0</v>
      </c>
      <c r="YG27" s="130">
        <f t="shared" si="103"/>
        <v>0</v>
      </c>
      <c r="YH27" s="130">
        <f t="shared" si="103"/>
        <v>0</v>
      </c>
      <c r="YI27" s="130">
        <f t="shared" si="103"/>
        <v>0</v>
      </c>
      <c r="YJ27" s="130">
        <f t="shared" si="103"/>
        <v>0</v>
      </c>
      <c r="YK27" s="130">
        <f t="shared" si="103"/>
        <v>0</v>
      </c>
      <c r="YL27" s="130">
        <f t="shared" si="103"/>
        <v>0</v>
      </c>
      <c r="YM27" s="130">
        <f t="shared" si="103"/>
        <v>0</v>
      </c>
      <c r="YN27" s="130">
        <f t="shared" si="103"/>
        <v>0</v>
      </c>
      <c r="YO27" s="130">
        <f t="shared" si="103"/>
        <v>0</v>
      </c>
      <c r="YP27" s="130">
        <f t="shared" si="103"/>
        <v>0</v>
      </c>
      <c r="YQ27" s="130">
        <f t="shared" si="103"/>
        <v>0</v>
      </c>
      <c r="YR27" s="130">
        <f t="shared" si="103"/>
        <v>0</v>
      </c>
      <c r="YS27" s="130">
        <f t="shared" si="103"/>
        <v>0</v>
      </c>
      <c r="YT27" s="130">
        <f t="shared" si="103"/>
        <v>0</v>
      </c>
      <c r="YU27" s="130">
        <f t="shared" si="103"/>
        <v>0</v>
      </c>
      <c r="YV27" s="130">
        <f t="shared" si="103"/>
        <v>0</v>
      </c>
      <c r="YW27" s="130">
        <f t="shared" si="103"/>
        <v>0</v>
      </c>
      <c r="YX27" s="130">
        <f t="shared" si="103"/>
        <v>0</v>
      </c>
      <c r="YY27" s="130">
        <f t="shared" si="103"/>
        <v>0</v>
      </c>
      <c r="YZ27" s="130">
        <f t="shared" si="103"/>
        <v>0</v>
      </c>
      <c r="ZA27" s="130">
        <f t="shared" si="103"/>
        <v>0</v>
      </c>
      <c r="ZB27" s="130">
        <f t="shared" si="103"/>
        <v>0</v>
      </c>
      <c r="ZC27" s="130">
        <f t="shared" si="103"/>
        <v>0</v>
      </c>
      <c r="ZD27" s="130">
        <f t="shared" si="103"/>
        <v>0</v>
      </c>
      <c r="ZE27" s="130">
        <f t="shared" si="103"/>
        <v>0</v>
      </c>
      <c r="ZF27" s="130">
        <f t="shared" si="103"/>
        <v>0</v>
      </c>
      <c r="ZG27" s="130">
        <f t="shared" si="103"/>
        <v>0</v>
      </c>
      <c r="ZH27" s="130">
        <f t="shared" si="103"/>
        <v>0</v>
      </c>
      <c r="ZI27" s="130">
        <f t="shared" si="103"/>
        <v>0</v>
      </c>
      <c r="ZJ27" s="130">
        <f t="shared" si="103"/>
        <v>0</v>
      </c>
      <c r="ZK27" s="130">
        <f t="shared" si="103"/>
        <v>0</v>
      </c>
      <c r="ZL27" s="130">
        <f t="shared" si="103"/>
        <v>0</v>
      </c>
      <c r="ZM27" s="130">
        <f t="shared" si="103"/>
        <v>0</v>
      </c>
      <c r="ZN27" s="130">
        <f t="shared" si="103"/>
        <v>0</v>
      </c>
      <c r="ZO27" s="130">
        <f t="shared" si="103"/>
        <v>0</v>
      </c>
      <c r="ZP27" s="130">
        <f t="shared" si="103"/>
        <v>0</v>
      </c>
      <c r="ZQ27" s="130">
        <f t="shared" si="103"/>
        <v>0</v>
      </c>
      <c r="ZR27" s="130">
        <f t="shared" si="103"/>
        <v>0</v>
      </c>
      <c r="ZS27" s="130">
        <f t="shared" si="103"/>
        <v>0</v>
      </c>
      <c r="ZT27" s="130">
        <f t="shared" si="103"/>
        <v>0</v>
      </c>
      <c r="ZU27" s="130">
        <f t="shared" si="103"/>
        <v>0</v>
      </c>
      <c r="ZV27" s="130">
        <f t="shared" si="103"/>
        <v>0</v>
      </c>
      <c r="ZW27" s="130">
        <f t="shared" si="103"/>
        <v>0</v>
      </c>
      <c r="ZX27" s="130">
        <f t="shared" si="103"/>
        <v>0</v>
      </c>
      <c r="ZY27" s="130">
        <f t="shared" si="103"/>
        <v>0</v>
      </c>
      <c r="ZZ27" s="130">
        <f t="shared" si="103"/>
        <v>0</v>
      </c>
      <c r="AAA27" s="130">
        <f t="shared" si="103"/>
        <v>0</v>
      </c>
      <c r="AAB27" s="130">
        <f t="shared" si="103"/>
        <v>0</v>
      </c>
      <c r="AAC27" s="130">
        <f t="shared" si="103"/>
        <v>0</v>
      </c>
      <c r="AAD27" s="130">
        <f t="shared" si="103"/>
        <v>0</v>
      </c>
      <c r="AAE27" s="130">
        <f t="shared" si="103"/>
        <v>0</v>
      </c>
      <c r="AAF27" s="130">
        <f t="shared" si="103"/>
        <v>0</v>
      </c>
      <c r="AAG27" s="130">
        <f t="shared" si="103"/>
        <v>0</v>
      </c>
      <c r="AAH27" s="130">
        <f t="shared" si="103"/>
        <v>0</v>
      </c>
      <c r="AAI27" s="130">
        <f t="shared" si="103"/>
        <v>0</v>
      </c>
      <c r="AAJ27" s="130">
        <f t="shared" si="103"/>
        <v>0</v>
      </c>
      <c r="AAK27" s="130">
        <f t="shared" si="103"/>
        <v>0</v>
      </c>
      <c r="AAL27" s="130">
        <f t="shared" si="103"/>
        <v>0</v>
      </c>
      <c r="AAM27" s="130">
        <f t="shared" si="103"/>
        <v>0</v>
      </c>
      <c r="AAN27" s="130">
        <f t="shared" si="103"/>
        <v>0</v>
      </c>
      <c r="AAO27" s="130">
        <f t="shared" si="103"/>
        <v>0</v>
      </c>
      <c r="AAP27" s="130">
        <f t="shared" si="103"/>
        <v>0</v>
      </c>
      <c r="AAQ27" s="130">
        <f t="shared" ref="AAQ27:ADB27" si="104">ROUND(AAQ61,0)</f>
        <v>0</v>
      </c>
      <c r="AAR27" s="130">
        <f t="shared" si="104"/>
        <v>0</v>
      </c>
      <c r="AAS27" s="130">
        <f t="shared" si="104"/>
        <v>0</v>
      </c>
      <c r="AAT27" s="130">
        <f t="shared" si="104"/>
        <v>0</v>
      </c>
      <c r="AAU27" s="130">
        <f t="shared" si="104"/>
        <v>0</v>
      </c>
      <c r="AAV27" s="130">
        <f t="shared" si="104"/>
        <v>0</v>
      </c>
      <c r="AAW27" s="130">
        <f t="shared" si="104"/>
        <v>0</v>
      </c>
      <c r="AAX27" s="130">
        <f t="shared" si="104"/>
        <v>0</v>
      </c>
      <c r="AAY27" s="130">
        <f t="shared" si="104"/>
        <v>0</v>
      </c>
      <c r="AAZ27" s="130">
        <f t="shared" si="104"/>
        <v>0</v>
      </c>
      <c r="ABA27" s="130">
        <f t="shared" si="104"/>
        <v>0</v>
      </c>
      <c r="ABB27" s="130">
        <f t="shared" si="104"/>
        <v>0</v>
      </c>
      <c r="ABC27" s="130">
        <f t="shared" si="104"/>
        <v>0</v>
      </c>
      <c r="ABD27" s="130">
        <f t="shared" si="104"/>
        <v>0</v>
      </c>
      <c r="ABE27" s="130">
        <f t="shared" si="104"/>
        <v>0</v>
      </c>
      <c r="ABF27" s="130">
        <f t="shared" si="104"/>
        <v>0</v>
      </c>
      <c r="ABG27" s="130">
        <f t="shared" si="104"/>
        <v>0</v>
      </c>
      <c r="ABH27" s="130">
        <f t="shared" si="104"/>
        <v>0</v>
      </c>
      <c r="ABI27" s="130">
        <f t="shared" si="104"/>
        <v>0</v>
      </c>
      <c r="ABJ27" s="130">
        <f t="shared" si="104"/>
        <v>0</v>
      </c>
      <c r="ABK27" s="130">
        <f t="shared" si="104"/>
        <v>0</v>
      </c>
      <c r="ABL27" s="130">
        <f t="shared" si="104"/>
        <v>0</v>
      </c>
      <c r="ABM27" s="130">
        <f t="shared" si="104"/>
        <v>0</v>
      </c>
      <c r="ABN27" s="130">
        <f t="shared" si="104"/>
        <v>0</v>
      </c>
      <c r="ABO27" s="130">
        <f t="shared" si="104"/>
        <v>0</v>
      </c>
      <c r="ABP27" s="130">
        <f t="shared" si="104"/>
        <v>0</v>
      </c>
      <c r="ABQ27" s="130">
        <f t="shared" si="104"/>
        <v>0</v>
      </c>
      <c r="ABR27" s="130">
        <f t="shared" si="104"/>
        <v>0</v>
      </c>
      <c r="ABS27" s="130">
        <f t="shared" si="104"/>
        <v>0</v>
      </c>
      <c r="ABT27" s="130">
        <f t="shared" si="104"/>
        <v>0</v>
      </c>
      <c r="ABU27" s="130">
        <f t="shared" si="104"/>
        <v>0</v>
      </c>
      <c r="ABV27" s="130">
        <f t="shared" si="104"/>
        <v>0</v>
      </c>
      <c r="ABW27" s="130">
        <f t="shared" si="104"/>
        <v>0</v>
      </c>
      <c r="ABX27" s="130">
        <f t="shared" si="104"/>
        <v>0</v>
      </c>
      <c r="ABY27" s="130">
        <f t="shared" si="104"/>
        <v>0</v>
      </c>
      <c r="ABZ27" s="130">
        <f t="shared" si="104"/>
        <v>0</v>
      </c>
      <c r="ACA27" s="130">
        <f t="shared" si="104"/>
        <v>0</v>
      </c>
      <c r="ACB27" s="130">
        <f t="shared" si="104"/>
        <v>0</v>
      </c>
      <c r="ACC27" s="130">
        <f t="shared" si="104"/>
        <v>0</v>
      </c>
      <c r="ACD27" s="130">
        <f t="shared" si="104"/>
        <v>0</v>
      </c>
      <c r="ACE27" s="130">
        <f t="shared" si="104"/>
        <v>0</v>
      </c>
      <c r="ACF27" s="130">
        <f t="shared" si="104"/>
        <v>0</v>
      </c>
      <c r="ACG27" s="130">
        <f t="shared" si="104"/>
        <v>0</v>
      </c>
      <c r="ACH27" s="130">
        <f t="shared" si="104"/>
        <v>0</v>
      </c>
      <c r="ACI27" s="130">
        <f t="shared" si="104"/>
        <v>0</v>
      </c>
      <c r="ACJ27" s="130">
        <f t="shared" si="104"/>
        <v>0</v>
      </c>
      <c r="ACK27" s="130">
        <f t="shared" si="104"/>
        <v>0</v>
      </c>
      <c r="ACL27" s="130">
        <f t="shared" si="104"/>
        <v>0</v>
      </c>
      <c r="ACM27" s="130">
        <f t="shared" si="104"/>
        <v>0</v>
      </c>
      <c r="ACN27" s="130">
        <f t="shared" si="104"/>
        <v>0</v>
      </c>
      <c r="ACO27" s="130">
        <f t="shared" si="104"/>
        <v>0</v>
      </c>
      <c r="ACP27" s="130">
        <f t="shared" si="104"/>
        <v>0</v>
      </c>
      <c r="ACQ27" s="130">
        <f t="shared" si="104"/>
        <v>0</v>
      </c>
      <c r="ACR27" s="130">
        <f t="shared" si="104"/>
        <v>0</v>
      </c>
      <c r="ACS27" s="130">
        <f t="shared" si="104"/>
        <v>0</v>
      </c>
      <c r="ACT27" s="130">
        <f t="shared" si="104"/>
        <v>0</v>
      </c>
      <c r="ACU27" s="130">
        <f t="shared" si="104"/>
        <v>0</v>
      </c>
      <c r="ACV27" s="130">
        <f t="shared" si="104"/>
        <v>0</v>
      </c>
      <c r="ACW27" s="130">
        <f t="shared" si="104"/>
        <v>0</v>
      </c>
      <c r="ACX27" s="130">
        <f t="shared" si="104"/>
        <v>0</v>
      </c>
      <c r="ACY27" s="130">
        <f t="shared" si="104"/>
        <v>0</v>
      </c>
      <c r="ACZ27" s="130">
        <f t="shared" si="104"/>
        <v>0</v>
      </c>
      <c r="ADA27" s="130">
        <f t="shared" si="104"/>
        <v>0</v>
      </c>
      <c r="ADB27" s="130">
        <f t="shared" si="104"/>
        <v>0</v>
      </c>
      <c r="ADC27" s="130">
        <f t="shared" ref="ADC27:AEW27" si="105">ROUND(ADC61,0)</f>
        <v>0</v>
      </c>
      <c r="ADD27" s="130">
        <f t="shared" si="105"/>
        <v>0</v>
      </c>
      <c r="ADE27" s="130">
        <f t="shared" si="105"/>
        <v>0</v>
      </c>
      <c r="ADF27" s="130">
        <f t="shared" si="105"/>
        <v>0</v>
      </c>
      <c r="ADG27" s="130">
        <f t="shared" si="105"/>
        <v>0</v>
      </c>
      <c r="ADH27" s="130">
        <f t="shared" si="105"/>
        <v>0</v>
      </c>
      <c r="ADI27" s="130">
        <f t="shared" si="105"/>
        <v>0</v>
      </c>
      <c r="ADJ27" s="130">
        <f t="shared" si="105"/>
        <v>0</v>
      </c>
      <c r="ADK27" s="130">
        <f t="shared" si="105"/>
        <v>0</v>
      </c>
      <c r="ADL27" s="130">
        <f t="shared" si="105"/>
        <v>0</v>
      </c>
      <c r="ADM27" s="130">
        <f t="shared" si="105"/>
        <v>0</v>
      </c>
      <c r="ADN27" s="130">
        <f t="shared" si="105"/>
        <v>0</v>
      </c>
      <c r="ADO27" s="130">
        <f t="shared" si="105"/>
        <v>0</v>
      </c>
      <c r="ADP27" s="130">
        <f t="shared" si="105"/>
        <v>0</v>
      </c>
      <c r="ADQ27" s="130">
        <f t="shared" si="105"/>
        <v>0</v>
      </c>
      <c r="ADR27" s="130">
        <f t="shared" si="105"/>
        <v>0</v>
      </c>
      <c r="ADS27" s="130">
        <f t="shared" si="105"/>
        <v>0</v>
      </c>
      <c r="ADT27" s="130">
        <f t="shared" si="105"/>
        <v>0</v>
      </c>
      <c r="ADU27" s="130">
        <f t="shared" si="105"/>
        <v>0</v>
      </c>
      <c r="ADV27" s="130">
        <f t="shared" si="105"/>
        <v>0</v>
      </c>
      <c r="ADW27" s="130">
        <f t="shared" si="105"/>
        <v>0</v>
      </c>
      <c r="ADX27" s="130">
        <f t="shared" si="105"/>
        <v>0</v>
      </c>
      <c r="ADY27" s="130">
        <f t="shared" si="105"/>
        <v>0</v>
      </c>
      <c r="ADZ27" s="130">
        <f t="shared" si="105"/>
        <v>0</v>
      </c>
      <c r="AEA27" s="130">
        <f t="shared" si="105"/>
        <v>0</v>
      </c>
      <c r="AEB27" s="130">
        <f t="shared" si="105"/>
        <v>0</v>
      </c>
      <c r="AEC27" s="130">
        <f t="shared" si="105"/>
        <v>0</v>
      </c>
      <c r="AED27" s="130">
        <f t="shared" si="105"/>
        <v>0</v>
      </c>
      <c r="AEE27" s="130">
        <f t="shared" si="105"/>
        <v>0</v>
      </c>
      <c r="AEF27" s="130">
        <f t="shared" si="105"/>
        <v>0</v>
      </c>
      <c r="AEG27" s="130">
        <f t="shared" si="105"/>
        <v>0</v>
      </c>
      <c r="AEH27" s="130">
        <f t="shared" si="105"/>
        <v>0</v>
      </c>
      <c r="AEI27" s="130">
        <f t="shared" si="105"/>
        <v>0</v>
      </c>
      <c r="AEJ27" s="130">
        <f t="shared" si="105"/>
        <v>0</v>
      </c>
      <c r="AEK27" s="130">
        <f t="shared" si="105"/>
        <v>0</v>
      </c>
      <c r="AEL27" s="130">
        <f t="shared" si="105"/>
        <v>0</v>
      </c>
      <c r="AEM27" s="130">
        <f t="shared" si="105"/>
        <v>0</v>
      </c>
      <c r="AEN27" s="130">
        <f t="shared" si="105"/>
        <v>0</v>
      </c>
      <c r="AEO27" s="130">
        <f t="shared" si="105"/>
        <v>0</v>
      </c>
      <c r="AEP27" s="130">
        <f t="shared" si="105"/>
        <v>0</v>
      </c>
      <c r="AEQ27" s="130">
        <f t="shared" si="105"/>
        <v>0</v>
      </c>
      <c r="AER27" s="130">
        <f t="shared" si="105"/>
        <v>0</v>
      </c>
      <c r="AES27" s="130">
        <f t="shared" si="105"/>
        <v>0</v>
      </c>
      <c r="AET27" s="130">
        <f t="shared" si="105"/>
        <v>0</v>
      </c>
      <c r="AEU27" s="130">
        <f t="shared" si="105"/>
        <v>0</v>
      </c>
      <c r="AEV27" s="130">
        <f t="shared" si="105"/>
        <v>0</v>
      </c>
      <c r="AEW27" s="130">
        <f t="shared" si="105"/>
        <v>0</v>
      </c>
      <c r="AEX27" s="144" t="s">
        <v>221</v>
      </c>
    </row>
    <row r="28" spans="1:830" ht="22.5" customHeight="1" x14ac:dyDescent="0.25">
      <c r="A28" s="36"/>
      <c r="B28" s="128" t="s">
        <v>414</v>
      </c>
      <c r="C28" s="160">
        <f>REKAP!$J$6</f>
        <v>0</v>
      </c>
      <c r="D28" s="124">
        <f>REKAP!$J$4</f>
        <v>0</v>
      </c>
      <c r="E28" s="159">
        <f>REKAP!$J$5</f>
        <v>0</v>
      </c>
      <c r="F28" s="36"/>
      <c r="G28" s="138" t="s">
        <v>219</v>
      </c>
      <c r="H28" s="4" t="s">
        <v>220</v>
      </c>
      <c r="I28" s="143"/>
      <c r="J28" s="141">
        <f t="shared" si="0"/>
        <v>0</v>
      </c>
      <c r="K28" s="7"/>
      <c r="L28" s="7"/>
      <c r="M28" s="7"/>
      <c r="N28" s="130"/>
      <c r="O28" s="130"/>
      <c r="P28" s="130"/>
      <c r="Q28" s="130"/>
      <c r="R28" s="130"/>
      <c r="S28" s="130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  <c r="CK28" s="130"/>
      <c r="CL28" s="130"/>
      <c r="CM28" s="130"/>
      <c r="CN28" s="130"/>
      <c r="CO28" s="130"/>
      <c r="CP28" s="130"/>
      <c r="CQ28" s="130"/>
      <c r="CR28" s="130"/>
      <c r="CS28" s="130"/>
      <c r="CT28" s="130"/>
      <c r="CU28" s="130"/>
      <c r="CV28" s="130"/>
      <c r="CW28" s="130"/>
      <c r="CX28" s="130"/>
      <c r="CY28" s="130"/>
      <c r="CZ28" s="130"/>
      <c r="DA28" s="130"/>
      <c r="DB28" s="130"/>
      <c r="DC28" s="130"/>
      <c r="DD28" s="130"/>
      <c r="DE28" s="130"/>
      <c r="DF28" s="130"/>
      <c r="DG28" s="130"/>
      <c r="DH28" s="130"/>
      <c r="DI28" s="130"/>
      <c r="DJ28" s="130"/>
      <c r="DK28" s="130"/>
      <c r="DL28" s="130"/>
      <c r="DM28" s="130"/>
      <c r="DN28" s="130"/>
      <c r="DO28" s="130"/>
      <c r="DP28" s="130"/>
      <c r="DQ28" s="130"/>
      <c r="DR28" s="130"/>
      <c r="DS28" s="130"/>
      <c r="DT28" s="130"/>
      <c r="DU28" s="130"/>
      <c r="DV28" s="130"/>
      <c r="DW28" s="130"/>
      <c r="DX28" s="130"/>
      <c r="DY28" s="130"/>
      <c r="DZ28" s="130"/>
      <c r="EA28" s="130"/>
      <c r="EB28" s="130"/>
      <c r="EC28" s="130"/>
      <c r="ED28" s="130"/>
      <c r="EE28" s="130"/>
      <c r="EF28" s="130"/>
      <c r="EG28" s="130"/>
      <c r="EH28" s="130"/>
      <c r="EI28" s="130"/>
      <c r="EJ28" s="130"/>
      <c r="EK28" s="130"/>
      <c r="EL28" s="130"/>
      <c r="EM28" s="130"/>
      <c r="EN28" s="130"/>
      <c r="EO28" s="130"/>
      <c r="EP28" s="130"/>
      <c r="EQ28" s="130"/>
      <c r="ER28" s="130"/>
      <c r="ES28" s="130"/>
      <c r="ET28" s="130"/>
      <c r="EU28" s="130"/>
      <c r="EV28" s="130"/>
      <c r="EW28" s="130"/>
      <c r="EX28" s="130"/>
      <c r="EY28" s="130"/>
      <c r="EZ28" s="130"/>
      <c r="FA28" s="130"/>
      <c r="FB28" s="130"/>
      <c r="FC28" s="130"/>
      <c r="FD28" s="130"/>
      <c r="FE28" s="130"/>
      <c r="FF28" s="130"/>
      <c r="FG28" s="130"/>
      <c r="FH28" s="130"/>
      <c r="FI28" s="130"/>
      <c r="FJ28" s="130"/>
      <c r="FK28" s="130"/>
      <c r="FL28" s="130"/>
      <c r="FM28" s="130"/>
      <c r="FN28" s="130"/>
      <c r="FO28" s="130"/>
      <c r="FP28" s="130"/>
      <c r="FQ28" s="130"/>
      <c r="FR28" s="130"/>
      <c r="FS28" s="130"/>
      <c r="FT28" s="130"/>
      <c r="FU28" s="130"/>
      <c r="FV28" s="130"/>
      <c r="FW28" s="130"/>
      <c r="FX28" s="130"/>
      <c r="FY28" s="130"/>
      <c r="FZ28" s="130"/>
      <c r="GA28" s="130"/>
      <c r="GB28" s="130"/>
      <c r="GC28" s="130"/>
      <c r="GD28" s="130"/>
      <c r="GE28" s="130"/>
      <c r="GF28" s="130"/>
      <c r="GG28" s="130"/>
      <c r="GH28" s="130"/>
      <c r="GI28" s="130"/>
      <c r="GJ28" s="130"/>
      <c r="GK28" s="130"/>
      <c r="GL28" s="130"/>
      <c r="GM28" s="130"/>
      <c r="GN28" s="130"/>
      <c r="GO28" s="130"/>
      <c r="GP28" s="130"/>
      <c r="GQ28" s="130"/>
      <c r="GR28" s="130"/>
      <c r="GS28" s="130"/>
      <c r="GT28" s="130"/>
      <c r="GU28" s="130"/>
      <c r="GV28" s="130"/>
      <c r="GW28" s="130"/>
      <c r="GX28" s="130"/>
      <c r="GY28" s="130"/>
      <c r="GZ28" s="130"/>
      <c r="HA28" s="130"/>
      <c r="HB28" s="130"/>
      <c r="HC28" s="130"/>
      <c r="HD28" s="130"/>
      <c r="HE28" s="130"/>
      <c r="HF28" s="130"/>
      <c r="HG28" s="130"/>
      <c r="HH28" s="130"/>
      <c r="HI28" s="130"/>
      <c r="HJ28" s="130"/>
      <c r="HK28" s="130"/>
      <c r="HL28" s="130"/>
      <c r="HM28" s="130"/>
      <c r="HN28" s="130"/>
      <c r="HO28" s="130"/>
      <c r="HP28" s="130"/>
      <c r="HQ28" s="130"/>
      <c r="HR28" s="130"/>
      <c r="HS28" s="130"/>
      <c r="HT28" s="130"/>
      <c r="HU28" s="130"/>
      <c r="HV28" s="130"/>
      <c r="HW28" s="130"/>
      <c r="HX28" s="130"/>
      <c r="HY28" s="130"/>
      <c r="HZ28" s="130"/>
      <c r="IA28" s="130"/>
      <c r="IB28" s="130"/>
      <c r="IC28" s="130"/>
      <c r="ID28" s="130"/>
      <c r="IE28" s="130"/>
      <c r="IF28" s="130"/>
      <c r="IG28" s="130"/>
      <c r="IH28" s="130"/>
      <c r="II28" s="130"/>
      <c r="IJ28" s="130"/>
      <c r="IK28" s="130"/>
      <c r="IL28" s="130"/>
      <c r="IM28" s="130"/>
      <c r="IN28" s="130"/>
      <c r="IO28" s="130"/>
      <c r="IP28" s="130"/>
      <c r="IQ28" s="130"/>
      <c r="IR28" s="130"/>
      <c r="IS28" s="130"/>
      <c r="IT28" s="130"/>
      <c r="IU28" s="130"/>
      <c r="IV28" s="130"/>
      <c r="IW28" s="130"/>
      <c r="IX28" s="130"/>
      <c r="IY28" s="130"/>
      <c r="IZ28" s="130"/>
      <c r="JA28" s="130"/>
      <c r="JB28" s="130"/>
      <c r="JC28" s="130"/>
      <c r="JD28" s="130"/>
      <c r="JE28" s="130"/>
      <c r="JF28" s="130"/>
      <c r="JG28" s="130"/>
      <c r="JH28" s="130"/>
      <c r="JI28" s="130"/>
      <c r="JJ28" s="130"/>
      <c r="JK28" s="130"/>
      <c r="JL28" s="130"/>
      <c r="JM28" s="130"/>
      <c r="JN28" s="130"/>
      <c r="JO28" s="130"/>
      <c r="JP28" s="130"/>
      <c r="JQ28" s="130"/>
      <c r="JR28" s="130"/>
      <c r="JS28" s="130"/>
      <c r="JT28" s="130"/>
      <c r="JU28" s="130"/>
      <c r="JV28" s="130"/>
      <c r="JW28" s="130"/>
      <c r="JX28" s="130"/>
      <c r="JY28" s="130"/>
      <c r="JZ28" s="130"/>
      <c r="KA28" s="130"/>
      <c r="KB28" s="130"/>
      <c r="KC28" s="130"/>
      <c r="KD28" s="130"/>
      <c r="KE28" s="130"/>
      <c r="KF28" s="130"/>
      <c r="KG28" s="130"/>
      <c r="KH28" s="130"/>
      <c r="KI28" s="130"/>
      <c r="KJ28" s="130"/>
      <c r="KK28" s="130"/>
      <c r="KL28" s="130"/>
      <c r="KM28" s="130"/>
      <c r="KN28" s="130"/>
      <c r="KO28" s="130"/>
      <c r="KP28" s="130"/>
      <c r="KQ28" s="130"/>
      <c r="KR28" s="130"/>
      <c r="KS28" s="130"/>
      <c r="KT28" s="130"/>
      <c r="KU28" s="130"/>
      <c r="KV28" s="130"/>
      <c r="KW28" s="130"/>
      <c r="KX28" s="130"/>
      <c r="KY28" s="130"/>
      <c r="KZ28" s="130"/>
      <c r="LA28" s="130"/>
      <c r="LB28" s="130"/>
      <c r="LC28" s="130"/>
      <c r="LD28" s="130"/>
      <c r="LE28" s="130"/>
      <c r="LF28" s="130"/>
      <c r="LG28" s="130"/>
      <c r="LH28" s="130"/>
      <c r="LI28" s="130"/>
      <c r="LJ28" s="130"/>
      <c r="LK28" s="130"/>
      <c r="LL28" s="130"/>
      <c r="LM28" s="130"/>
      <c r="LN28" s="130"/>
      <c r="LO28" s="130"/>
      <c r="LP28" s="130"/>
      <c r="LQ28" s="130"/>
      <c r="LR28" s="130"/>
      <c r="LS28" s="130"/>
      <c r="LT28" s="130"/>
      <c r="LU28" s="130"/>
      <c r="LV28" s="130"/>
      <c r="LW28" s="130"/>
      <c r="LX28" s="130"/>
      <c r="LY28" s="130"/>
      <c r="LZ28" s="130"/>
      <c r="MA28" s="130"/>
      <c r="MB28" s="130"/>
      <c r="MC28" s="130"/>
      <c r="MD28" s="130"/>
      <c r="ME28" s="130"/>
      <c r="MF28" s="130"/>
      <c r="MG28" s="130"/>
      <c r="MH28" s="130"/>
      <c r="MI28" s="130"/>
      <c r="MJ28" s="130"/>
      <c r="MK28" s="130"/>
      <c r="ML28" s="130"/>
      <c r="MM28" s="130"/>
      <c r="MN28" s="130"/>
      <c r="MO28" s="130"/>
      <c r="MP28" s="130"/>
      <c r="MQ28" s="140">
        <f>SMA!$U$6</f>
        <v>0</v>
      </c>
      <c r="MR28" s="140">
        <f>SMA!$U$7</f>
        <v>0</v>
      </c>
      <c r="MS28" s="140">
        <f>SMA!$U$8</f>
        <v>0</v>
      </c>
      <c r="MT28" s="140">
        <f>SMA!$U$9</f>
        <v>0</v>
      </c>
      <c r="MU28" s="140">
        <f>SMA!$U$10</f>
        <v>0</v>
      </c>
      <c r="MV28" s="140">
        <f>SMA!$U$11</f>
        <v>0</v>
      </c>
      <c r="MW28" s="140">
        <f>SMA!$U$12</f>
        <v>0</v>
      </c>
      <c r="MX28" s="140">
        <f>SMA!$U$13</f>
        <v>0</v>
      </c>
      <c r="MY28" s="140">
        <f>SMA!$U$14</f>
        <v>0</v>
      </c>
      <c r="MZ28" s="140">
        <f>SMA!$U$15</f>
        <v>0</v>
      </c>
      <c r="NA28" s="140">
        <f>SMA!$U$16</f>
        <v>0</v>
      </c>
      <c r="NB28" s="140">
        <f>SMA!$U$17</f>
        <v>0</v>
      </c>
      <c r="NC28" s="140">
        <f>SMA!$U$18</f>
        <v>0</v>
      </c>
      <c r="ND28" s="140">
        <f>SMA!$U$19</f>
        <v>0</v>
      </c>
      <c r="NE28" s="140">
        <f>SMA!$U$20</f>
        <v>0</v>
      </c>
      <c r="NF28" s="140">
        <f>SMA!$U$21</f>
        <v>0</v>
      </c>
      <c r="NG28" s="140">
        <f>SMA!$U$22</f>
        <v>0</v>
      </c>
      <c r="NH28" s="130"/>
      <c r="NI28" s="130"/>
      <c r="NJ28" s="130"/>
      <c r="NK28" s="130"/>
      <c r="NL28" s="130"/>
      <c r="NM28" s="130"/>
      <c r="NN28" s="130"/>
      <c r="NO28" s="130"/>
      <c r="NP28" s="130"/>
      <c r="NQ28" s="130"/>
      <c r="NR28" s="130"/>
      <c r="NS28" s="130"/>
      <c r="NT28" s="130"/>
      <c r="NU28" s="130"/>
      <c r="NV28" s="130"/>
      <c r="NW28" s="130"/>
      <c r="NX28" s="130"/>
      <c r="NY28" s="130"/>
      <c r="NZ28" s="130"/>
      <c r="OA28" s="130"/>
      <c r="OB28" s="130"/>
      <c r="OC28" s="130"/>
      <c r="OD28" s="130"/>
      <c r="OE28" s="130"/>
      <c r="OF28" s="130"/>
      <c r="OG28" s="130"/>
      <c r="OH28" s="130"/>
      <c r="OI28" s="130"/>
      <c r="OJ28" s="130"/>
      <c r="OK28" s="130"/>
      <c r="OL28" s="130"/>
      <c r="OM28" s="130"/>
      <c r="ON28" s="130"/>
      <c r="OO28" s="130"/>
      <c r="OP28" s="130"/>
      <c r="OQ28" s="130"/>
      <c r="OR28" s="130"/>
      <c r="OS28" s="130"/>
      <c r="OT28" s="130"/>
      <c r="OU28" s="130"/>
      <c r="OV28" s="130"/>
      <c r="OW28" s="130"/>
      <c r="OX28" s="130"/>
      <c r="OY28" s="130"/>
      <c r="OZ28" s="130"/>
      <c r="PA28" s="130"/>
      <c r="PB28" s="130"/>
      <c r="PC28" s="130"/>
      <c r="PD28" s="130"/>
      <c r="PE28" s="130"/>
      <c r="PF28" s="130"/>
      <c r="PG28" s="130"/>
      <c r="PH28" s="130"/>
      <c r="PI28" s="130"/>
      <c r="PJ28" s="130"/>
      <c r="PK28" s="130"/>
      <c r="PL28" s="130"/>
      <c r="PM28" s="130"/>
      <c r="PN28" s="130"/>
      <c r="PO28" s="130"/>
      <c r="PP28" s="130"/>
      <c r="PQ28" s="130"/>
      <c r="PR28" s="130"/>
      <c r="PS28" s="130"/>
      <c r="PT28" s="130"/>
      <c r="PU28" s="130"/>
      <c r="PV28" s="130"/>
      <c r="PW28" s="130"/>
      <c r="PX28" s="130"/>
      <c r="PY28" s="130"/>
      <c r="PZ28" s="130"/>
      <c r="QA28" s="130"/>
      <c r="QB28" s="130"/>
      <c r="QC28" s="130"/>
      <c r="QD28" s="130"/>
      <c r="QE28" s="130"/>
      <c r="QF28" s="130"/>
      <c r="QG28" s="130"/>
      <c r="QH28" s="130"/>
      <c r="QI28" s="130"/>
      <c r="QJ28" s="130"/>
      <c r="QK28" s="130"/>
      <c r="QL28" s="130"/>
      <c r="QM28" s="130"/>
      <c r="QN28" s="130"/>
      <c r="QO28" s="130"/>
      <c r="QP28" s="130"/>
      <c r="QQ28" s="130"/>
      <c r="QR28" s="130"/>
      <c r="QS28" s="130"/>
      <c r="QT28" s="130"/>
      <c r="QU28" s="130"/>
      <c r="QV28" s="130"/>
      <c r="QW28" s="130"/>
      <c r="QX28" s="130"/>
      <c r="QY28" s="130"/>
      <c r="QZ28" s="130"/>
      <c r="RA28" s="130"/>
      <c r="RB28" s="130"/>
      <c r="RC28" s="130"/>
      <c r="RD28" s="130"/>
      <c r="RE28" s="130"/>
      <c r="RF28" s="130"/>
      <c r="RG28" s="130"/>
      <c r="RH28" s="130"/>
      <c r="RI28" s="130"/>
      <c r="RJ28" s="130"/>
      <c r="RK28" s="130"/>
      <c r="RL28" s="130"/>
      <c r="RM28" s="130"/>
      <c r="RN28" s="130"/>
      <c r="RO28" s="130"/>
      <c r="RP28" s="130"/>
      <c r="RQ28" s="130"/>
      <c r="RR28" s="130"/>
      <c r="RS28" s="130"/>
      <c r="RT28" s="130"/>
      <c r="RU28" s="130"/>
      <c r="RV28" s="130"/>
      <c r="RW28" s="130"/>
      <c r="RX28" s="130"/>
      <c r="RY28" s="130"/>
      <c r="RZ28" s="130"/>
      <c r="SA28" s="130"/>
      <c r="SB28" s="130"/>
      <c r="SC28" s="130"/>
      <c r="SD28" s="130"/>
      <c r="SE28" s="130"/>
      <c r="SF28" s="130"/>
      <c r="SG28" s="130"/>
      <c r="SH28" s="130"/>
      <c r="SI28" s="130"/>
      <c r="SJ28" s="130"/>
      <c r="SK28" s="130"/>
      <c r="SL28" s="130"/>
      <c r="SM28" s="130"/>
      <c r="SN28" s="130"/>
      <c r="SO28" s="130"/>
      <c r="SP28" s="130"/>
      <c r="SQ28" s="130"/>
      <c r="SR28" s="130"/>
      <c r="SS28" s="130"/>
      <c r="ST28" s="130"/>
      <c r="SU28" s="130"/>
      <c r="SV28" s="130"/>
      <c r="SW28" s="130"/>
      <c r="SX28" s="130"/>
      <c r="SY28" s="130"/>
      <c r="SZ28" s="130"/>
      <c r="TA28" s="130"/>
      <c r="TB28" s="130"/>
      <c r="TC28" s="130"/>
      <c r="TD28" s="130"/>
      <c r="TE28" s="130"/>
      <c r="TF28" s="130"/>
      <c r="TG28" s="130"/>
      <c r="TH28" s="130"/>
      <c r="TI28" s="130"/>
      <c r="TJ28" s="130"/>
      <c r="TK28" s="130"/>
      <c r="TL28" s="130"/>
      <c r="TM28" s="130"/>
      <c r="TN28" s="130"/>
      <c r="TO28" s="130"/>
      <c r="TP28" s="130"/>
      <c r="TQ28" s="130"/>
      <c r="TR28" s="130"/>
      <c r="TS28" s="130"/>
      <c r="TT28" s="130"/>
      <c r="TU28" s="130"/>
      <c r="TV28" s="130"/>
      <c r="TW28" s="130"/>
      <c r="TX28" s="130"/>
      <c r="TY28" s="130"/>
      <c r="TZ28" s="130"/>
      <c r="UA28" s="130"/>
      <c r="UB28" s="130"/>
      <c r="UC28" s="130"/>
      <c r="UD28" s="130"/>
      <c r="UE28" s="130"/>
      <c r="UF28" s="130"/>
      <c r="UG28" s="130"/>
      <c r="UH28" s="130"/>
      <c r="UI28" s="130"/>
      <c r="UJ28" s="130"/>
      <c r="UK28" s="130"/>
      <c r="UL28" s="130"/>
      <c r="UM28" s="130"/>
      <c r="UN28" s="130"/>
      <c r="UO28" s="130"/>
      <c r="UP28" s="130"/>
      <c r="UQ28" s="130"/>
      <c r="UR28" s="130"/>
      <c r="US28" s="130"/>
      <c r="UT28" s="130"/>
      <c r="UU28" s="130"/>
      <c r="UV28" s="130"/>
      <c r="UW28" s="130"/>
      <c r="UX28" s="130"/>
      <c r="UY28" s="130"/>
      <c r="UZ28" s="130"/>
      <c r="VA28" s="130"/>
      <c r="VB28" s="130"/>
      <c r="VC28" s="130"/>
      <c r="VD28" s="130"/>
      <c r="VE28" s="130"/>
      <c r="VF28" s="130"/>
      <c r="VG28" s="130"/>
      <c r="VH28" s="130"/>
      <c r="VI28" s="130"/>
      <c r="VJ28" s="130"/>
      <c r="VK28" s="130"/>
      <c r="VL28" s="130"/>
      <c r="VM28" s="130"/>
      <c r="VN28" s="130"/>
      <c r="VO28" s="130"/>
      <c r="VP28" s="130"/>
      <c r="VQ28" s="130"/>
      <c r="VR28" s="130"/>
      <c r="VS28" s="130"/>
      <c r="VT28" s="130"/>
      <c r="VU28" s="130"/>
      <c r="VV28" s="130"/>
      <c r="VW28" s="130"/>
      <c r="VX28" s="130"/>
      <c r="VY28" s="130"/>
      <c r="VZ28" s="130"/>
      <c r="WA28" s="130"/>
      <c r="WB28" s="130"/>
      <c r="WC28" s="130"/>
      <c r="WD28" s="130"/>
      <c r="WE28" s="130"/>
      <c r="WF28" s="130"/>
      <c r="WG28" s="130"/>
      <c r="WH28" s="130"/>
      <c r="WI28" s="130"/>
      <c r="WJ28" s="130"/>
      <c r="WK28" s="130"/>
      <c r="WL28" s="130"/>
      <c r="WM28" s="130"/>
      <c r="WN28" s="130"/>
      <c r="WO28" s="130"/>
      <c r="WP28" s="130"/>
      <c r="WQ28" s="130"/>
      <c r="WR28" s="130"/>
      <c r="WS28" s="130"/>
      <c r="WT28" s="130"/>
      <c r="WU28" s="130"/>
      <c r="WV28" s="130"/>
      <c r="WW28" s="130"/>
      <c r="WX28" s="130"/>
      <c r="WY28" s="130"/>
      <c r="WZ28" s="130"/>
      <c r="XA28" s="130"/>
      <c r="XB28" s="130"/>
      <c r="XC28" s="130"/>
      <c r="XD28" s="130"/>
      <c r="XE28" s="130"/>
      <c r="XF28" s="130"/>
      <c r="XG28" s="130"/>
      <c r="XH28" s="130"/>
      <c r="XI28" s="130"/>
      <c r="XJ28" s="130"/>
      <c r="XK28" s="130"/>
      <c r="XL28" s="130"/>
      <c r="XM28" s="130"/>
      <c r="XN28" s="130"/>
      <c r="XO28" s="130"/>
      <c r="XP28" s="130"/>
      <c r="XQ28" s="130"/>
      <c r="XR28" s="130"/>
      <c r="XS28" s="130"/>
      <c r="XT28" s="130"/>
      <c r="XU28" s="130"/>
      <c r="XV28" s="130"/>
      <c r="XW28" s="130"/>
      <c r="XX28" s="130"/>
      <c r="XY28" s="130"/>
      <c r="XZ28" s="130"/>
      <c r="YA28" s="130"/>
      <c r="YB28" s="130"/>
      <c r="YC28" s="130"/>
      <c r="YD28" s="130"/>
      <c r="YE28" s="130"/>
      <c r="YF28" s="130"/>
      <c r="YG28" s="130"/>
      <c r="YH28" s="130"/>
      <c r="YI28" s="130"/>
      <c r="YJ28" s="130"/>
      <c r="YK28" s="130"/>
      <c r="YL28" s="130"/>
      <c r="YM28" s="130"/>
      <c r="YN28" s="130"/>
      <c r="YO28" s="130"/>
      <c r="YP28" s="130"/>
      <c r="YQ28" s="130"/>
      <c r="YR28" s="130"/>
      <c r="YS28" s="130"/>
      <c r="YT28" s="130"/>
      <c r="YU28" s="130"/>
      <c r="YV28" s="130"/>
      <c r="YW28" s="130"/>
      <c r="YX28" s="130"/>
      <c r="YY28" s="130"/>
      <c r="YZ28" s="130"/>
      <c r="ZA28" s="130"/>
      <c r="ZB28" s="130"/>
      <c r="ZC28" s="130"/>
      <c r="ZD28" s="130"/>
      <c r="ZE28" s="130"/>
      <c r="ZF28" s="130"/>
      <c r="ZG28" s="130"/>
      <c r="ZH28" s="130"/>
      <c r="ZI28" s="130"/>
      <c r="ZJ28" s="130"/>
      <c r="ZK28" s="130"/>
      <c r="ZL28" s="130"/>
      <c r="ZM28" s="130"/>
      <c r="ZN28" s="130"/>
      <c r="ZO28" s="130"/>
      <c r="ZP28" s="130"/>
      <c r="ZQ28" s="130"/>
      <c r="ZR28" s="130"/>
      <c r="ZS28" s="130"/>
      <c r="ZT28" s="130"/>
      <c r="ZU28" s="130"/>
      <c r="ZV28" s="130"/>
      <c r="ZW28" s="130"/>
      <c r="ZX28" s="130"/>
      <c r="ZY28" s="130"/>
      <c r="ZZ28" s="130"/>
      <c r="AAA28" s="130"/>
      <c r="AAB28" s="130"/>
      <c r="AAC28" s="130"/>
      <c r="AAD28" s="130"/>
      <c r="AAE28" s="130"/>
      <c r="AAF28" s="130"/>
      <c r="AAG28" s="130"/>
      <c r="AAH28" s="130"/>
      <c r="AAI28" s="130"/>
      <c r="AAJ28" s="130"/>
      <c r="AAK28" s="130"/>
      <c r="AAL28" s="130"/>
      <c r="AAM28" s="130"/>
      <c r="AAN28" s="130"/>
      <c r="AAO28" s="130"/>
      <c r="AAP28" s="130"/>
      <c r="AAQ28" s="130"/>
      <c r="AAR28" s="130"/>
      <c r="AAS28" s="130"/>
      <c r="AAT28" s="130"/>
      <c r="AAU28" s="130"/>
      <c r="AAV28" s="130"/>
      <c r="AAW28" s="130"/>
      <c r="AAX28" s="130"/>
      <c r="AAY28" s="130"/>
      <c r="AAZ28" s="130"/>
      <c r="ABA28" s="130"/>
      <c r="ABB28" s="130"/>
      <c r="ABC28" s="130"/>
      <c r="ABD28" s="130"/>
      <c r="ABE28" s="130"/>
      <c r="ABF28" s="130"/>
      <c r="ABG28" s="130"/>
      <c r="ABH28" s="130"/>
      <c r="ABI28" s="130"/>
      <c r="ABJ28" s="130"/>
      <c r="ABK28" s="130"/>
      <c r="ABL28" s="130"/>
      <c r="ABM28" s="130"/>
      <c r="ABN28" s="130"/>
      <c r="ABO28" s="130"/>
      <c r="ABP28" s="130"/>
      <c r="ABQ28" s="130"/>
      <c r="ABR28" s="130"/>
      <c r="ABS28" s="130"/>
      <c r="ABT28" s="130"/>
      <c r="ABU28" s="130"/>
      <c r="ABV28" s="130"/>
      <c r="ABW28" s="130"/>
      <c r="ABX28" s="130"/>
      <c r="ABY28" s="130"/>
      <c r="ABZ28" s="130"/>
      <c r="ACA28" s="130"/>
      <c r="ACB28" s="130"/>
      <c r="ACC28" s="130"/>
      <c r="ACD28" s="130"/>
      <c r="ACE28" s="130"/>
      <c r="ACF28" s="130"/>
      <c r="ACG28" s="130"/>
      <c r="ACH28" s="130"/>
      <c r="ACI28" s="130"/>
      <c r="ACJ28" s="130"/>
      <c r="ACK28" s="130"/>
      <c r="ACL28" s="130"/>
      <c r="ACM28" s="130"/>
      <c r="ACN28" s="130"/>
      <c r="ACO28" s="130"/>
      <c r="ACP28" s="130"/>
      <c r="ACQ28" s="130"/>
      <c r="ACR28" s="130"/>
      <c r="ACS28" s="130"/>
      <c r="ACT28" s="130"/>
      <c r="ACU28" s="130"/>
      <c r="ACV28" s="130"/>
      <c r="ACW28" s="130"/>
      <c r="ACX28" s="130"/>
      <c r="ACY28" s="130"/>
      <c r="ACZ28" s="130"/>
      <c r="ADA28" s="130"/>
      <c r="ADB28" s="130"/>
      <c r="ADC28" s="130"/>
      <c r="ADD28" s="130"/>
      <c r="ADE28" s="130"/>
      <c r="ADF28" s="130"/>
      <c r="ADG28" s="130"/>
      <c r="ADH28" s="130"/>
      <c r="ADI28" s="130"/>
      <c r="ADJ28" s="130"/>
      <c r="ADK28" s="130"/>
      <c r="ADL28" s="130"/>
      <c r="ADM28" s="130"/>
      <c r="ADN28" s="130"/>
      <c r="ADO28" s="130"/>
      <c r="ADP28" s="130"/>
      <c r="ADQ28" s="130"/>
      <c r="ADR28" s="130"/>
      <c r="ADS28" s="130"/>
      <c r="ADT28" s="130"/>
      <c r="ADU28" s="130"/>
      <c r="ADV28" s="130"/>
      <c r="ADW28" s="130"/>
      <c r="ADX28" s="130"/>
      <c r="ADY28" s="130"/>
      <c r="ADZ28" s="130"/>
      <c r="AEA28" s="130"/>
      <c r="AEB28" s="130"/>
      <c r="AEC28" s="130"/>
      <c r="AED28" s="130"/>
      <c r="AEE28" s="130"/>
      <c r="AEF28" s="130"/>
      <c r="AEG28" s="130"/>
      <c r="AEH28" s="130"/>
      <c r="AEI28" s="130"/>
      <c r="AEJ28" s="130"/>
      <c r="AEK28" s="130"/>
      <c r="AEL28" s="130"/>
      <c r="AEM28" s="130"/>
      <c r="AEN28" s="130"/>
      <c r="AEO28" s="130"/>
      <c r="AEP28" s="130"/>
      <c r="AEQ28" s="130"/>
      <c r="AER28" s="130"/>
      <c r="AES28" s="130"/>
      <c r="AET28" s="130"/>
      <c r="AEU28" s="130"/>
      <c r="AEV28" s="130"/>
      <c r="AEW28" s="130"/>
    </row>
    <row r="29" spans="1:830" ht="22.5" customHeight="1" x14ac:dyDescent="0.25">
      <c r="A29" s="36"/>
      <c r="B29" s="128" t="s">
        <v>369</v>
      </c>
      <c r="C29" s="160">
        <f>REKAP!$J$6</f>
        <v>0</v>
      </c>
      <c r="D29" s="124">
        <f>REKAP!$J$4</f>
        <v>0</v>
      </c>
      <c r="E29" s="159">
        <f>REKAP!$J$5</f>
        <v>0</v>
      </c>
      <c r="F29" s="36"/>
      <c r="G29" s="138" t="s">
        <v>218</v>
      </c>
      <c r="H29" s="4" t="s">
        <v>220</v>
      </c>
      <c r="I29" s="143"/>
      <c r="J29" s="141">
        <f t="shared" si="0"/>
        <v>0</v>
      </c>
      <c r="K29" s="7"/>
      <c r="L29" s="7"/>
      <c r="M29" s="7"/>
      <c r="N29" s="130"/>
      <c r="O29" s="7"/>
      <c r="P29" s="7"/>
      <c r="Q29" s="7"/>
      <c r="R29" s="7"/>
      <c r="S29" s="7"/>
      <c r="T29" s="130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130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130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140"/>
      <c r="CA29" s="7"/>
      <c r="CB29" s="7"/>
      <c r="CC29" s="7"/>
      <c r="CD29" s="7"/>
      <c r="CE29" s="7"/>
      <c r="CF29" s="7"/>
      <c r="CG29" s="7"/>
      <c r="CH29" s="7"/>
      <c r="CI29" s="7"/>
      <c r="CJ29" s="129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130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140"/>
      <c r="GX29" s="7"/>
      <c r="GY29" s="7"/>
      <c r="GZ29" s="7"/>
      <c r="HA29" s="7"/>
      <c r="HB29" s="140"/>
      <c r="HC29" s="140"/>
      <c r="HD29" s="140"/>
      <c r="HE29" s="140"/>
      <c r="HF29" s="140"/>
      <c r="HG29" s="140"/>
      <c r="HH29" s="140"/>
      <c r="HI29" s="140"/>
      <c r="HJ29" s="140"/>
      <c r="HK29" s="140"/>
      <c r="HL29" s="140"/>
      <c r="HM29" s="140"/>
      <c r="HN29" s="140"/>
      <c r="HO29" s="140"/>
      <c r="HP29" s="140"/>
      <c r="HQ29" s="140"/>
      <c r="HR29" s="140"/>
      <c r="HS29" s="140"/>
      <c r="HT29" s="140"/>
      <c r="HU29" s="140"/>
      <c r="HV29" s="140"/>
      <c r="HW29" s="140"/>
      <c r="HX29" s="140"/>
      <c r="HY29" s="140"/>
      <c r="HZ29" s="140"/>
      <c r="IA29" s="140"/>
      <c r="IB29" s="140"/>
      <c r="IC29" s="140"/>
      <c r="ID29" s="140"/>
      <c r="IE29" s="140"/>
      <c r="IF29" s="140"/>
      <c r="IG29" s="140"/>
      <c r="IH29" s="140"/>
      <c r="II29" s="140"/>
      <c r="IJ29" s="140"/>
      <c r="IK29" s="140"/>
      <c r="IL29" s="140"/>
      <c r="IM29" s="140"/>
      <c r="IN29" s="140"/>
      <c r="IO29" s="140"/>
      <c r="IP29" s="140"/>
      <c r="IQ29" s="140"/>
      <c r="IR29" s="140"/>
      <c r="IS29" s="140"/>
      <c r="IT29" s="140"/>
      <c r="IU29" s="140"/>
      <c r="IV29" s="140"/>
      <c r="IW29" s="140"/>
      <c r="IX29" s="140"/>
      <c r="IY29" s="140"/>
      <c r="IZ29" s="140"/>
      <c r="JA29" s="140"/>
      <c r="JB29" s="140"/>
      <c r="JC29" s="140"/>
      <c r="JD29" s="140"/>
      <c r="JE29" s="140"/>
      <c r="JF29" s="140"/>
      <c r="JG29" s="140"/>
      <c r="JH29" s="140"/>
      <c r="JI29" s="140"/>
      <c r="JJ29" s="140"/>
      <c r="JK29" s="140"/>
      <c r="JL29" s="140"/>
      <c r="JM29" s="140"/>
      <c r="JN29" s="140"/>
      <c r="JO29" s="140"/>
      <c r="JP29" s="140"/>
      <c r="JQ29" s="140"/>
      <c r="JR29" s="140"/>
      <c r="JS29" s="140"/>
      <c r="JT29" s="140"/>
      <c r="JU29" s="140"/>
      <c r="JV29" s="140"/>
      <c r="JW29" s="140"/>
      <c r="JX29" s="140"/>
      <c r="JY29" s="140"/>
      <c r="JZ29" s="140"/>
      <c r="KA29" s="140"/>
      <c r="KB29" s="140"/>
      <c r="KC29" s="140"/>
      <c r="KD29" s="140"/>
      <c r="KE29" s="140"/>
      <c r="KF29" s="140"/>
      <c r="KG29" s="130"/>
      <c r="KH29" s="130"/>
      <c r="KI29" s="130"/>
      <c r="KJ29" s="130"/>
      <c r="KK29" s="130"/>
      <c r="KL29" s="130"/>
      <c r="KM29" s="130"/>
      <c r="KN29" s="130"/>
      <c r="KO29" s="130"/>
      <c r="KP29" s="130"/>
      <c r="KQ29" s="130"/>
      <c r="KR29" s="140"/>
      <c r="KS29" s="7"/>
      <c r="KT29" s="7"/>
      <c r="KU29" s="7"/>
      <c r="KV29" s="7"/>
      <c r="KW29" s="7"/>
      <c r="KX29" s="130"/>
      <c r="KY29" s="130"/>
      <c r="KZ29" s="130"/>
      <c r="LA29" s="130"/>
      <c r="LB29" s="130"/>
      <c r="LC29" s="130"/>
      <c r="LD29" s="140"/>
      <c r="LE29" s="140"/>
      <c r="LF29" s="140"/>
      <c r="LG29" s="140"/>
      <c r="LH29" s="7"/>
      <c r="LI29" s="7"/>
      <c r="LJ29" s="7"/>
      <c r="LK29" s="7"/>
      <c r="LL29" s="7"/>
      <c r="LM29" s="7"/>
      <c r="LN29" s="130"/>
      <c r="LO29" s="130"/>
      <c r="LP29" s="130"/>
      <c r="LQ29" s="130"/>
      <c r="LR29" s="130"/>
      <c r="LS29" s="130"/>
      <c r="LT29" s="130"/>
      <c r="LU29" s="140"/>
      <c r="LV29" s="7"/>
      <c r="LW29" s="7"/>
      <c r="LX29" s="140"/>
      <c r="LY29" s="7"/>
      <c r="LZ29" s="7"/>
      <c r="MA29" s="140"/>
      <c r="MB29" s="7"/>
      <c r="MC29" s="7"/>
      <c r="MD29" s="7"/>
      <c r="ME29" s="7"/>
      <c r="MF29" s="7"/>
      <c r="MG29" s="140"/>
      <c r="MH29" s="7"/>
      <c r="MI29" s="7"/>
      <c r="MJ29" s="7"/>
      <c r="MK29" s="7"/>
      <c r="ML29" s="7"/>
      <c r="MM29" s="7"/>
      <c r="MN29" s="7"/>
      <c r="MO29" s="7"/>
      <c r="MP29" s="7"/>
      <c r="MQ29" s="7"/>
      <c r="MR29" s="7"/>
      <c r="MS29" s="7"/>
      <c r="MT29" s="7"/>
      <c r="MU29" s="7"/>
      <c r="MV29" s="7"/>
      <c r="MW29" s="7"/>
      <c r="MX29" s="7"/>
      <c r="MY29" s="7"/>
      <c r="MZ29" s="7"/>
      <c r="NA29" s="7"/>
      <c r="NB29" s="7"/>
      <c r="NC29" s="7"/>
      <c r="ND29" s="140"/>
      <c r="NE29" s="140"/>
      <c r="NF29" s="140"/>
      <c r="NG29" s="140"/>
      <c r="NH29" s="48">
        <f>SMK!$G$15</f>
        <v>0</v>
      </c>
      <c r="NI29" s="48">
        <f>SMK!$G16</f>
        <v>0</v>
      </c>
      <c r="NJ29" s="48">
        <f>SMK!$G17</f>
        <v>0</v>
      </c>
      <c r="NK29" s="48">
        <f>SMK!$G18</f>
        <v>0</v>
      </c>
      <c r="NL29" s="48">
        <f>SMK!$G19</f>
        <v>0</v>
      </c>
      <c r="NM29" s="48">
        <f>SMK!$G20</f>
        <v>0</v>
      </c>
      <c r="NN29" s="48">
        <f>SMK!$G21</f>
        <v>0</v>
      </c>
      <c r="NO29" s="48">
        <f>SMK!$G22</f>
        <v>0</v>
      </c>
      <c r="NP29" s="48">
        <f>SMK!$G23</f>
        <v>0</v>
      </c>
      <c r="NQ29" s="48">
        <f>SMK!$G24</f>
        <v>0</v>
      </c>
      <c r="NR29" s="48">
        <f>SMK!$G25</f>
        <v>0</v>
      </c>
      <c r="NS29" s="48">
        <f>SMK!$G26</f>
        <v>0</v>
      </c>
      <c r="NT29" s="48">
        <f>SMK!$G27</f>
        <v>0</v>
      </c>
      <c r="NU29" s="7"/>
      <c r="NV29" s="7"/>
      <c r="NW29" s="7"/>
      <c r="NX29" s="7"/>
      <c r="NY29" s="7"/>
      <c r="NZ29" s="7"/>
      <c r="OA29" s="7"/>
      <c r="OB29" s="7"/>
      <c r="OC29" s="7"/>
      <c r="OD29" s="7"/>
      <c r="OE29" s="7"/>
      <c r="OF29" s="7"/>
      <c r="OG29" s="7"/>
      <c r="OH29" s="7"/>
      <c r="OI29" s="7"/>
      <c r="OJ29" s="7"/>
      <c r="OK29" s="7"/>
      <c r="OL29" s="7"/>
      <c r="OM29" s="7"/>
      <c r="ON29" s="7"/>
      <c r="OO29" s="7"/>
      <c r="OP29" s="7"/>
      <c r="OQ29" s="7"/>
      <c r="OR29" s="7"/>
      <c r="OS29" s="7"/>
      <c r="OT29" s="7"/>
      <c r="OU29" s="7"/>
      <c r="OV29" s="7"/>
      <c r="OW29" s="7"/>
      <c r="OX29" s="7"/>
      <c r="OY29" s="7"/>
      <c r="OZ29" s="7"/>
      <c r="PA29" s="7"/>
      <c r="PB29" s="36"/>
      <c r="PC29" s="7"/>
      <c r="PD29" s="7"/>
      <c r="PE29" s="7"/>
      <c r="PF29" s="7"/>
      <c r="PG29" s="7"/>
      <c r="PH29" s="7"/>
      <c r="PI29" s="7"/>
      <c r="PJ29" s="7"/>
      <c r="PK29" s="7"/>
      <c r="PL29" s="7"/>
      <c r="PM29" s="7"/>
      <c r="PN29" s="7"/>
      <c r="PO29" s="7"/>
      <c r="PP29" s="7"/>
      <c r="PQ29" s="7"/>
      <c r="PR29" s="7"/>
      <c r="PS29" s="7"/>
      <c r="PT29" s="7"/>
      <c r="PU29" s="7"/>
      <c r="PV29" s="7"/>
      <c r="PW29" s="7"/>
      <c r="PX29" s="7"/>
      <c r="PY29" s="7"/>
      <c r="PZ29" s="7"/>
      <c r="QA29" s="7"/>
      <c r="QB29" s="7"/>
      <c r="QC29" s="7"/>
      <c r="QD29" s="7"/>
      <c r="QE29" s="7"/>
      <c r="QF29" s="7"/>
      <c r="QG29" s="7"/>
      <c r="QH29" s="7"/>
      <c r="QI29" s="7"/>
      <c r="QJ29" s="7"/>
      <c r="QK29" s="7"/>
      <c r="QL29" s="7"/>
      <c r="QM29" s="7"/>
      <c r="QN29" s="7"/>
      <c r="QO29" s="7"/>
      <c r="QP29" s="7"/>
      <c r="QQ29" s="7"/>
      <c r="QR29" s="7"/>
      <c r="QS29" s="7"/>
      <c r="QT29" s="7"/>
      <c r="QU29" s="7"/>
      <c r="QV29" s="7"/>
      <c r="QW29" s="7"/>
      <c r="QX29" s="7"/>
      <c r="QY29" s="7"/>
      <c r="QZ29" s="7"/>
      <c r="RA29" s="7"/>
      <c r="RB29" s="7"/>
      <c r="RC29" s="7"/>
      <c r="RD29" s="7"/>
      <c r="RE29" s="7"/>
      <c r="RF29" s="7"/>
      <c r="RG29" s="7"/>
      <c r="RH29" s="7"/>
      <c r="RI29" s="7"/>
      <c r="RJ29" s="7"/>
      <c r="RK29" s="7"/>
      <c r="RL29" s="7"/>
      <c r="RM29" s="7"/>
      <c r="RN29" s="7"/>
      <c r="RO29" s="36"/>
      <c r="RP29" s="7"/>
      <c r="RQ29" s="7"/>
      <c r="RR29" s="7"/>
      <c r="RS29" s="7"/>
      <c r="RT29" s="7"/>
      <c r="RU29" s="7"/>
      <c r="RV29" s="7"/>
      <c r="RW29" s="7"/>
      <c r="RX29" s="7"/>
      <c r="RY29" s="7"/>
      <c r="RZ29" s="7"/>
      <c r="SA29" s="7"/>
      <c r="SB29" s="36"/>
      <c r="SC29" s="7"/>
      <c r="SD29" s="7"/>
      <c r="SE29" s="7"/>
      <c r="SF29" s="7"/>
      <c r="SG29" s="7"/>
      <c r="SH29" s="7"/>
      <c r="SI29" s="7"/>
      <c r="SJ29" s="7"/>
      <c r="SK29" s="7"/>
      <c r="SL29" s="7"/>
      <c r="SM29" s="7"/>
      <c r="SN29" s="7"/>
      <c r="SO29" s="7"/>
      <c r="SP29" s="7"/>
      <c r="SQ29" s="7"/>
      <c r="SR29" s="7"/>
      <c r="SS29" s="7"/>
      <c r="ST29" s="7"/>
      <c r="SU29" s="7"/>
      <c r="SV29" s="7"/>
      <c r="SW29" s="7"/>
      <c r="SX29" s="7"/>
      <c r="SY29" s="7"/>
      <c r="SZ29" s="7"/>
      <c r="TA29" s="7"/>
      <c r="TB29" s="7"/>
      <c r="TC29" s="7"/>
      <c r="TD29" s="36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7"/>
      <c r="YG29" s="7"/>
      <c r="YH29" s="7"/>
      <c r="YI29" s="7"/>
      <c r="YJ29" s="7"/>
      <c r="YK29" s="7"/>
      <c r="YL29" s="7"/>
      <c r="YM29" s="7"/>
      <c r="YN29" s="7"/>
      <c r="YO29" s="7"/>
      <c r="YP29" s="7"/>
      <c r="YQ29" s="7"/>
      <c r="YR29" s="7"/>
      <c r="YS29" s="7"/>
      <c r="YT29" s="7"/>
      <c r="YU29" s="7"/>
      <c r="YV29" s="7"/>
      <c r="YW29" s="7"/>
      <c r="YX29" s="7"/>
      <c r="YY29" s="7"/>
      <c r="YZ29" s="7"/>
      <c r="ZA29" s="7"/>
      <c r="ZB29" s="7"/>
      <c r="ZC29" s="7"/>
      <c r="ZD29" s="7"/>
      <c r="ZE29" s="7"/>
      <c r="ZF29" s="7"/>
      <c r="ZG29" s="7"/>
      <c r="ZH29" s="7"/>
      <c r="ZI29" s="7"/>
      <c r="ZJ29" s="7"/>
      <c r="ZK29" s="7"/>
      <c r="ZL29" s="7"/>
      <c r="ZM29" s="7"/>
      <c r="ZN29" s="7"/>
      <c r="ZO29" s="7"/>
      <c r="ZP29" s="7"/>
      <c r="ZQ29" s="7"/>
      <c r="ZR29" s="7"/>
      <c r="ZS29" s="7"/>
      <c r="ZT29" s="7"/>
      <c r="ZU29" s="7"/>
      <c r="ZV29" s="4"/>
      <c r="ZW29" s="7"/>
      <c r="ZX29" s="7"/>
      <c r="ZY29" s="7"/>
      <c r="ZZ29" s="7"/>
      <c r="AAA29" s="7"/>
      <c r="AAB29" s="7"/>
      <c r="AAC29" s="7"/>
      <c r="AAD29" s="7"/>
      <c r="AAE29" s="7"/>
      <c r="AAF29" s="36"/>
      <c r="AAG29" s="7"/>
      <c r="AAH29" s="7"/>
      <c r="AAI29" s="7"/>
      <c r="AAJ29" s="7"/>
      <c r="AAK29" s="7"/>
      <c r="AAL29" s="7"/>
      <c r="AAM29" s="7"/>
      <c r="AAN29" s="7"/>
      <c r="AAO29" s="7"/>
      <c r="AAP29" s="7"/>
      <c r="AAQ29" s="7"/>
      <c r="AAR29" s="7"/>
      <c r="AAS29" s="7"/>
      <c r="AAT29" s="7"/>
      <c r="AAU29" s="7"/>
      <c r="AAV29" s="7"/>
      <c r="AAW29" s="7"/>
      <c r="AAX29" s="7"/>
      <c r="AAY29" s="7"/>
      <c r="AAZ29" s="4"/>
      <c r="ABA29" s="7"/>
      <c r="ABB29" s="7"/>
      <c r="ABC29" s="7"/>
      <c r="ABD29" s="7"/>
      <c r="ABE29" s="7"/>
      <c r="ABF29" s="7"/>
      <c r="ABG29" s="7"/>
      <c r="ABH29" s="7"/>
      <c r="ABI29" s="7"/>
      <c r="ABJ29" s="7"/>
      <c r="ABK29" s="7"/>
      <c r="ABL29" s="7"/>
      <c r="ABM29" s="7"/>
      <c r="ABN29" s="7"/>
      <c r="ABO29" s="7"/>
      <c r="ABP29" s="7"/>
      <c r="ABQ29" s="7"/>
      <c r="ABR29" s="7"/>
      <c r="ABS29" s="7"/>
      <c r="ABT29" s="7"/>
      <c r="ABU29" s="7"/>
      <c r="ABV29" s="7"/>
      <c r="ABW29" s="7"/>
      <c r="ABX29" s="7"/>
      <c r="ABY29" s="7"/>
      <c r="ABZ29" s="7"/>
      <c r="ACA29" s="7"/>
      <c r="ACB29" s="7"/>
      <c r="ACC29" s="7"/>
      <c r="ACD29" s="7"/>
      <c r="ACE29" s="7"/>
      <c r="ACF29" s="7"/>
      <c r="ACG29" s="7"/>
      <c r="ACH29" s="7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144" t="s">
        <v>221</v>
      </c>
    </row>
    <row r="30" spans="1:830" ht="22.5" customHeight="1" x14ac:dyDescent="0.25">
      <c r="A30" s="36"/>
      <c r="B30" s="128" t="s">
        <v>415</v>
      </c>
      <c r="C30" s="160">
        <f>REKAP!$J$6</f>
        <v>0</v>
      </c>
      <c r="D30" s="124">
        <f>REKAP!$J$4</f>
        <v>0</v>
      </c>
      <c r="E30" s="159">
        <f>REKAP!$J$5</f>
        <v>0</v>
      </c>
      <c r="F30" s="36"/>
      <c r="G30" s="138" t="s">
        <v>219</v>
      </c>
      <c r="H30" s="4" t="s">
        <v>193</v>
      </c>
      <c r="I30" s="143"/>
      <c r="J30" s="141">
        <f t="shared" si="0"/>
        <v>0</v>
      </c>
      <c r="K30" s="7"/>
      <c r="L30" s="7"/>
      <c r="M30" s="7"/>
      <c r="N30" s="130">
        <f>ROUND(N62,0)</f>
        <v>0</v>
      </c>
      <c r="O30" s="130">
        <f t="shared" ref="O30:BZ30" si="106">ROUND(O62,0)</f>
        <v>0</v>
      </c>
      <c r="P30" s="130">
        <f t="shared" si="106"/>
        <v>0</v>
      </c>
      <c r="Q30" s="130">
        <f t="shared" si="106"/>
        <v>0</v>
      </c>
      <c r="R30" s="130">
        <f t="shared" si="106"/>
        <v>0</v>
      </c>
      <c r="S30" s="130">
        <f t="shared" si="106"/>
        <v>0</v>
      </c>
      <c r="T30" s="130">
        <f t="shared" si="106"/>
        <v>0</v>
      </c>
      <c r="U30" s="130">
        <f t="shared" si="106"/>
        <v>0</v>
      </c>
      <c r="V30" s="130">
        <f t="shared" si="106"/>
        <v>0</v>
      </c>
      <c r="W30" s="130">
        <f t="shared" si="106"/>
        <v>0</v>
      </c>
      <c r="X30" s="130">
        <f t="shared" si="106"/>
        <v>0</v>
      </c>
      <c r="Y30" s="130">
        <f t="shared" si="106"/>
        <v>0</v>
      </c>
      <c r="Z30" s="130">
        <f t="shared" si="106"/>
        <v>0</v>
      </c>
      <c r="AA30" s="130">
        <f t="shared" si="106"/>
        <v>0</v>
      </c>
      <c r="AB30" s="130">
        <f t="shared" si="106"/>
        <v>0</v>
      </c>
      <c r="AC30" s="130">
        <f t="shared" si="106"/>
        <v>0</v>
      </c>
      <c r="AD30" s="130">
        <f t="shared" si="106"/>
        <v>0</v>
      </c>
      <c r="AE30" s="130">
        <f t="shared" si="106"/>
        <v>0</v>
      </c>
      <c r="AF30" s="130">
        <f t="shared" si="106"/>
        <v>0</v>
      </c>
      <c r="AG30" s="130">
        <f t="shared" si="106"/>
        <v>0</v>
      </c>
      <c r="AH30" s="130">
        <f t="shared" si="106"/>
        <v>0</v>
      </c>
      <c r="AI30" s="130">
        <f t="shared" si="106"/>
        <v>0</v>
      </c>
      <c r="AJ30" s="130">
        <f t="shared" si="106"/>
        <v>0</v>
      </c>
      <c r="AK30" s="130">
        <f t="shared" si="106"/>
        <v>0</v>
      </c>
      <c r="AL30" s="130">
        <f t="shared" si="106"/>
        <v>0</v>
      </c>
      <c r="AM30" s="130">
        <f t="shared" si="106"/>
        <v>0</v>
      </c>
      <c r="AN30" s="130">
        <f t="shared" si="106"/>
        <v>0</v>
      </c>
      <c r="AO30" s="130">
        <f t="shared" si="106"/>
        <v>0</v>
      </c>
      <c r="AP30" s="130">
        <f t="shared" si="106"/>
        <v>0</v>
      </c>
      <c r="AQ30" s="130">
        <f t="shared" si="106"/>
        <v>0</v>
      </c>
      <c r="AR30" s="130">
        <f t="shared" si="106"/>
        <v>0</v>
      </c>
      <c r="AS30" s="130">
        <f t="shared" si="106"/>
        <v>0</v>
      </c>
      <c r="AT30" s="130">
        <f t="shared" si="106"/>
        <v>0</v>
      </c>
      <c r="AU30" s="130">
        <f t="shared" si="106"/>
        <v>0</v>
      </c>
      <c r="AV30" s="130">
        <f t="shared" si="106"/>
        <v>0</v>
      </c>
      <c r="AW30" s="130">
        <f t="shared" si="106"/>
        <v>0</v>
      </c>
      <c r="AX30" s="130">
        <f t="shared" si="106"/>
        <v>0</v>
      </c>
      <c r="AY30" s="130">
        <f t="shared" si="106"/>
        <v>0</v>
      </c>
      <c r="AZ30" s="130">
        <f t="shared" si="106"/>
        <v>0</v>
      </c>
      <c r="BA30" s="130">
        <f t="shared" si="106"/>
        <v>0</v>
      </c>
      <c r="BB30" s="130">
        <f t="shared" si="106"/>
        <v>0</v>
      </c>
      <c r="BC30" s="130">
        <f t="shared" si="106"/>
        <v>0</v>
      </c>
      <c r="BD30" s="130">
        <f t="shared" si="106"/>
        <v>0</v>
      </c>
      <c r="BE30" s="130">
        <f t="shared" si="106"/>
        <v>0</v>
      </c>
      <c r="BF30" s="130">
        <f t="shared" si="106"/>
        <v>0</v>
      </c>
      <c r="BG30" s="130">
        <f t="shared" si="106"/>
        <v>0</v>
      </c>
      <c r="BH30" s="130">
        <f t="shared" si="106"/>
        <v>0</v>
      </c>
      <c r="BI30" s="130">
        <f t="shared" si="106"/>
        <v>0</v>
      </c>
      <c r="BJ30" s="130">
        <f t="shared" si="106"/>
        <v>0</v>
      </c>
      <c r="BK30" s="130">
        <f t="shared" si="106"/>
        <v>0</v>
      </c>
      <c r="BL30" s="130">
        <f t="shared" si="106"/>
        <v>0</v>
      </c>
      <c r="BM30" s="130">
        <f t="shared" si="106"/>
        <v>0</v>
      </c>
      <c r="BN30" s="130">
        <f t="shared" si="106"/>
        <v>0</v>
      </c>
      <c r="BO30" s="130">
        <f t="shared" si="106"/>
        <v>0</v>
      </c>
      <c r="BP30" s="130">
        <f t="shared" si="106"/>
        <v>0</v>
      </c>
      <c r="BQ30" s="130">
        <f t="shared" si="106"/>
        <v>0</v>
      </c>
      <c r="BR30" s="130">
        <f t="shared" si="106"/>
        <v>0</v>
      </c>
      <c r="BS30" s="130">
        <f t="shared" si="106"/>
        <v>0</v>
      </c>
      <c r="BT30" s="130">
        <f t="shared" si="106"/>
        <v>0</v>
      </c>
      <c r="BU30" s="130">
        <f t="shared" si="106"/>
        <v>0</v>
      </c>
      <c r="BV30" s="130">
        <f t="shared" si="106"/>
        <v>0</v>
      </c>
      <c r="BW30" s="130">
        <f t="shared" si="106"/>
        <v>0</v>
      </c>
      <c r="BX30" s="130">
        <f t="shared" si="106"/>
        <v>0</v>
      </c>
      <c r="BY30" s="130">
        <f t="shared" si="106"/>
        <v>0</v>
      </c>
      <c r="BZ30" s="130">
        <f t="shared" si="106"/>
        <v>0</v>
      </c>
      <c r="CA30" s="130">
        <f t="shared" ref="CA30:EL30" si="107">ROUND(CA62,0)</f>
        <v>0</v>
      </c>
      <c r="CB30" s="130">
        <f t="shared" si="107"/>
        <v>0</v>
      </c>
      <c r="CC30" s="130">
        <f t="shared" si="107"/>
        <v>0</v>
      </c>
      <c r="CD30" s="130">
        <f t="shared" si="107"/>
        <v>0</v>
      </c>
      <c r="CE30" s="130">
        <f t="shared" si="107"/>
        <v>0</v>
      </c>
      <c r="CF30" s="130">
        <f t="shared" si="107"/>
        <v>0</v>
      </c>
      <c r="CG30" s="130">
        <f t="shared" si="107"/>
        <v>0</v>
      </c>
      <c r="CH30" s="130">
        <f t="shared" si="107"/>
        <v>0</v>
      </c>
      <c r="CI30" s="130">
        <f t="shared" si="107"/>
        <v>0</v>
      </c>
      <c r="CJ30" s="130">
        <f t="shared" si="107"/>
        <v>0</v>
      </c>
      <c r="CK30" s="130">
        <f t="shared" si="107"/>
        <v>0</v>
      </c>
      <c r="CL30" s="130">
        <f t="shared" si="107"/>
        <v>0</v>
      </c>
      <c r="CM30" s="130">
        <f t="shared" si="107"/>
        <v>0</v>
      </c>
      <c r="CN30" s="130">
        <f t="shared" si="107"/>
        <v>0</v>
      </c>
      <c r="CO30" s="130">
        <f t="shared" si="107"/>
        <v>0</v>
      </c>
      <c r="CP30" s="130">
        <f t="shared" si="107"/>
        <v>0</v>
      </c>
      <c r="CQ30" s="130">
        <f t="shared" si="107"/>
        <v>0</v>
      </c>
      <c r="CR30" s="130">
        <f t="shared" si="107"/>
        <v>0</v>
      </c>
      <c r="CS30" s="130">
        <f t="shared" si="107"/>
        <v>0</v>
      </c>
      <c r="CT30" s="130">
        <f t="shared" si="107"/>
        <v>0</v>
      </c>
      <c r="CU30" s="130">
        <f t="shared" si="107"/>
        <v>0</v>
      </c>
      <c r="CV30" s="130">
        <f t="shared" si="107"/>
        <v>0</v>
      </c>
      <c r="CW30" s="130">
        <f t="shared" si="107"/>
        <v>0</v>
      </c>
      <c r="CX30" s="130">
        <f t="shared" si="107"/>
        <v>0</v>
      </c>
      <c r="CY30" s="130">
        <f t="shared" si="107"/>
        <v>0</v>
      </c>
      <c r="CZ30" s="130">
        <f t="shared" si="107"/>
        <v>0</v>
      </c>
      <c r="DA30" s="130">
        <f t="shared" si="107"/>
        <v>0</v>
      </c>
      <c r="DB30" s="130">
        <f t="shared" si="107"/>
        <v>0</v>
      </c>
      <c r="DC30" s="130">
        <f t="shared" si="107"/>
        <v>0</v>
      </c>
      <c r="DD30" s="130">
        <f t="shared" si="107"/>
        <v>0</v>
      </c>
      <c r="DE30" s="130">
        <f t="shared" si="107"/>
        <v>0</v>
      </c>
      <c r="DF30" s="130">
        <f t="shared" si="107"/>
        <v>0</v>
      </c>
      <c r="DG30" s="130">
        <f t="shared" si="107"/>
        <v>0</v>
      </c>
      <c r="DH30" s="130">
        <f t="shared" si="107"/>
        <v>0</v>
      </c>
      <c r="DI30" s="130">
        <f t="shared" si="107"/>
        <v>0</v>
      </c>
      <c r="DJ30" s="130">
        <f t="shared" si="107"/>
        <v>0</v>
      </c>
      <c r="DK30" s="130">
        <f t="shared" si="107"/>
        <v>0</v>
      </c>
      <c r="DL30" s="130">
        <f t="shared" si="107"/>
        <v>0</v>
      </c>
      <c r="DM30" s="130">
        <f t="shared" si="107"/>
        <v>0</v>
      </c>
      <c r="DN30" s="130">
        <f t="shared" si="107"/>
        <v>0</v>
      </c>
      <c r="DO30" s="130">
        <f t="shared" si="107"/>
        <v>0</v>
      </c>
      <c r="DP30" s="130">
        <f t="shared" si="107"/>
        <v>0</v>
      </c>
      <c r="DQ30" s="130">
        <f t="shared" si="107"/>
        <v>0</v>
      </c>
      <c r="DR30" s="130">
        <f t="shared" si="107"/>
        <v>0</v>
      </c>
      <c r="DS30" s="130">
        <f t="shared" si="107"/>
        <v>0</v>
      </c>
      <c r="DT30" s="130">
        <f t="shared" si="107"/>
        <v>0</v>
      </c>
      <c r="DU30" s="130">
        <f t="shared" si="107"/>
        <v>0</v>
      </c>
      <c r="DV30" s="130">
        <f t="shared" si="107"/>
        <v>0</v>
      </c>
      <c r="DW30" s="130">
        <f t="shared" si="107"/>
        <v>0</v>
      </c>
      <c r="DX30" s="130">
        <f t="shared" si="107"/>
        <v>0</v>
      </c>
      <c r="DY30" s="130">
        <f t="shared" si="107"/>
        <v>0</v>
      </c>
      <c r="DZ30" s="130">
        <f t="shared" si="107"/>
        <v>0</v>
      </c>
      <c r="EA30" s="130">
        <f t="shared" si="107"/>
        <v>0</v>
      </c>
      <c r="EB30" s="130">
        <f t="shared" si="107"/>
        <v>0</v>
      </c>
      <c r="EC30" s="130">
        <f t="shared" si="107"/>
        <v>0</v>
      </c>
      <c r="ED30" s="130">
        <f t="shared" si="107"/>
        <v>0</v>
      </c>
      <c r="EE30" s="130">
        <f t="shared" si="107"/>
        <v>0</v>
      </c>
      <c r="EF30" s="130">
        <f t="shared" si="107"/>
        <v>0</v>
      </c>
      <c r="EG30" s="130">
        <f t="shared" si="107"/>
        <v>0</v>
      </c>
      <c r="EH30" s="130">
        <f t="shared" si="107"/>
        <v>0</v>
      </c>
      <c r="EI30" s="130">
        <f t="shared" si="107"/>
        <v>0</v>
      </c>
      <c r="EJ30" s="130">
        <f t="shared" si="107"/>
        <v>0</v>
      </c>
      <c r="EK30" s="130">
        <f t="shared" si="107"/>
        <v>0</v>
      </c>
      <c r="EL30" s="130">
        <f t="shared" si="107"/>
        <v>0</v>
      </c>
      <c r="EM30" s="130">
        <f t="shared" ref="EM30:GX30" si="108">ROUND(EM62,0)</f>
        <v>0</v>
      </c>
      <c r="EN30" s="130">
        <f t="shared" si="108"/>
        <v>0</v>
      </c>
      <c r="EO30" s="130">
        <f t="shared" si="108"/>
        <v>0</v>
      </c>
      <c r="EP30" s="130">
        <f t="shared" si="108"/>
        <v>0</v>
      </c>
      <c r="EQ30" s="130">
        <f t="shared" si="108"/>
        <v>0</v>
      </c>
      <c r="ER30" s="130">
        <f t="shared" si="108"/>
        <v>0</v>
      </c>
      <c r="ES30" s="130">
        <f t="shared" si="108"/>
        <v>0</v>
      </c>
      <c r="ET30" s="130">
        <f t="shared" si="108"/>
        <v>0</v>
      </c>
      <c r="EU30" s="130">
        <f t="shared" si="108"/>
        <v>0</v>
      </c>
      <c r="EV30" s="130">
        <f t="shared" si="108"/>
        <v>0</v>
      </c>
      <c r="EW30" s="130">
        <f t="shared" si="108"/>
        <v>0</v>
      </c>
      <c r="EX30" s="130">
        <f t="shared" si="108"/>
        <v>0</v>
      </c>
      <c r="EY30" s="130">
        <f t="shared" si="108"/>
        <v>0</v>
      </c>
      <c r="EZ30" s="130">
        <f t="shared" si="108"/>
        <v>0</v>
      </c>
      <c r="FA30" s="130">
        <f t="shared" si="108"/>
        <v>0</v>
      </c>
      <c r="FB30" s="130">
        <f t="shared" si="108"/>
        <v>0</v>
      </c>
      <c r="FC30" s="130">
        <f t="shared" si="108"/>
        <v>0</v>
      </c>
      <c r="FD30" s="130">
        <f t="shared" si="108"/>
        <v>0</v>
      </c>
      <c r="FE30" s="130">
        <f t="shared" si="108"/>
        <v>0</v>
      </c>
      <c r="FF30" s="130">
        <f t="shared" si="108"/>
        <v>0</v>
      </c>
      <c r="FG30" s="130">
        <f t="shared" si="108"/>
        <v>0</v>
      </c>
      <c r="FH30" s="130">
        <f t="shared" si="108"/>
        <v>0</v>
      </c>
      <c r="FI30" s="130">
        <f t="shared" si="108"/>
        <v>0</v>
      </c>
      <c r="FJ30" s="130">
        <f t="shared" si="108"/>
        <v>0</v>
      </c>
      <c r="FK30" s="130">
        <f t="shared" si="108"/>
        <v>0</v>
      </c>
      <c r="FL30" s="130">
        <f t="shared" si="108"/>
        <v>0</v>
      </c>
      <c r="FM30" s="130">
        <f t="shared" si="108"/>
        <v>0</v>
      </c>
      <c r="FN30" s="130">
        <f t="shared" si="108"/>
        <v>0</v>
      </c>
      <c r="FO30" s="130">
        <f t="shared" si="108"/>
        <v>0</v>
      </c>
      <c r="FP30" s="130">
        <f t="shared" si="108"/>
        <v>0</v>
      </c>
      <c r="FQ30" s="130">
        <f t="shared" si="108"/>
        <v>0</v>
      </c>
      <c r="FR30" s="130">
        <f t="shared" si="108"/>
        <v>0</v>
      </c>
      <c r="FS30" s="130">
        <f t="shared" si="108"/>
        <v>0</v>
      </c>
      <c r="FT30" s="130">
        <f t="shared" si="108"/>
        <v>0</v>
      </c>
      <c r="FU30" s="130">
        <f t="shared" si="108"/>
        <v>0</v>
      </c>
      <c r="FV30" s="130">
        <f t="shared" si="108"/>
        <v>0</v>
      </c>
      <c r="FW30" s="130">
        <f t="shared" si="108"/>
        <v>0</v>
      </c>
      <c r="FX30" s="130">
        <f t="shared" si="108"/>
        <v>0</v>
      </c>
      <c r="FY30" s="130">
        <f t="shared" si="108"/>
        <v>0</v>
      </c>
      <c r="FZ30" s="130">
        <f t="shared" si="108"/>
        <v>0</v>
      </c>
      <c r="GA30" s="130">
        <f t="shared" si="108"/>
        <v>0</v>
      </c>
      <c r="GB30" s="130">
        <f t="shared" si="108"/>
        <v>0</v>
      </c>
      <c r="GC30" s="130">
        <f t="shared" si="108"/>
        <v>0</v>
      </c>
      <c r="GD30" s="130">
        <f t="shared" si="108"/>
        <v>0</v>
      </c>
      <c r="GE30" s="130">
        <f t="shared" si="108"/>
        <v>0</v>
      </c>
      <c r="GF30" s="130">
        <f t="shared" si="108"/>
        <v>0</v>
      </c>
      <c r="GG30" s="130">
        <f t="shared" si="108"/>
        <v>0</v>
      </c>
      <c r="GH30" s="130">
        <f t="shared" si="108"/>
        <v>0</v>
      </c>
      <c r="GI30" s="130">
        <f t="shared" si="108"/>
        <v>0</v>
      </c>
      <c r="GJ30" s="130">
        <f t="shared" si="108"/>
        <v>0</v>
      </c>
      <c r="GK30" s="130">
        <f t="shared" si="108"/>
        <v>0</v>
      </c>
      <c r="GL30" s="130">
        <f t="shared" si="108"/>
        <v>0</v>
      </c>
      <c r="GM30" s="130">
        <f t="shared" si="108"/>
        <v>0</v>
      </c>
      <c r="GN30" s="130">
        <f t="shared" si="108"/>
        <v>0</v>
      </c>
      <c r="GO30" s="130">
        <f t="shared" si="108"/>
        <v>0</v>
      </c>
      <c r="GP30" s="130">
        <f t="shared" si="108"/>
        <v>0</v>
      </c>
      <c r="GQ30" s="130">
        <f t="shared" si="108"/>
        <v>0</v>
      </c>
      <c r="GR30" s="130">
        <f t="shared" si="108"/>
        <v>0</v>
      </c>
      <c r="GS30" s="130">
        <f t="shared" si="108"/>
        <v>0</v>
      </c>
      <c r="GT30" s="130">
        <f t="shared" si="108"/>
        <v>0</v>
      </c>
      <c r="GU30" s="130">
        <f t="shared" si="108"/>
        <v>0</v>
      </c>
      <c r="GV30" s="130">
        <f t="shared" si="108"/>
        <v>0</v>
      </c>
      <c r="GW30" s="130">
        <f t="shared" si="108"/>
        <v>0</v>
      </c>
      <c r="GX30" s="130">
        <f t="shared" si="108"/>
        <v>0</v>
      </c>
      <c r="GY30" s="130">
        <f t="shared" ref="GY30:JJ30" si="109">ROUND(GY62,0)</f>
        <v>0</v>
      </c>
      <c r="GZ30" s="130">
        <f t="shared" si="109"/>
        <v>0</v>
      </c>
      <c r="HA30" s="130">
        <f t="shared" si="109"/>
        <v>0</v>
      </c>
      <c r="HB30" s="130">
        <f t="shared" si="109"/>
        <v>0</v>
      </c>
      <c r="HC30" s="130">
        <f t="shared" si="109"/>
        <v>0</v>
      </c>
      <c r="HD30" s="130">
        <f t="shared" si="109"/>
        <v>0</v>
      </c>
      <c r="HE30" s="130">
        <f t="shared" si="109"/>
        <v>0</v>
      </c>
      <c r="HF30" s="130">
        <f t="shared" si="109"/>
        <v>0</v>
      </c>
      <c r="HG30" s="130">
        <f t="shared" si="109"/>
        <v>0</v>
      </c>
      <c r="HH30" s="130">
        <f t="shared" si="109"/>
        <v>0</v>
      </c>
      <c r="HI30" s="130">
        <f t="shared" si="109"/>
        <v>0</v>
      </c>
      <c r="HJ30" s="130">
        <f t="shared" si="109"/>
        <v>0</v>
      </c>
      <c r="HK30" s="130">
        <f t="shared" si="109"/>
        <v>0</v>
      </c>
      <c r="HL30" s="130">
        <f t="shared" si="109"/>
        <v>0</v>
      </c>
      <c r="HM30" s="130">
        <f t="shared" si="109"/>
        <v>0</v>
      </c>
      <c r="HN30" s="130">
        <f t="shared" si="109"/>
        <v>0</v>
      </c>
      <c r="HO30" s="130">
        <f t="shared" si="109"/>
        <v>0</v>
      </c>
      <c r="HP30" s="130">
        <f t="shared" si="109"/>
        <v>0</v>
      </c>
      <c r="HQ30" s="130">
        <f t="shared" si="109"/>
        <v>0</v>
      </c>
      <c r="HR30" s="130">
        <f t="shared" si="109"/>
        <v>0</v>
      </c>
      <c r="HS30" s="130">
        <f t="shared" si="109"/>
        <v>0</v>
      </c>
      <c r="HT30" s="130">
        <f t="shared" si="109"/>
        <v>0</v>
      </c>
      <c r="HU30" s="130">
        <f t="shared" si="109"/>
        <v>0</v>
      </c>
      <c r="HV30" s="130">
        <f t="shared" si="109"/>
        <v>0</v>
      </c>
      <c r="HW30" s="130">
        <f t="shared" si="109"/>
        <v>0</v>
      </c>
      <c r="HX30" s="130">
        <f t="shared" si="109"/>
        <v>0</v>
      </c>
      <c r="HY30" s="130">
        <f t="shared" si="109"/>
        <v>0</v>
      </c>
      <c r="HZ30" s="130">
        <f t="shared" si="109"/>
        <v>0</v>
      </c>
      <c r="IA30" s="130">
        <f t="shared" si="109"/>
        <v>0</v>
      </c>
      <c r="IB30" s="130">
        <f t="shared" si="109"/>
        <v>0</v>
      </c>
      <c r="IC30" s="130">
        <f t="shared" si="109"/>
        <v>0</v>
      </c>
      <c r="ID30" s="130">
        <f t="shared" si="109"/>
        <v>0</v>
      </c>
      <c r="IE30" s="130">
        <f t="shared" si="109"/>
        <v>0</v>
      </c>
      <c r="IF30" s="130">
        <f t="shared" si="109"/>
        <v>0</v>
      </c>
      <c r="IG30" s="130">
        <f t="shared" si="109"/>
        <v>0</v>
      </c>
      <c r="IH30" s="130">
        <f t="shared" si="109"/>
        <v>0</v>
      </c>
      <c r="II30" s="130">
        <f t="shared" si="109"/>
        <v>0</v>
      </c>
      <c r="IJ30" s="130">
        <f t="shared" si="109"/>
        <v>0</v>
      </c>
      <c r="IK30" s="130">
        <f t="shared" si="109"/>
        <v>0</v>
      </c>
      <c r="IL30" s="130">
        <f t="shared" si="109"/>
        <v>0</v>
      </c>
      <c r="IM30" s="130">
        <f t="shared" si="109"/>
        <v>0</v>
      </c>
      <c r="IN30" s="130">
        <f t="shared" si="109"/>
        <v>0</v>
      </c>
      <c r="IO30" s="130">
        <f t="shared" si="109"/>
        <v>0</v>
      </c>
      <c r="IP30" s="130">
        <f t="shared" si="109"/>
        <v>0</v>
      </c>
      <c r="IQ30" s="130">
        <f t="shared" si="109"/>
        <v>0</v>
      </c>
      <c r="IR30" s="130">
        <f t="shared" si="109"/>
        <v>0</v>
      </c>
      <c r="IS30" s="130">
        <f t="shared" si="109"/>
        <v>0</v>
      </c>
      <c r="IT30" s="130">
        <f t="shared" si="109"/>
        <v>0</v>
      </c>
      <c r="IU30" s="130">
        <f t="shared" si="109"/>
        <v>0</v>
      </c>
      <c r="IV30" s="130">
        <f t="shared" si="109"/>
        <v>0</v>
      </c>
      <c r="IW30" s="130">
        <f t="shared" si="109"/>
        <v>0</v>
      </c>
      <c r="IX30" s="130">
        <f t="shared" si="109"/>
        <v>0</v>
      </c>
      <c r="IY30" s="130">
        <f t="shared" si="109"/>
        <v>0</v>
      </c>
      <c r="IZ30" s="130">
        <f t="shared" si="109"/>
        <v>0</v>
      </c>
      <c r="JA30" s="130">
        <f t="shared" si="109"/>
        <v>0</v>
      </c>
      <c r="JB30" s="130">
        <f t="shared" si="109"/>
        <v>0</v>
      </c>
      <c r="JC30" s="130">
        <f t="shared" si="109"/>
        <v>0</v>
      </c>
      <c r="JD30" s="130">
        <f t="shared" si="109"/>
        <v>0</v>
      </c>
      <c r="JE30" s="130">
        <f t="shared" si="109"/>
        <v>0</v>
      </c>
      <c r="JF30" s="130">
        <f t="shared" si="109"/>
        <v>0</v>
      </c>
      <c r="JG30" s="130">
        <f t="shared" si="109"/>
        <v>0</v>
      </c>
      <c r="JH30" s="130">
        <f t="shared" si="109"/>
        <v>0</v>
      </c>
      <c r="JI30" s="130">
        <f t="shared" si="109"/>
        <v>0</v>
      </c>
      <c r="JJ30" s="130">
        <f t="shared" si="109"/>
        <v>0</v>
      </c>
      <c r="JK30" s="130">
        <f t="shared" ref="JK30:LV30" si="110">ROUND(JK62,0)</f>
        <v>0</v>
      </c>
      <c r="JL30" s="130">
        <f t="shared" si="110"/>
        <v>0</v>
      </c>
      <c r="JM30" s="130">
        <f t="shared" si="110"/>
        <v>0</v>
      </c>
      <c r="JN30" s="130">
        <f t="shared" si="110"/>
        <v>0</v>
      </c>
      <c r="JO30" s="130">
        <f t="shared" si="110"/>
        <v>0</v>
      </c>
      <c r="JP30" s="130">
        <f t="shared" si="110"/>
        <v>0</v>
      </c>
      <c r="JQ30" s="130">
        <f t="shared" si="110"/>
        <v>0</v>
      </c>
      <c r="JR30" s="130">
        <f t="shared" si="110"/>
        <v>0</v>
      </c>
      <c r="JS30" s="130">
        <f t="shared" si="110"/>
        <v>0</v>
      </c>
      <c r="JT30" s="130">
        <f t="shared" si="110"/>
        <v>0</v>
      </c>
      <c r="JU30" s="130">
        <f t="shared" si="110"/>
        <v>0</v>
      </c>
      <c r="JV30" s="130">
        <f t="shared" si="110"/>
        <v>0</v>
      </c>
      <c r="JW30" s="130">
        <f t="shared" si="110"/>
        <v>0</v>
      </c>
      <c r="JX30" s="130">
        <f t="shared" si="110"/>
        <v>0</v>
      </c>
      <c r="JY30" s="130">
        <f t="shared" si="110"/>
        <v>0</v>
      </c>
      <c r="JZ30" s="130">
        <f t="shared" si="110"/>
        <v>0</v>
      </c>
      <c r="KA30" s="130">
        <f t="shared" si="110"/>
        <v>0</v>
      </c>
      <c r="KB30" s="130">
        <f t="shared" si="110"/>
        <v>0</v>
      </c>
      <c r="KC30" s="130">
        <f t="shared" si="110"/>
        <v>0</v>
      </c>
      <c r="KD30" s="130">
        <f t="shared" si="110"/>
        <v>0</v>
      </c>
      <c r="KE30" s="130">
        <f t="shared" si="110"/>
        <v>0</v>
      </c>
      <c r="KF30" s="130">
        <f t="shared" si="110"/>
        <v>0</v>
      </c>
      <c r="KG30" s="130">
        <f t="shared" si="110"/>
        <v>0</v>
      </c>
      <c r="KH30" s="130">
        <f t="shared" si="110"/>
        <v>0</v>
      </c>
      <c r="KI30" s="130">
        <f t="shared" si="110"/>
        <v>0</v>
      </c>
      <c r="KJ30" s="130">
        <f t="shared" si="110"/>
        <v>0</v>
      </c>
      <c r="KK30" s="130">
        <f t="shared" si="110"/>
        <v>0</v>
      </c>
      <c r="KL30" s="130">
        <f t="shared" si="110"/>
        <v>0</v>
      </c>
      <c r="KM30" s="130">
        <f t="shared" si="110"/>
        <v>0</v>
      </c>
      <c r="KN30" s="130">
        <f t="shared" si="110"/>
        <v>0</v>
      </c>
      <c r="KO30" s="130">
        <f t="shared" si="110"/>
        <v>0</v>
      </c>
      <c r="KP30" s="130">
        <f t="shared" si="110"/>
        <v>0</v>
      </c>
      <c r="KQ30" s="130">
        <f t="shared" si="110"/>
        <v>0</v>
      </c>
      <c r="KR30" s="130">
        <f t="shared" si="110"/>
        <v>0</v>
      </c>
      <c r="KS30" s="130">
        <f t="shared" si="110"/>
        <v>0</v>
      </c>
      <c r="KT30" s="130">
        <f t="shared" si="110"/>
        <v>0</v>
      </c>
      <c r="KU30" s="130">
        <f t="shared" si="110"/>
        <v>0</v>
      </c>
      <c r="KV30" s="130">
        <f t="shared" si="110"/>
        <v>0</v>
      </c>
      <c r="KW30" s="130">
        <f t="shared" si="110"/>
        <v>0</v>
      </c>
      <c r="KX30" s="130">
        <f t="shared" si="110"/>
        <v>0</v>
      </c>
      <c r="KY30" s="130">
        <f t="shared" si="110"/>
        <v>0</v>
      </c>
      <c r="KZ30" s="130">
        <f t="shared" si="110"/>
        <v>0</v>
      </c>
      <c r="LA30" s="130">
        <f t="shared" si="110"/>
        <v>0</v>
      </c>
      <c r="LB30" s="130">
        <f t="shared" si="110"/>
        <v>0</v>
      </c>
      <c r="LC30" s="130">
        <f t="shared" si="110"/>
        <v>0</v>
      </c>
      <c r="LD30" s="130">
        <f t="shared" si="110"/>
        <v>0</v>
      </c>
      <c r="LE30" s="130">
        <f t="shared" si="110"/>
        <v>0</v>
      </c>
      <c r="LF30" s="130">
        <f t="shared" si="110"/>
        <v>0</v>
      </c>
      <c r="LG30" s="130">
        <f t="shared" si="110"/>
        <v>0</v>
      </c>
      <c r="LH30" s="130">
        <f t="shared" si="110"/>
        <v>0</v>
      </c>
      <c r="LI30" s="130">
        <f t="shared" si="110"/>
        <v>0</v>
      </c>
      <c r="LJ30" s="130">
        <f t="shared" si="110"/>
        <v>0</v>
      </c>
      <c r="LK30" s="130">
        <f t="shared" si="110"/>
        <v>0</v>
      </c>
      <c r="LL30" s="130">
        <f t="shared" si="110"/>
        <v>0</v>
      </c>
      <c r="LM30" s="130">
        <f t="shared" si="110"/>
        <v>0</v>
      </c>
      <c r="LN30" s="130">
        <f t="shared" si="110"/>
        <v>0</v>
      </c>
      <c r="LO30" s="130">
        <f t="shared" si="110"/>
        <v>0</v>
      </c>
      <c r="LP30" s="130">
        <f t="shared" si="110"/>
        <v>0</v>
      </c>
      <c r="LQ30" s="130">
        <f t="shared" si="110"/>
        <v>0</v>
      </c>
      <c r="LR30" s="130">
        <f t="shared" si="110"/>
        <v>0</v>
      </c>
      <c r="LS30" s="130">
        <f t="shared" si="110"/>
        <v>0</v>
      </c>
      <c r="LT30" s="130">
        <f t="shared" si="110"/>
        <v>0</v>
      </c>
      <c r="LU30" s="130">
        <f t="shared" si="110"/>
        <v>0</v>
      </c>
      <c r="LV30" s="130">
        <f t="shared" si="110"/>
        <v>0</v>
      </c>
      <c r="LW30" s="130">
        <f t="shared" ref="LW30:OH30" si="111">ROUND(LW62,0)</f>
        <v>0</v>
      </c>
      <c r="LX30" s="130">
        <f t="shared" si="111"/>
        <v>0</v>
      </c>
      <c r="LY30" s="130">
        <f t="shared" si="111"/>
        <v>0</v>
      </c>
      <c r="LZ30" s="130">
        <f t="shared" si="111"/>
        <v>0</v>
      </c>
      <c r="MA30" s="130">
        <f t="shared" si="111"/>
        <v>0</v>
      </c>
      <c r="MB30" s="130">
        <f t="shared" si="111"/>
        <v>0</v>
      </c>
      <c r="MC30" s="130">
        <f t="shared" si="111"/>
        <v>0</v>
      </c>
      <c r="MD30" s="130">
        <f t="shared" si="111"/>
        <v>0</v>
      </c>
      <c r="ME30" s="130">
        <f t="shared" si="111"/>
        <v>0</v>
      </c>
      <c r="MF30" s="130">
        <f t="shared" si="111"/>
        <v>0</v>
      </c>
      <c r="MG30" s="130">
        <f t="shared" si="111"/>
        <v>0</v>
      </c>
      <c r="MH30" s="130">
        <f t="shared" si="111"/>
        <v>0</v>
      </c>
      <c r="MI30" s="130">
        <f t="shared" si="111"/>
        <v>0</v>
      </c>
      <c r="MJ30" s="130">
        <f t="shared" si="111"/>
        <v>0</v>
      </c>
      <c r="MK30" s="130">
        <f t="shared" si="111"/>
        <v>0</v>
      </c>
      <c r="ML30" s="130">
        <f t="shared" si="111"/>
        <v>0</v>
      </c>
      <c r="MM30" s="130">
        <f t="shared" si="111"/>
        <v>0</v>
      </c>
      <c r="MN30" s="130">
        <f t="shared" si="111"/>
        <v>0</v>
      </c>
      <c r="MO30" s="130">
        <f t="shared" si="111"/>
        <v>0</v>
      </c>
      <c r="MP30" s="130">
        <f t="shared" si="111"/>
        <v>0</v>
      </c>
      <c r="MQ30" s="130">
        <f t="shared" si="111"/>
        <v>0</v>
      </c>
      <c r="MR30" s="130">
        <f t="shared" si="111"/>
        <v>0</v>
      </c>
      <c r="MS30" s="130">
        <f t="shared" si="111"/>
        <v>0</v>
      </c>
      <c r="MT30" s="130">
        <f t="shared" si="111"/>
        <v>0</v>
      </c>
      <c r="MU30" s="130">
        <f t="shared" si="111"/>
        <v>0</v>
      </c>
      <c r="MV30" s="130">
        <f t="shared" si="111"/>
        <v>0</v>
      </c>
      <c r="MW30" s="130">
        <f t="shared" si="111"/>
        <v>0</v>
      </c>
      <c r="MX30" s="130">
        <f t="shared" si="111"/>
        <v>0</v>
      </c>
      <c r="MY30" s="130">
        <f t="shared" si="111"/>
        <v>0</v>
      </c>
      <c r="MZ30" s="130">
        <f t="shared" si="111"/>
        <v>0</v>
      </c>
      <c r="NA30" s="130">
        <f t="shared" si="111"/>
        <v>0</v>
      </c>
      <c r="NB30" s="130">
        <f t="shared" si="111"/>
        <v>0</v>
      </c>
      <c r="NC30" s="130">
        <f t="shared" si="111"/>
        <v>0</v>
      </c>
      <c r="ND30" s="130">
        <f t="shared" si="111"/>
        <v>0</v>
      </c>
      <c r="NE30" s="130">
        <f t="shared" si="111"/>
        <v>0</v>
      </c>
      <c r="NF30" s="130">
        <f t="shared" si="111"/>
        <v>0</v>
      </c>
      <c r="NG30" s="130">
        <f t="shared" si="111"/>
        <v>0</v>
      </c>
      <c r="NH30" s="130">
        <f t="shared" si="111"/>
        <v>0</v>
      </c>
      <c r="NI30" s="130">
        <f t="shared" si="111"/>
        <v>0</v>
      </c>
      <c r="NJ30" s="130">
        <f t="shared" si="111"/>
        <v>0</v>
      </c>
      <c r="NK30" s="130">
        <f t="shared" si="111"/>
        <v>0</v>
      </c>
      <c r="NL30" s="130">
        <f t="shared" si="111"/>
        <v>0</v>
      </c>
      <c r="NM30" s="130">
        <f t="shared" si="111"/>
        <v>0</v>
      </c>
      <c r="NN30" s="130">
        <f t="shared" si="111"/>
        <v>0</v>
      </c>
      <c r="NO30" s="130">
        <f t="shared" si="111"/>
        <v>0</v>
      </c>
      <c r="NP30" s="130">
        <f t="shared" si="111"/>
        <v>0</v>
      </c>
      <c r="NQ30" s="130">
        <f t="shared" si="111"/>
        <v>0</v>
      </c>
      <c r="NR30" s="130">
        <f t="shared" si="111"/>
        <v>0</v>
      </c>
      <c r="NS30" s="130">
        <f t="shared" si="111"/>
        <v>0</v>
      </c>
      <c r="NT30" s="130">
        <f t="shared" si="111"/>
        <v>0</v>
      </c>
      <c r="NU30" s="130">
        <f t="shared" si="111"/>
        <v>0</v>
      </c>
      <c r="NV30" s="130">
        <f t="shared" si="111"/>
        <v>0</v>
      </c>
      <c r="NW30" s="130">
        <f t="shared" si="111"/>
        <v>0</v>
      </c>
      <c r="NX30" s="130">
        <f t="shared" si="111"/>
        <v>0</v>
      </c>
      <c r="NY30" s="130">
        <f t="shared" si="111"/>
        <v>0</v>
      </c>
      <c r="NZ30" s="130">
        <f t="shared" si="111"/>
        <v>0</v>
      </c>
      <c r="OA30" s="130">
        <f t="shared" si="111"/>
        <v>0</v>
      </c>
      <c r="OB30" s="130">
        <f t="shared" si="111"/>
        <v>0</v>
      </c>
      <c r="OC30" s="130">
        <f t="shared" si="111"/>
        <v>0</v>
      </c>
      <c r="OD30" s="130">
        <f t="shared" si="111"/>
        <v>0</v>
      </c>
      <c r="OE30" s="130">
        <f t="shared" si="111"/>
        <v>0</v>
      </c>
      <c r="OF30" s="130">
        <f t="shared" si="111"/>
        <v>0</v>
      </c>
      <c r="OG30" s="130">
        <f t="shared" si="111"/>
        <v>0</v>
      </c>
      <c r="OH30" s="130">
        <f t="shared" si="111"/>
        <v>0</v>
      </c>
      <c r="OI30" s="130">
        <f t="shared" ref="OI30:QT30" si="112">ROUND(OI62,0)</f>
        <v>0</v>
      </c>
      <c r="OJ30" s="130">
        <f t="shared" si="112"/>
        <v>0</v>
      </c>
      <c r="OK30" s="130">
        <f t="shared" si="112"/>
        <v>0</v>
      </c>
      <c r="OL30" s="130">
        <f t="shared" si="112"/>
        <v>0</v>
      </c>
      <c r="OM30" s="130">
        <f t="shared" si="112"/>
        <v>0</v>
      </c>
      <c r="ON30" s="130">
        <f t="shared" si="112"/>
        <v>0</v>
      </c>
      <c r="OO30" s="130">
        <f t="shared" si="112"/>
        <v>0</v>
      </c>
      <c r="OP30" s="130">
        <f t="shared" si="112"/>
        <v>0</v>
      </c>
      <c r="OQ30" s="130">
        <f t="shared" si="112"/>
        <v>0</v>
      </c>
      <c r="OR30" s="130">
        <f t="shared" si="112"/>
        <v>0</v>
      </c>
      <c r="OS30" s="130">
        <f t="shared" si="112"/>
        <v>0</v>
      </c>
      <c r="OT30" s="130">
        <f t="shared" si="112"/>
        <v>0</v>
      </c>
      <c r="OU30" s="130">
        <f t="shared" si="112"/>
        <v>0</v>
      </c>
      <c r="OV30" s="130">
        <f t="shared" si="112"/>
        <v>0</v>
      </c>
      <c r="OW30" s="130">
        <f t="shared" si="112"/>
        <v>0</v>
      </c>
      <c r="OX30" s="130">
        <f t="shared" si="112"/>
        <v>0</v>
      </c>
      <c r="OY30" s="130">
        <f t="shared" si="112"/>
        <v>0</v>
      </c>
      <c r="OZ30" s="130">
        <f t="shared" si="112"/>
        <v>0</v>
      </c>
      <c r="PA30" s="130">
        <f t="shared" si="112"/>
        <v>0</v>
      </c>
      <c r="PB30" s="130">
        <f t="shared" si="112"/>
        <v>0</v>
      </c>
      <c r="PC30" s="130">
        <f t="shared" si="112"/>
        <v>0</v>
      </c>
      <c r="PD30" s="130">
        <f t="shared" si="112"/>
        <v>0</v>
      </c>
      <c r="PE30" s="130">
        <f t="shared" si="112"/>
        <v>0</v>
      </c>
      <c r="PF30" s="130">
        <f t="shared" si="112"/>
        <v>0</v>
      </c>
      <c r="PG30" s="130">
        <f t="shared" si="112"/>
        <v>0</v>
      </c>
      <c r="PH30" s="130">
        <f t="shared" si="112"/>
        <v>0</v>
      </c>
      <c r="PI30" s="130">
        <f t="shared" si="112"/>
        <v>0</v>
      </c>
      <c r="PJ30" s="130">
        <f t="shared" si="112"/>
        <v>0</v>
      </c>
      <c r="PK30" s="130">
        <f t="shared" si="112"/>
        <v>0</v>
      </c>
      <c r="PL30" s="130">
        <f t="shared" si="112"/>
        <v>0</v>
      </c>
      <c r="PM30" s="130">
        <f t="shared" si="112"/>
        <v>0</v>
      </c>
      <c r="PN30" s="130">
        <f t="shared" si="112"/>
        <v>0</v>
      </c>
      <c r="PO30" s="130">
        <f t="shared" si="112"/>
        <v>0</v>
      </c>
      <c r="PP30" s="130">
        <f t="shared" si="112"/>
        <v>0</v>
      </c>
      <c r="PQ30" s="130">
        <f t="shared" si="112"/>
        <v>0</v>
      </c>
      <c r="PR30" s="130">
        <f t="shared" si="112"/>
        <v>0</v>
      </c>
      <c r="PS30" s="130">
        <f t="shared" si="112"/>
        <v>0</v>
      </c>
      <c r="PT30" s="130">
        <f t="shared" si="112"/>
        <v>0</v>
      </c>
      <c r="PU30" s="130">
        <f t="shared" si="112"/>
        <v>0</v>
      </c>
      <c r="PV30" s="130">
        <f t="shared" si="112"/>
        <v>0</v>
      </c>
      <c r="PW30" s="130">
        <f t="shared" si="112"/>
        <v>0</v>
      </c>
      <c r="PX30" s="130">
        <f t="shared" si="112"/>
        <v>0</v>
      </c>
      <c r="PY30" s="130">
        <f t="shared" si="112"/>
        <v>0</v>
      </c>
      <c r="PZ30" s="130">
        <f t="shared" si="112"/>
        <v>0</v>
      </c>
      <c r="QA30" s="130">
        <f t="shared" si="112"/>
        <v>0</v>
      </c>
      <c r="QB30" s="130">
        <f t="shared" si="112"/>
        <v>0</v>
      </c>
      <c r="QC30" s="130">
        <f t="shared" si="112"/>
        <v>0</v>
      </c>
      <c r="QD30" s="130">
        <f t="shared" si="112"/>
        <v>0</v>
      </c>
      <c r="QE30" s="130">
        <f t="shared" si="112"/>
        <v>0</v>
      </c>
      <c r="QF30" s="130">
        <f t="shared" si="112"/>
        <v>0</v>
      </c>
      <c r="QG30" s="130">
        <f t="shared" si="112"/>
        <v>0</v>
      </c>
      <c r="QH30" s="130">
        <f t="shared" si="112"/>
        <v>0</v>
      </c>
      <c r="QI30" s="130">
        <f t="shared" si="112"/>
        <v>0</v>
      </c>
      <c r="QJ30" s="130">
        <f t="shared" si="112"/>
        <v>0</v>
      </c>
      <c r="QK30" s="130">
        <f t="shared" si="112"/>
        <v>0</v>
      </c>
      <c r="QL30" s="130">
        <f t="shared" si="112"/>
        <v>0</v>
      </c>
      <c r="QM30" s="130">
        <f t="shared" si="112"/>
        <v>0</v>
      </c>
      <c r="QN30" s="130">
        <f t="shared" si="112"/>
        <v>0</v>
      </c>
      <c r="QO30" s="130">
        <f t="shared" si="112"/>
        <v>0</v>
      </c>
      <c r="QP30" s="130">
        <f t="shared" si="112"/>
        <v>0</v>
      </c>
      <c r="QQ30" s="130">
        <f t="shared" si="112"/>
        <v>0</v>
      </c>
      <c r="QR30" s="130">
        <f t="shared" si="112"/>
        <v>0</v>
      </c>
      <c r="QS30" s="130">
        <f t="shared" si="112"/>
        <v>0</v>
      </c>
      <c r="QT30" s="130">
        <f t="shared" si="112"/>
        <v>0</v>
      </c>
      <c r="QU30" s="130">
        <f t="shared" ref="QU30:TF30" si="113">ROUND(QU62,0)</f>
        <v>0</v>
      </c>
      <c r="QV30" s="130">
        <f t="shared" si="113"/>
        <v>0</v>
      </c>
      <c r="QW30" s="130">
        <f t="shared" si="113"/>
        <v>0</v>
      </c>
      <c r="QX30" s="130">
        <f t="shared" si="113"/>
        <v>0</v>
      </c>
      <c r="QY30" s="130">
        <f t="shared" si="113"/>
        <v>0</v>
      </c>
      <c r="QZ30" s="130">
        <f t="shared" si="113"/>
        <v>0</v>
      </c>
      <c r="RA30" s="130">
        <f t="shared" si="113"/>
        <v>0</v>
      </c>
      <c r="RB30" s="130">
        <f t="shared" si="113"/>
        <v>0</v>
      </c>
      <c r="RC30" s="130">
        <f t="shared" si="113"/>
        <v>0</v>
      </c>
      <c r="RD30" s="130">
        <f t="shared" si="113"/>
        <v>0</v>
      </c>
      <c r="RE30" s="130">
        <f t="shared" si="113"/>
        <v>0</v>
      </c>
      <c r="RF30" s="130">
        <f t="shared" si="113"/>
        <v>0</v>
      </c>
      <c r="RG30" s="130">
        <f t="shared" si="113"/>
        <v>0</v>
      </c>
      <c r="RH30" s="130">
        <f t="shared" si="113"/>
        <v>0</v>
      </c>
      <c r="RI30" s="130">
        <f t="shared" si="113"/>
        <v>0</v>
      </c>
      <c r="RJ30" s="130">
        <f t="shared" si="113"/>
        <v>0</v>
      </c>
      <c r="RK30" s="130">
        <f t="shared" si="113"/>
        <v>0</v>
      </c>
      <c r="RL30" s="130">
        <f t="shared" si="113"/>
        <v>0</v>
      </c>
      <c r="RM30" s="130">
        <f t="shared" si="113"/>
        <v>0</v>
      </c>
      <c r="RN30" s="130">
        <f t="shared" si="113"/>
        <v>0</v>
      </c>
      <c r="RO30" s="130">
        <f t="shared" si="113"/>
        <v>0</v>
      </c>
      <c r="RP30" s="130">
        <f t="shared" si="113"/>
        <v>0</v>
      </c>
      <c r="RQ30" s="130">
        <f t="shared" si="113"/>
        <v>0</v>
      </c>
      <c r="RR30" s="130">
        <f t="shared" si="113"/>
        <v>0</v>
      </c>
      <c r="RS30" s="130">
        <f t="shared" si="113"/>
        <v>0</v>
      </c>
      <c r="RT30" s="130">
        <f t="shared" si="113"/>
        <v>0</v>
      </c>
      <c r="RU30" s="130">
        <f t="shared" si="113"/>
        <v>0</v>
      </c>
      <c r="RV30" s="130">
        <f t="shared" si="113"/>
        <v>0</v>
      </c>
      <c r="RW30" s="130">
        <f t="shared" si="113"/>
        <v>0</v>
      </c>
      <c r="RX30" s="130">
        <f t="shared" si="113"/>
        <v>0</v>
      </c>
      <c r="RY30" s="130">
        <f t="shared" si="113"/>
        <v>0</v>
      </c>
      <c r="RZ30" s="130">
        <f t="shared" si="113"/>
        <v>0</v>
      </c>
      <c r="SA30" s="130">
        <f t="shared" si="113"/>
        <v>0</v>
      </c>
      <c r="SB30" s="130">
        <f t="shared" si="113"/>
        <v>0</v>
      </c>
      <c r="SC30" s="130">
        <f t="shared" si="113"/>
        <v>0</v>
      </c>
      <c r="SD30" s="130">
        <f t="shared" si="113"/>
        <v>0</v>
      </c>
      <c r="SE30" s="130">
        <f t="shared" si="113"/>
        <v>0</v>
      </c>
      <c r="SF30" s="130">
        <f t="shared" si="113"/>
        <v>0</v>
      </c>
      <c r="SG30" s="130">
        <f t="shared" si="113"/>
        <v>0</v>
      </c>
      <c r="SH30" s="130">
        <f t="shared" si="113"/>
        <v>0</v>
      </c>
      <c r="SI30" s="130">
        <f t="shared" si="113"/>
        <v>0</v>
      </c>
      <c r="SJ30" s="130">
        <f t="shared" si="113"/>
        <v>0</v>
      </c>
      <c r="SK30" s="130">
        <f t="shared" si="113"/>
        <v>0</v>
      </c>
      <c r="SL30" s="130">
        <f t="shared" si="113"/>
        <v>0</v>
      </c>
      <c r="SM30" s="130">
        <f t="shared" si="113"/>
        <v>0</v>
      </c>
      <c r="SN30" s="130">
        <f t="shared" si="113"/>
        <v>0</v>
      </c>
      <c r="SO30" s="130">
        <f t="shared" si="113"/>
        <v>0</v>
      </c>
      <c r="SP30" s="130">
        <f t="shared" si="113"/>
        <v>0</v>
      </c>
      <c r="SQ30" s="130">
        <f t="shared" si="113"/>
        <v>0</v>
      </c>
      <c r="SR30" s="130">
        <f t="shared" si="113"/>
        <v>0</v>
      </c>
      <c r="SS30" s="130">
        <f t="shared" si="113"/>
        <v>0</v>
      </c>
      <c r="ST30" s="130">
        <f t="shared" si="113"/>
        <v>0</v>
      </c>
      <c r="SU30" s="130">
        <f t="shared" si="113"/>
        <v>0</v>
      </c>
      <c r="SV30" s="130">
        <f t="shared" si="113"/>
        <v>0</v>
      </c>
      <c r="SW30" s="130">
        <f t="shared" si="113"/>
        <v>0</v>
      </c>
      <c r="SX30" s="130">
        <f t="shared" si="113"/>
        <v>0</v>
      </c>
      <c r="SY30" s="130">
        <f t="shared" si="113"/>
        <v>0</v>
      </c>
      <c r="SZ30" s="130">
        <f t="shared" si="113"/>
        <v>0</v>
      </c>
      <c r="TA30" s="130">
        <f t="shared" si="113"/>
        <v>0</v>
      </c>
      <c r="TB30" s="130">
        <f t="shared" si="113"/>
        <v>0</v>
      </c>
      <c r="TC30" s="130">
        <f t="shared" si="113"/>
        <v>0</v>
      </c>
      <c r="TD30" s="130">
        <f t="shared" si="113"/>
        <v>0</v>
      </c>
      <c r="TE30" s="130">
        <f t="shared" si="113"/>
        <v>0</v>
      </c>
      <c r="TF30" s="130">
        <f t="shared" si="113"/>
        <v>0</v>
      </c>
      <c r="TG30" s="130">
        <f t="shared" ref="TG30:VR30" si="114">ROUND(TG62,0)</f>
        <v>0</v>
      </c>
      <c r="TH30" s="130">
        <f t="shared" si="114"/>
        <v>0</v>
      </c>
      <c r="TI30" s="130">
        <f t="shared" si="114"/>
        <v>0</v>
      </c>
      <c r="TJ30" s="130">
        <f t="shared" si="114"/>
        <v>0</v>
      </c>
      <c r="TK30" s="130">
        <f t="shared" si="114"/>
        <v>0</v>
      </c>
      <c r="TL30" s="130">
        <f t="shared" si="114"/>
        <v>0</v>
      </c>
      <c r="TM30" s="130">
        <f t="shared" si="114"/>
        <v>0</v>
      </c>
      <c r="TN30" s="130">
        <f t="shared" si="114"/>
        <v>0</v>
      </c>
      <c r="TO30" s="130">
        <f t="shared" si="114"/>
        <v>0</v>
      </c>
      <c r="TP30" s="130">
        <f t="shared" si="114"/>
        <v>0</v>
      </c>
      <c r="TQ30" s="130">
        <f t="shared" si="114"/>
        <v>0</v>
      </c>
      <c r="TR30" s="130">
        <f t="shared" si="114"/>
        <v>0</v>
      </c>
      <c r="TS30" s="130">
        <f t="shared" si="114"/>
        <v>0</v>
      </c>
      <c r="TT30" s="130">
        <f t="shared" si="114"/>
        <v>0</v>
      </c>
      <c r="TU30" s="130">
        <f t="shared" si="114"/>
        <v>0</v>
      </c>
      <c r="TV30" s="130">
        <f t="shared" si="114"/>
        <v>0</v>
      </c>
      <c r="TW30" s="130">
        <f t="shared" si="114"/>
        <v>0</v>
      </c>
      <c r="TX30" s="130">
        <f t="shared" si="114"/>
        <v>0</v>
      </c>
      <c r="TY30" s="130">
        <f t="shared" si="114"/>
        <v>0</v>
      </c>
      <c r="TZ30" s="130">
        <f t="shared" si="114"/>
        <v>0</v>
      </c>
      <c r="UA30" s="130">
        <f t="shared" si="114"/>
        <v>0</v>
      </c>
      <c r="UB30" s="130">
        <f t="shared" si="114"/>
        <v>0</v>
      </c>
      <c r="UC30" s="130">
        <f t="shared" si="114"/>
        <v>0</v>
      </c>
      <c r="UD30" s="130">
        <f t="shared" si="114"/>
        <v>0</v>
      </c>
      <c r="UE30" s="130">
        <f t="shared" si="114"/>
        <v>0</v>
      </c>
      <c r="UF30" s="130">
        <f t="shared" si="114"/>
        <v>0</v>
      </c>
      <c r="UG30" s="130">
        <f t="shared" si="114"/>
        <v>0</v>
      </c>
      <c r="UH30" s="130">
        <f t="shared" si="114"/>
        <v>0</v>
      </c>
      <c r="UI30" s="130">
        <f t="shared" si="114"/>
        <v>0</v>
      </c>
      <c r="UJ30" s="130">
        <f t="shared" si="114"/>
        <v>0</v>
      </c>
      <c r="UK30" s="130">
        <f t="shared" si="114"/>
        <v>0</v>
      </c>
      <c r="UL30" s="130">
        <f t="shared" si="114"/>
        <v>0</v>
      </c>
      <c r="UM30" s="130">
        <f t="shared" si="114"/>
        <v>0</v>
      </c>
      <c r="UN30" s="130">
        <f t="shared" si="114"/>
        <v>0</v>
      </c>
      <c r="UO30" s="130">
        <f t="shared" si="114"/>
        <v>0</v>
      </c>
      <c r="UP30" s="130">
        <f t="shared" si="114"/>
        <v>0</v>
      </c>
      <c r="UQ30" s="130">
        <f t="shared" si="114"/>
        <v>0</v>
      </c>
      <c r="UR30" s="130">
        <f t="shared" si="114"/>
        <v>0</v>
      </c>
      <c r="US30" s="130">
        <f t="shared" si="114"/>
        <v>0</v>
      </c>
      <c r="UT30" s="130">
        <f t="shared" si="114"/>
        <v>0</v>
      </c>
      <c r="UU30" s="130">
        <f t="shared" si="114"/>
        <v>0</v>
      </c>
      <c r="UV30" s="130">
        <f t="shared" si="114"/>
        <v>0</v>
      </c>
      <c r="UW30" s="130">
        <f t="shared" si="114"/>
        <v>0</v>
      </c>
      <c r="UX30" s="130">
        <f t="shared" si="114"/>
        <v>0</v>
      </c>
      <c r="UY30" s="130">
        <f t="shared" si="114"/>
        <v>0</v>
      </c>
      <c r="UZ30" s="130">
        <f t="shared" si="114"/>
        <v>0</v>
      </c>
      <c r="VA30" s="130">
        <f t="shared" si="114"/>
        <v>0</v>
      </c>
      <c r="VB30" s="130">
        <f t="shared" si="114"/>
        <v>0</v>
      </c>
      <c r="VC30" s="130">
        <f t="shared" si="114"/>
        <v>0</v>
      </c>
      <c r="VD30" s="130">
        <f t="shared" si="114"/>
        <v>0</v>
      </c>
      <c r="VE30" s="130">
        <f t="shared" si="114"/>
        <v>0</v>
      </c>
      <c r="VF30" s="130">
        <f t="shared" si="114"/>
        <v>0</v>
      </c>
      <c r="VG30" s="130">
        <f t="shared" si="114"/>
        <v>0</v>
      </c>
      <c r="VH30" s="130">
        <f t="shared" si="114"/>
        <v>0</v>
      </c>
      <c r="VI30" s="130">
        <f t="shared" si="114"/>
        <v>0</v>
      </c>
      <c r="VJ30" s="130">
        <f t="shared" si="114"/>
        <v>0</v>
      </c>
      <c r="VK30" s="130">
        <f t="shared" si="114"/>
        <v>0</v>
      </c>
      <c r="VL30" s="130">
        <f t="shared" si="114"/>
        <v>0</v>
      </c>
      <c r="VM30" s="130">
        <f t="shared" si="114"/>
        <v>0</v>
      </c>
      <c r="VN30" s="130">
        <f t="shared" si="114"/>
        <v>0</v>
      </c>
      <c r="VO30" s="130">
        <f t="shared" si="114"/>
        <v>0</v>
      </c>
      <c r="VP30" s="130">
        <f t="shared" si="114"/>
        <v>0</v>
      </c>
      <c r="VQ30" s="130">
        <f t="shared" si="114"/>
        <v>0</v>
      </c>
      <c r="VR30" s="130">
        <f t="shared" si="114"/>
        <v>0</v>
      </c>
      <c r="VS30" s="130">
        <f t="shared" ref="VS30:YD30" si="115">ROUND(VS62,0)</f>
        <v>0</v>
      </c>
      <c r="VT30" s="130">
        <f t="shared" si="115"/>
        <v>0</v>
      </c>
      <c r="VU30" s="130">
        <f t="shared" si="115"/>
        <v>0</v>
      </c>
      <c r="VV30" s="130">
        <f t="shared" si="115"/>
        <v>0</v>
      </c>
      <c r="VW30" s="130">
        <f t="shared" si="115"/>
        <v>0</v>
      </c>
      <c r="VX30" s="130">
        <f t="shared" si="115"/>
        <v>0</v>
      </c>
      <c r="VY30" s="130">
        <f t="shared" si="115"/>
        <v>0</v>
      </c>
      <c r="VZ30" s="130">
        <f t="shared" si="115"/>
        <v>0</v>
      </c>
      <c r="WA30" s="130">
        <f t="shared" si="115"/>
        <v>0</v>
      </c>
      <c r="WB30" s="130">
        <f t="shared" si="115"/>
        <v>0</v>
      </c>
      <c r="WC30" s="130">
        <f t="shared" si="115"/>
        <v>0</v>
      </c>
      <c r="WD30" s="130">
        <f t="shared" si="115"/>
        <v>0</v>
      </c>
      <c r="WE30" s="130">
        <f t="shared" si="115"/>
        <v>0</v>
      </c>
      <c r="WF30" s="130">
        <f t="shared" si="115"/>
        <v>0</v>
      </c>
      <c r="WG30" s="130">
        <f t="shared" si="115"/>
        <v>0</v>
      </c>
      <c r="WH30" s="130">
        <f t="shared" si="115"/>
        <v>0</v>
      </c>
      <c r="WI30" s="130">
        <f t="shared" si="115"/>
        <v>0</v>
      </c>
      <c r="WJ30" s="130">
        <f t="shared" si="115"/>
        <v>0</v>
      </c>
      <c r="WK30" s="130">
        <f t="shared" si="115"/>
        <v>0</v>
      </c>
      <c r="WL30" s="130">
        <f t="shared" si="115"/>
        <v>0</v>
      </c>
      <c r="WM30" s="130">
        <f t="shared" si="115"/>
        <v>0</v>
      </c>
      <c r="WN30" s="130">
        <f t="shared" si="115"/>
        <v>0</v>
      </c>
      <c r="WO30" s="130">
        <f t="shared" si="115"/>
        <v>0</v>
      </c>
      <c r="WP30" s="130">
        <f t="shared" si="115"/>
        <v>0</v>
      </c>
      <c r="WQ30" s="130">
        <f t="shared" si="115"/>
        <v>0</v>
      </c>
      <c r="WR30" s="130">
        <f t="shared" si="115"/>
        <v>0</v>
      </c>
      <c r="WS30" s="130">
        <f t="shared" si="115"/>
        <v>0</v>
      </c>
      <c r="WT30" s="130">
        <f t="shared" si="115"/>
        <v>0</v>
      </c>
      <c r="WU30" s="130">
        <f t="shared" si="115"/>
        <v>0</v>
      </c>
      <c r="WV30" s="130">
        <f t="shared" si="115"/>
        <v>0</v>
      </c>
      <c r="WW30" s="130">
        <f t="shared" si="115"/>
        <v>0</v>
      </c>
      <c r="WX30" s="130">
        <f t="shared" si="115"/>
        <v>0</v>
      </c>
      <c r="WY30" s="130">
        <f t="shared" si="115"/>
        <v>0</v>
      </c>
      <c r="WZ30" s="130">
        <f t="shared" si="115"/>
        <v>0</v>
      </c>
      <c r="XA30" s="130">
        <f t="shared" si="115"/>
        <v>0</v>
      </c>
      <c r="XB30" s="130">
        <f t="shared" si="115"/>
        <v>0</v>
      </c>
      <c r="XC30" s="130">
        <f t="shared" si="115"/>
        <v>0</v>
      </c>
      <c r="XD30" s="130">
        <f t="shared" si="115"/>
        <v>0</v>
      </c>
      <c r="XE30" s="130">
        <f t="shared" si="115"/>
        <v>0</v>
      </c>
      <c r="XF30" s="130">
        <f t="shared" si="115"/>
        <v>0</v>
      </c>
      <c r="XG30" s="130">
        <f t="shared" si="115"/>
        <v>0</v>
      </c>
      <c r="XH30" s="130">
        <f t="shared" si="115"/>
        <v>0</v>
      </c>
      <c r="XI30" s="130">
        <f t="shared" si="115"/>
        <v>0</v>
      </c>
      <c r="XJ30" s="130">
        <f t="shared" si="115"/>
        <v>0</v>
      </c>
      <c r="XK30" s="130">
        <f t="shared" si="115"/>
        <v>0</v>
      </c>
      <c r="XL30" s="130">
        <f t="shared" si="115"/>
        <v>0</v>
      </c>
      <c r="XM30" s="130">
        <f t="shared" si="115"/>
        <v>0</v>
      </c>
      <c r="XN30" s="130">
        <f t="shared" si="115"/>
        <v>0</v>
      </c>
      <c r="XO30" s="130">
        <f t="shared" si="115"/>
        <v>0</v>
      </c>
      <c r="XP30" s="130">
        <f t="shared" si="115"/>
        <v>0</v>
      </c>
      <c r="XQ30" s="130">
        <f t="shared" si="115"/>
        <v>0</v>
      </c>
      <c r="XR30" s="130">
        <f t="shared" si="115"/>
        <v>0</v>
      </c>
      <c r="XS30" s="130">
        <f t="shared" si="115"/>
        <v>0</v>
      </c>
      <c r="XT30" s="130">
        <f t="shared" si="115"/>
        <v>0</v>
      </c>
      <c r="XU30" s="130">
        <f t="shared" si="115"/>
        <v>0</v>
      </c>
      <c r="XV30" s="130">
        <f t="shared" si="115"/>
        <v>0</v>
      </c>
      <c r="XW30" s="130">
        <f t="shared" si="115"/>
        <v>0</v>
      </c>
      <c r="XX30" s="130">
        <f t="shared" si="115"/>
        <v>0</v>
      </c>
      <c r="XY30" s="130">
        <f t="shared" si="115"/>
        <v>0</v>
      </c>
      <c r="XZ30" s="130">
        <f t="shared" si="115"/>
        <v>0</v>
      </c>
      <c r="YA30" s="130">
        <f t="shared" si="115"/>
        <v>0</v>
      </c>
      <c r="YB30" s="130">
        <f t="shared" si="115"/>
        <v>0</v>
      </c>
      <c r="YC30" s="130">
        <f t="shared" si="115"/>
        <v>0</v>
      </c>
      <c r="YD30" s="130">
        <f t="shared" si="115"/>
        <v>0</v>
      </c>
      <c r="YE30" s="130">
        <f t="shared" ref="YE30:AAP30" si="116">ROUND(YE62,0)</f>
        <v>0</v>
      </c>
      <c r="YF30" s="130">
        <f t="shared" si="116"/>
        <v>0</v>
      </c>
      <c r="YG30" s="130">
        <f t="shared" si="116"/>
        <v>0</v>
      </c>
      <c r="YH30" s="130">
        <f t="shared" si="116"/>
        <v>0</v>
      </c>
      <c r="YI30" s="130">
        <f t="shared" si="116"/>
        <v>0</v>
      </c>
      <c r="YJ30" s="130">
        <f t="shared" si="116"/>
        <v>0</v>
      </c>
      <c r="YK30" s="130">
        <f t="shared" si="116"/>
        <v>0</v>
      </c>
      <c r="YL30" s="130">
        <f t="shared" si="116"/>
        <v>0</v>
      </c>
      <c r="YM30" s="130">
        <f t="shared" si="116"/>
        <v>0</v>
      </c>
      <c r="YN30" s="130">
        <f t="shared" si="116"/>
        <v>0</v>
      </c>
      <c r="YO30" s="130">
        <f t="shared" si="116"/>
        <v>0</v>
      </c>
      <c r="YP30" s="130">
        <f t="shared" si="116"/>
        <v>0</v>
      </c>
      <c r="YQ30" s="130">
        <f t="shared" si="116"/>
        <v>0</v>
      </c>
      <c r="YR30" s="130">
        <f t="shared" si="116"/>
        <v>0</v>
      </c>
      <c r="YS30" s="130">
        <f t="shared" si="116"/>
        <v>0</v>
      </c>
      <c r="YT30" s="130">
        <f t="shared" si="116"/>
        <v>0</v>
      </c>
      <c r="YU30" s="130">
        <f t="shared" si="116"/>
        <v>0</v>
      </c>
      <c r="YV30" s="130">
        <f t="shared" si="116"/>
        <v>0</v>
      </c>
      <c r="YW30" s="130">
        <f t="shared" si="116"/>
        <v>0</v>
      </c>
      <c r="YX30" s="130">
        <f t="shared" si="116"/>
        <v>0</v>
      </c>
      <c r="YY30" s="130">
        <f t="shared" si="116"/>
        <v>0</v>
      </c>
      <c r="YZ30" s="130">
        <f t="shared" si="116"/>
        <v>0</v>
      </c>
      <c r="ZA30" s="130">
        <f t="shared" si="116"/>
        <v>0</v>
      </c>
      <c r="ZB30" s="130">
        <f t="shared" si="116"/>
        <v>0</v>
      </c>
      <c r="ZC30" s="130">
        <f t="shared" si="116"/>
        <v>0</v>
      </c>
      <c r="ZD30" s="130">
        <f t="shared" si="116"/>
        <v>0</v>
      </c>
      <c r="ZE30" s="130">
        <f t="shared" si="116"/>
        <v>0</v>
      </c>
      <c r="ZF30" s="130">
        <f t="shared" si="116"/>
        <v>0</v>
      </c>
      <c r="ZG30" s="130">
        <f t="shared" si="116"/>
        <v>0</v>
      </c>
      <c r="ZH30" s="130">
        <f t="shared" si="116"/>
        <v>0</v>
      </c>
      <c r="ZI30" s="130">
        <f t="shared" si="116"/>
        <v>0</v>
      </c>
      <c r="ZJ30" s="130">
        <f t="shared" si="116"/>
        <v>0</v>
      </c>
      <c r="ZK30" s="130">
        <f t="shared" si="116"/>
        <v>0</v>
      </c>
      <c r="ZL30" s="130">
        <f t="shared" si="116"/>
        <v>0</v>
      </c>
      <c r="ZM30" s="130">
        <f t="shared" si="116"/>
        <v>0</v>
      </c>
      <c r="ZN30" s="130">
        <f t="shared" si="116"/>
        <v>0</v>
      </c>
      <c r="ZO30" s="130">
        <f t="shared" si="116"/>
        <v>0</v>
      </c>
      <c r="ZP30" s="130">
        <f t="shared" si="116"/>
        <v>0</v>
      </c>
      <c r="ZQ30" s="130">
        <f t="shared" si="116"/>
        <v>0</v>
      </c>
      <c r="ZR30" s="130">
        <f t="shared" si="116"/>
        <v>0</v>
      </c>
      <c r="ZS30" s="130">
        <f t="shared" si="116"/>
        <v>0</v>
      </c>
      <c r="ZT30" s="130">
        <f t="shared" si="116"/>
        <v>0</v>
      </c>
      <c r="ZU30" s="130">
        <f t="shared" si="116"/>
        <v>0</v>
      </c>
      <c r="ZV30" s="130">
        <f t="shared" si="116"/>
        <v>0</v>
      </c>
      <c r="ZW30" s="130">
        <f t="shared" si="116"/>
        <v>0</v>
      </c>
      <c r="ZX30" s="130">
        <f t="shared" si="116"/>
        <v>0</v>
      </c>
      <c r="ZY30" s="130">
        <f t="shared" si="116"/>
        <v>0</v>
      </c>
      <c r="ZZ30" s="130">
        <f t="shared" si="116"/>
        <v>0</v>
      </c>
      <c r="AAA30" s="130">
        <f t="shared" si="116"/>
        <v>0</v>
      </c>
      <c r="AAB30" s="130">
        <f t="shared" si="116"/>
        <v>0</v>
      </c>
      <c r="AAC30" s="130">
        <f t="shared" si="116"/>
        <v>0</v>
      </c>
      <c r="AAD30" s="130">
        <f t="shared" si="116"/>
        <v>0</v>
      </c>
      <c r="AAE30" s="130">
        <f t="shared" si="116"/>
        <v>0</v>
      </c>
      <c r="AAF30" s="130">
        <f t="shared" si="116"/>
        <v>0</v>
      </c>
      <c r="AAG30" s="130">
        <f t="shared" si="116"/>
        <v>0</v>
      </c>
      <c r="AAH30" s="130">
        <f t="shared" si="116"/>
        <v>0</v>
      </c>
      <c r="AAI30" s="130">
        <f t="shared" si="116"/>
        <v>0</v>
      </c>
      <c r="AAJ30" s="130">
        <f t="shared" si="116"/>
        <v>0</v>
      </c>
      <c r="AAK30" s="130">
        <f t="shared" si="116"/>
        <v>0</v>
      </c>
      <c r="AAL30" s="130">
        <f t="shared" si="116"/>
        <v>0</v>
      </c>
      <c r="AAM30" s="130">
        <f t="shared" si="116"/>
        <v>0</v>
      </c>
      <c r="AAN30" s="130">
        <f t="shared" si="116"/>
        <v>0</v>
      </c>
      <c r="AAO30" s="130">
        <f t="shared" si="116"/>
        <v>0</v>
      </c>
      <c r="AAP30" s="130">
        <f t="shared" si="116"/>
        <v>0</v>
      </c>
      <c r="AAQ30" s="130">
        <f t="shared" ref="AAQ30:ADB30" si="117">ROUND(AAQ62,0)</f>
        <v>0</v>
      </c>
      <c r="AAR30" s="130">
        <f t="shared" si="117"/>
        <v>0</v>
      </c>
      <c r="AAS30" s="130">
        <f t="shared" si="117"/>
        <v>0</v>
      </c>
      <c r="AAT30" s="130">
        <f t="shared" si="117"/>
        <v>0</v>
      </c>
      <c r="AAU30" s="130">
        <f t="shared" si="117"/>
        <v>0</v>
      </c>
      <c r="AAV30" s="130">
        <f t="shared" si="117"/>
        <v>0</v>
      </c>
      <c r="AAW30" s="130">
        <f t="shared" si="117"/>
        <v>0</v>
      </c>
      <c r="AAX30" s="130">
        <f t="shared" si="117"/>
        <v>0</v>
      </c>
      <c r="AAY30" s="130">
        <f t="shared" si="117"/>
        <v>0</v>
      </c>
      <c r="AAZ30" s="130">
        <f t="shared" si="117"/>
        <v>0</v>
      </c>
      <c r="ABA30" s="130">
        <f t="shared" si="117"/>
        <v>0</v>
      </c>
      <c r="ABB30" s="130">
        <f t="shared" si="117"/>
        <v>0</v>
      </c>
      <c r="ABC30" s="130">
        <f t="shared" si="117"/>
        <v>0</v>
      </c>
      <c r="ABD30" s="130">
        <f t="shared" si="117"/>
        <v>0</v>
      </c>
      <c r="ABE30" s="130">
        <f t="shared" si="117"/>
        <v>0</v>
      </c>
      <c r="ABF30" s="130">
        <f t="shared" si="117"/>
        <v>0</v>
      </c>
      <c r="ABG30" s="130">
        <f t="shared" si="117"/>
        <v>0</v>
      </c>
      <c r="ABH30" s="130">
        <f t="shared" si="117"/>
        <v>0</v>
      </c>
      <c r="ABI30" s="130">
        <f t="shared" si="117"/>
        <v>0</v>
      </c>
      <c r="ABJ30" s="130">
        <f t="shared" si="117"/>
        <v>0</v>
      </c>
      <c r="ABK30" s="130">
        <f t="shared" si="117"/>
        <v>0</v>
      </c>
      <c r="ABL30" s="130">
        <f t="shared" si="117"/>
        <v>0</v>
      </c>
      <c r="ABM30" s="130">
        <f t="shared" si="117"/>
        <v>0</v>
      </c>
      <c r="ABN30" s="130">
        <f t="shared" si="117"/>
        <v>0</v>
      </c>
      <c r="ABO30" s="130">
        <f t="shared" si="117"/>
        <v>0</v>
      </c>
      <c r="ABP30" s="130">
        <f t="shared" si="117"/>
        <v>0</v>
      </c>
      <c r="ABQ30" s="130">
        <f t="shared" si="117"/>
        <v>0</v>
      </c>
      <c r="ABR30" s="130">
        <f t="shared" si="117"/>
        <v>0</v>
      </c>
      <c r="ABS30" s="130">
        <f t="shared" si="117"/>
        <v>0</v>
      </c>
      <c r="ABT30" s="130">
        <f t="shared" si="117"/>
        <v>0</v>
      </c>
      <c r="ABU30" s="130">
        <f t="shared" si="117"/>
        <v>0</v>
      </c>
      <c r="ABV30" s="130">
        <f t="shared" si="117"/>
        <v>0</v>
      </c>
      <c r="ABW30" s="130">
        <f t="shared" si="117"/>
        <v>0</v>
      </c>
      <c r="ABX30" s="130">
        <f t="shared" si="117"/>
        <v>0</v>
      </c>
      <c r="ABY30" s="130">
        <f t="shared" si="117"/>
        <v>0</v>
      </c>
      <c r="ABZ30" s="130">
        <f t="shared" si="117"/>
        <v>0</v>
      </c>
      <c r="ACA30" s="130">
        <f t="shared" si="117"/>
        <v>0</v>
      </c>
      <c r="ACB30" s="130">
        <f t="shared" si="117"/>
        <v>0</v>
      </c>
      <c r="ACC30" s="130">
        <f t="shared" si="117"/>
        <v>0</v>
      </c>
      <c r="ACD30" s="130">
        <f t="shared" si="117"/>
        <v>0</v>
      </c>
      <c r="ACE30" s="130">
        <f t="shared" si="117"/>
        <v>0</v>
      </c>
      <c r="ACF30" s="130">
        <f t="shared" si="117"/>
        <v>0</v>
      </c>
      <c r="ACG30" s="130">
        <f t="shared" si="117"/>
        <v>0</v>
      </c>
      <c r="ACH30" s="130">
        <f t="shared" si="117"/>
        <v>0</v>
      </c>
      <c r="ACI30" s="130">
        <f t="shared" si="117"/>
        <v>0</v>
      </c>
      <c r="ACJ30" s="130">
        <f t="shared" si="117"/>
        <v>0</v>
      </c>
      <c r="ACK30" s="130">
        <f t="shared" si="117"/>
        <v>0</v>
      </c>
      <c r="ACL30" s="130">
        <f t="shared" si="117"/>
        <v>0</v>
      </c>
      <c r="ACM30" s="130">
        <f t="shared" si="117"/>
        <v>0</v>
      </c>
      <c r="ACN30" s="130">
        <f t="shared" si="117"/>
        <v>0</v>
      </c>
      <c r="ACO30" s="130">
        <f t="shared" si="117"/>
        <v>0</v>
      </c>
      <c r="ACP30" s="130">
        <f t="shared" si="117"/>
        <v>0</v>
      </c>
      <c r="ACQ30" s="130">
        <f t="shared" si="117"/>
        <v>0</v>
      </c>
      <c r="ACR30" s="130">
        <f t="shared" si="117"/>
        <v>0</v>
      </c>
      <c r="ACS30" s="130">
        <f t="shared" si="117"/>
        <v>0</v>
      </c>
      <c r="ACT30" s="130">
        <f t="shared" si="117"/>
        <v>0</v>
      </c>
      <c r="ACU30" s="130">
        <f t="shared" si="117"/>
        <v>0</v>
      </c>
      <c r="ACV30" s="130">
        <f t="shared" si="117"/>
        <v>0</v>
      </c>
      <c r="ACW30" s="130">
        <f t="shared" si="117"/>
        <v>0</v>
      </c>
      <c r="ACX30" s="130">
        <f t="shared" si="117"/>
        <v>0</v>
      </c>
      <c r="ACY30" s="130">
        <f t="shared" si="117"/>
        <v>0</v>
      </c>
      <c r="ACZ30" s="130">
        <f t="shared" si="117"/>
        <v>0</v>
      </c>
      <c r="ADA30" s="130">
        <f t="shared" si="117"/>
        <v>0</v>
      </c>
      <c r="ADB30" s="130">
        <f t="shared" si="117"/>
        <v>0</v>
      </c>
      <c r="ADC30" s="130">
        <f t="shared" ref="ADC30:AEW30" si="118">ROUND(ADC62,0)</f>
        <v>0</v>
      </c>
      <c r="ADD30" s="130">
        <f t="shared" si="118"/>
        <v>0</v>
      </c>
      <c r="ADE30" s="130">
        <f t="shared" si="118"/>
        <v>0</v>
      </c>
      <c r="ADF30" s="130">
        <f t="shared" si="118"/>
        <v>0</v>
      </c>
      <c r="ADG30" s="130">
        <f t="shared" si="118"/>
        <v>0</v>
      </c>
      <c r="ADH30" s="130">
        <f t="shared" si="118"/>
        <v>0</v>
      </c>
      <c r="ADI30" s="130">
        <f t="shared" si="118"/>
        <v>0</v>
      </c>
      <c r="ADJ30" s="130">
        <f t="shared" si="118"/>
        <v>0</v>
      </c>
      <c r="ADK30" s="130">
        <f t="shared" si="118"/>
        <v>0</v>
      </c>
      <c r="ADL30" s="130">
        <f t="shared" si="118"/>
        <v>0</v>
      </c>
      <c r="ADM30" s="130">
        <f t="shared" si="118"/>
        <v>0</v>
      </c>
      <c r="ADN30" s="130">
        <f t="shared" si="118"/>
        <v>0</v>
      </c>
      <c r="ADO30" s="130">
        <f t="shared" si="118"/>
        <v>0</v>
      </c>
      <c r="ADP30" s="130">
        <f t="shared" si="118"/>
        <v>0</v>
      </c>
      <c r="ADQ30" s="130">
        <f t="shared" si="118"/>
        <v>0</v>
      </c>
      <c r="ADR30" s="130">
        <f t="shared" si="118"/>
        <v>0</v>
      </c>
      <c r="ADS30" s="130">
        <f t="shared" si="118"/>
        <v>0</v>
      </c>
      <c r="ADT30" s="130">
        <f t="shared" si="118"/>
        <v>0</v>
      </c>
      <c r="ADU30" s="130">
        <f t="shared" si="118"/>
        <v>0</v>
      </c>
      <c r="ADV30" s="130">
        <f t="shared" si="118"/>
        <v>0</v>
      </c>
      <c r="ADW30" s="130">
        <f t="shared" si="118"/>
        <v>0</v>
      </c>
      <c r="ADX30" s="130">
        <f t="shared" si="118"/>
        <v>0</v>
      </c>
      <c r="ADY30" s="130">
        <f t="shared" si="118"/>
        <v>0</v>
      </c>
      <c r="ADZ30" s="130">
        <f t="shared" si="118"/>
        <v>0</v>
      </c>
      <c r="AEA30" s="130">
        <f t="shared" si="118"/>
        <v>0</v>
      </c>
      <c r="AEB30" s="130">
        <f t="shared" si="118"/>
        <v>0</v>
      </c>
      <c r="AEC30" s="130">
        <f t="shared" si="118"/>
        <v>0</v>
      </c>
      <c r="AED30" s="130">
        <f t="shared" si="118"/>
        <v>0</v>
      </c>
      <c r="AEE30" s="130">
        <f t="shared" si="118"/>
        <v>0</v>
      </c>
      <c r="AEF30" s="130">
        <f t="shared" si="118"/>
        <v>0</v>
      </c>
      <c r="AEG30" s="130">
        <f t="shared" si="118"/>
        <v>0</v>
      </c>
      <c r="AEH30" s="130">
        <f t="shared" si="118"/>
        <v>0</v>
      </c>
      <c r="AEI30" s="130">
        <f t="shared" si="118"/>
        <v>0</v>
      </c>
      <c r="AEJ30" s="130">
        <f t="shared" si="118"/>
        <v>0</v>
      </c>
      <c r="AEK30" s="130">
        <f t="shared" si="118"/>
        <v>0</v>
      </c>
      <c r="AEL30" s="130">
        <f t="shared" si="118"/>
        <v>0</v>
      </c>
      <c r="AEM30" s="130">
        <f t="shared" si="118"/>
        <v>0</v>
      </c>
      <c r="AEN30" s="130">
        <f t="shared" si="118"/>
        <v>0</v>
      </c>
      <c r="AEO30" s="130">
        <f t="shared" si="118"/>
        <v>0</v>
      </c>
      <c r="AEP30" s="130">
        <f t="shared" si="118"/>
        <v>0</v>
      </c>
      <c r="AEQ30" s="130">
        <f t="shared" si="118"/>
        <v>0</v>
      </c>
      <c r="AER30" s="130">
        <f t="shared" si="118"/>
        <v>0</v>
      </c>
      <c r="AES30" s="130">
        <f t="shared" si="118"/>
        <v>0</v>
      </c>
      <c r="AET30" s="130">
        <f t="shared" si="118"/>
        <v>0</v>
      </c>
      <c r="AEU30" s="130">
        <f t="shared" si="118"/>
        <v>0</v>
      </c>
      <c r="AEV30" s="130">
        <f t="shared" si="118"/>
        <v>0</v>
      </c>
      <c r="AEW30" s="130">
        <f t="shared" si="118"/>
        <v>0</v>
      </c>
      <c r="AEX30" s="144" t="s">
        <v>221</v>
      </c>
    </row>
    <row r="31" spans="1:830" ht="22.5" customHeight="1" x14ac:dyDescent="0.25">
      <c r="A31" s="36"/>
      <c r="B31" s="128" t="s">
        <v>415</v>
      </c>
      <c r="C31" s="160">
        <f>REKAP!$J$6</f>
        <v>0</v>
      </c>
      <c r="D31" s="124">
        <f>REKAP!$J$4</f>
        <v>0</v>
      </c>
      <c r="E31" s="159">
        <f>REKAP!$J$5</f>
        <v>0</v>
      </c>
      <c r="F31" s="36"/>
      <c r="G31" s="138" t="s">
        <v>219</v>
      </c>
      <c r="H31" s="4" t="s">
        <v>220</v>
      </c>
      <c r="I31" s="143"/>
      <c r="J31" s="141">
        <f t="shared" si="0"/>
        <v>0</v>
      </c>
      <c r="K31" s="7"/>
      <c r="L31" s="7"/>
      <c r="M31" s="7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48">
        <f>SMK!$I$15</f>
        <v>0</v>
      </c>
      <c r="NI31" s="48">
        <f>SMK!$I$16</f>
        <v>0</v>
      </c>
      <c r="NJ31" s="48">
        <f>SMK!$I$17</f>
        <v>0</v>
      </c>
      <c r="NK31" s="48">
        <f>SMK!$I$18</f>
        <v>0</v>
      </c>
      <c r="NL31" s="48">
        <f>SMK!$I$19</f>
        <v>0</v>
      </c>
      <c r="NM31" s="48">
        <f>SMK!$I$20</f>
        <v>0</v>
      </c>
      <c r="NN31" s="48">
        <f>SMK!$I$21</f>
        <v>0</v>
      </c>
      <c r="NO31" s="48">
        <f>SMK!$I$22</f>
        <v>0</v>
      </c>
      <c r="NP31" s="48">
        <f>SMK!$I$23</f>
        <v>0</v>
      </c>
      <c r="NQ31" s="48">
        <f>SMK!$I$24</f>
        <v>0</v>
      </c>
      <c r="NR31" s="48">
        <f>SMK!$I$25</f>
        <v>0</v>
      </c>
      <c r="NS31" s="48">
        <f>SMK!$I$26</f>
        <v>0</v>
      </c>
      <c r="NT31" s="48">
        <f>SMK!$I$27</f>
        <v>0</v>
      </c>
      <c r="NU31" s="130"/>
      <c r="NV31" s="201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201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</row>
    <row r="32" spans="1:830" ht="22.5" customHeight="1" x14ac:dyDescent="0.25">
      <c r="A32" s="36"/>
      <c r="B32" s="128" t="s">
        <v>198</v>
      </c>
      <c r="C32" s="160">
        <f>REKAP!$J$6</f>
        <v>0</v>
      </c>
      <c r="D32" s="124">
        <f>REKAP!$J$4</f>
        <v>0</v>
      </c>
      <c r="E32" s="159">
        <f>REKAP!$J$5</f>
        <v>0</v>
      </c>
      <c r="F32" s="36"/>
      <c r="G32" s="138" t="s">
        <v>218</v>
      </c>
      <c r="H32" s="4" t="s">
        <v>220</v>
      </c>
      <c r="I32" s="143"/>
      <c r="J32" s="141">
        <f t="shared" si="0"/>
        <v>0</v>
      </c>
      <c r="K32" s="7"/>
      <c r="L32" s="7"/>
      <c r="M32" s="7"/>
      <c r="N32" s="130"/>
      <c r="O32" s="7"/>
      <c r="P32" s="7"/>
      <c r="Q32" s="7"/>
      <c r="R32" s="7"/>
      <c r="S32" s="7"/>
      <c r="T32" s="130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130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130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140"/>
      <c r="CA32" s="7"/>
      <c r="CB32" s="7"/>
      <c r="CC32" s="7"/>
      <c r="CD32" s="7"/>
      <c r="CE32" s="7"/>
      <c r="CF32" s="7"/>
      <c r="CG32" s="7"/>
      <c r="CH32" s="7"/>
      <c r="CI32" s="7"/>
      <c r="CJ32" s="129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130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140"/>
      <c r="HC32" s="140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140"/>
      <c r="HU32" s="4"/>
      <c r="HV32" s="4"/>
      <c r="HW32" s="7"/>
      <c r="HX32" s="130"/>
      <c r="HY32" s="130"/>
      <c r="HZ32" s="130"/>
      <c r="IA32" s="130"/>
      <c r="IB32" s="130"/>
      <c r="IC32" s="130"/>
      <c r="ID32" s="7"/>
      <c r="IE32" s="7"/>
      <c r="IF32" s="7"/>
      <c r="IG32" s="7"/>
      <c r="IH32" s="7"/>
      <c r="II32" s="7"/>
      <c r="IJ32" s="7"/>
      <c r="IK32" s="7"/>
      <c r="IL32" s="140"/>
      <c r="IM32" s="7"/>
      <c r="IN32" s="7"/>
      <c r="IO32" s="7"/>
      <c r="IP32" s="7"/>
      <c r="IQ32" s="7"/>
      <c r="IR32" s="7"/>
      <c r="IS32" s="7"/>
      <c r="IT32" s="7"/>
      <c r="IU32" s="7"/>
      <c r="IV32" s="7"/>
      <c r="IW32" s="7"/>
      <c r="IX32" s="7"/>
      <c r="IY32" s="7"/>
      <c r="IZ32" s="7"/>
      <c r="JA32" s="7"/>
      <c r="JB32" s="7"/>
      <c r="JC32" s="140"/>
      <c r="JD32" s="7"/>
      <c r="JE32" s="7"/>
      <c r="JF32" s="7"/>
      <c r="JG32" s="7"/>
      <c r="JH32" s="7"/>
      <c r="JI32" s="7"/>
      <c r="JJ32" s="7"/>
      <c r="JK32" s="7"/>
      <c r="JL32" s="7"/>
      <c r="JM32" s="7"/>
      <c r="JN32" s="140"/>
      <c r="JO32" s="7"/>
      <c r="JP32" s="7"/>
      <c r="JQ32" s="7"/>
      <c r="JR32" s="7"/>
      <c r="JS32" s="7"/>
      <c r="JT32" s="7"/>
      <c r="JU32" s="7"/>
      <c r="JV32" s="7"/>
      <c r="JW32" s="7"/>
      <c r="JX32" s="7"/>
      <c r="JY32" s="7"/>
      <c r="JZ32" s="140"/>
      <c r="KA32" s="7"/>
      <c r="KB32" s="7"/>
      <c r="KC32" s="7"/>
      <c r="KD32" s="7"/>
      <c r="KE32" s="7"/>
      <c r="KF32" s="140"/>
      <c r="KG32" s="140"/>
      <c r="KH32" s="140"/>
      <c r="KI32" s="140"/>
      <c r="KJ32" s="140"/>
      <c r="KK32" s="4"/>
      <c r="KL32" s="7"/>
      <c r="KM32" s="7"/>
      <c r="KN32" s="7"/>
      <c r="KO32" s="7"/>
      <c r="KP32" s="7"/>
      <c r="KQ32" s="7"/>
      <c r="KR32" s="140"/>
      <c r="KS32" s="7"/>
      <c r="KT32" s="7"/>
      <c r="KU32" s="7"/>
      <c r="KV32" s="7"/>
      <c r="KW32" s="7"/>
      <c r="KX32" s="7"/>
      <c r="KY32" s="7"/>
      <c r="KZ32" s="7"/>
      <c r="LA32" s="7"/>
      <c r="LB32" s="7"/>
      <c r="LC32" s="7"/>
      <c r="LD32" s="140"/>
      <c r="LE32" s="7"/>
      <c r="LF32" s="7"/>
      <c r="LG32" s="140"/>
      <c r="LH32" s="7"/>
      <c r="LI32" s="7"/>
      <c r="LJ32" s="7"/>
      <c r="LK32" s="7"/>
      <c r="LL32" s="7"/>
      <c r="LM32" s="7"/>
      <c r="LN32" s="7"/>
      <c r="LO32" s="7"/>
      <c r="LP32" s="7"/>
      <c r="LQ32" s="7"/>
      <c r="LR32" s="7"/>
      <c r="LS32" s="7"/>
      <c r="LT32" s="7"/>
      <c r="LU32" s="7"/>
      <c r="LV32" s="7"/>
      <c r="LW32" s="7"/>
      <c r="LX32" s="7"/>
      <c r="LY32" s="7"/>
      <c r="LZ32" s="7"/>
      <c r="MA32" s="140"/>
      <c r="MB32" s="7"/>
      <c r="MC32" s="7"/>
      <c r="MD32" s="7"/>
      <c r="ME32" s="7"/>
      <c r="MF32" s="7"/>
      <c r="MG32" s="140"/>
      <c r="MH32" s="7"/>
      <c r="MI32" s="7"/>
      <c r="MJ32" s="7"/>
      <c r="MK32" s="7"/>
      <c r="ML32" s="7"/>
      <c r="MM32" s="7"/>
      <c r="MN32" s="7"/>
      <c r="MO32" s="7"/>
      <c r="MP32" s="7"/>
      <c r="MQ32" s="7"/>
      <c r="MR32" s="7"/>
      <c r="MS32" s="7"/>
      <c r="MT32" s="7"/>
      <c r="MU32" s="7"/>
      <c r="MV32" s="7"/>
      <c r="MW32" s="7"/>
      <c r="MX32" s="7"/>
      <c r="MY32" s="7"/>
      <c r="MZ32" s="7"/>
      <c r="NA32" s="7"/>
      <c r="NB32" s="7"/>
      <c r="NC32" s="7"/>
      <c r="ND32" s="140"/>
      <c r="NE32" s="7"/>
      <c r="NF32" s="7"/>
      <c r="NG32" s="7"/>
      <c r="NH32" s="7"/>
      <c r="NI32" s="7"/>
      <c r="NJ32" s="7"/>
      <c r="NK32" s="7"/>
      <c r="NL32" s="7"/>
      <c r="NM32" s="7"/>
      <c r="NN32" s="7"/>
      <c r="NO32" s="7"/>
      <c r="NP32" s="198"/>
      <c r="NQ32" s="140"/>
      <c r="NR32" s="202"/>
      <c r="NS32" s="140"/>
      <c r="NT32" s="140"/>
      <c r="NU32" s="140"/>
      <c r="NV32" s="202"/>
      <c r="NW32" s="140"/>
      <c r="NX32" s="140"/>
      <c r="NY32" s="140"/>
      <c r="NZ32" s="140"/>
      <c r="OA32" s="140"/>
      <c r="OB32" s="140"/>
      <c r="OC32" s="140"/>
      <c r="OD32" s="140"/>
      <c r="OE32" s="140"/>
      <c r="OF32" s="140"/>
      <c r="OG32" s="140"/>
      <c r="OH32" s="140"/>
      <c r="OI32" s="140"/>
      <c r="OJ32" s="140"/>
      <c r="OK32" s="140"/>
      <c r="OL32" s="140"/>
      <c r="OM32" s="140"/>
      <c r="ON32" s="140"/>
      <c r="OO32" s="140"/>
      <c r="OP32" s="140"/>
      <c r="OQ32" s="140"/>
      <c r="OR32" s="140"/>
      <c r="OS32" s="140"/>
      <c r="OT32" s="140"/>
      <c r="OU32" s="140"/>
      <c r="OV32" s="140"/>
      <c r="OW32" s="140"/>
      <c r="OX32" s="140"/>
      <c r="OY32" s="140"/>
      <c r="OZ32" s="140"/>
      <c r="PA32" s="140"/>
      <c r="PB32" s="140"/>
      <c r="PC32" s="140"/>
      <c r="PD32" s="140"/>
      <c r="PE32" s="140"/>
      <c r="PF32" s="140"/>
      <c r="PG32" s="140"/>
      <c r="PH32" s="140"/>
      <c r="PI32" s="140"/>
      <c r="PJ32" s="140"/>
      <c r="PK32" s="140"/>
      <c r="PL32" s="140"/>
      <c r="PM32" s="140"/>
      <c r="PN32" s="140"/>
      <c r="PO32" s="140"/>
      <c r="PP32" s="140"/>
      <c r="PQ32" s="140"/>
      <c r="PR32" s="140"/>
      <c r="PS32" s="140"/>
      <c r="PT32" s="140"/>
      <c r="PU32" s="140"/>
      <c r="PV32" s="140"/>
      <c r="PW32" s="140"/>
      <c r="PX32" s="140"/>
      <c r="PY32" s="140"/>
      <c r="PZ32" s="140"/>
      <c r="QA32" s="140"/>
      <c r="QB32" s="140"/>
      <c r="QC32" s="140"/>
      <c r="QD32" s="140"/>
      <c r="QE32" s="140"/>
      <c r="QF32" s="140"/>
      <c r="QG32" s="140"/>
      <c r="QH32" s="140"/>
      <c r="QI32" s="140"/>
      <c r="QJ32" s="140"/>
      <c r="QK32" s="140"/>
      <c r="QL32" s="140"/>
      <c r="QM32" s="140"/>
      <c r="QN32" s="140"/>
      <c r="QO32" s="7"/>
      <c r="QP32" s="7"/>
      <c r="QQ32" s="7"/>
      <c r="QR32" s="7"/>
      <c r="QS32" s="7"/>
      <c r="QT32" s="7"/>
      <c r="QU32" s="7"/>
      <c r="QV32" s="7"/>
      <c r="QW32" s="7"/>
      <c r="QX32" s="7"/>
      <c r="QY32" s="7"/>
      <c r="QZ32" s="7"/>
      <c r="RA32" s="7"/>
      <c r="RB32" s="7"/>
      <c r="RC32" s="7"/>
      <c r="RD32" s="7"/>
      <c r="RE32" s="7"/>
      <c r="RF32" s="7"/>
      <c r="RG32" s="7"/>
      <c r="RH32" s="7"/>
      <c r="RI32" s="7"/>
      <c r="RJ32" s="7"/>
      <c r="RK32" s="7"/>
      <c r="RL32" s="7"/>
      <c r="RM32" s="7"/>
      <c r="RN32" s="7"/>
      <c r="RO32" s="36"/>
      <c r="RP32" s="7"/>
      <c r="RQ32" s="7"/>
      <c r="RR32" s="7"/>
      <c r="RS32" s="7"/>
      <c r="RT32" s="7"/>
      <c r="RU32" s="7"/>
      <c r="RV32" s="7"/>
      <c r="RW32" s="7"/>
      <c r="RX32" s="7"/>
      <c r="RY32" s="7"/>
      <c r="RZ32" s="7"/>
      <c r="SA32" s="7"/>
      <c r="SB32" s="36"/>
      <c r="SC32" s="7"/>
      <c r="SD32" s="7"/>
      <c r="SE32" s="7"/>
      <c r="SF32" s="7"/>
      <c r="SG32" s="7"/>
      <c r="SH32" s="7"/>
      <c r="SI32" s="7"/>
      <c r="SJ32" s="7"/>
      <c r="SK32" s="7"/>
      <c r="SL32" s="7"/>
      <c r="SM32" s="7"/>
      <c r="SN32" s="7"/>
      <c r="SO32" s="7"/>
      <c r="SP32" s="7"/>
      <c r="SQ32" s="7"/>
      <c r="SR32" s="7"/>
      <c r="SS32" s="7"/>
      <c r="ST32" s="7"/>
      <c r="SU32" s="7"/>
      <c r="SV32" s="7"/>
      <c r="SW32" s="7"/>
      <c r="SX32" s="7"/>
      <c r="SY32" s="7"/>
      <c r="SZ32" s="7"/>
      <c r="TA32" s="7"/>
      <c r="TB32" s="7"/>
      <c r="TC32" s="7"/>
      <c r="TD32" s="36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140">
        <f>PROD!$G$4</f>
        <v>0</v>
      </c>
      <c r="UE32" s="202">
        <f>PROD!$G$5</f>
        <v>0</v>
      </c>
      <c r="UF32" s="140">
        <f>PROD!$G$6</f>
        <v>0</v>
      </c>
      <c r="UG32" s="140">
        <f>PROD!$G$7</f>
        <v>0</v>
      </c>
      <c r="UH32" s="140">
        <f>PROD!$G$8</f>
        <v>0</v>
      </c>
      <c r="UI32" s="140">
        <f>PROD!$G$9</f>
        <v>0</v>
      </c>
      <c r="UJ32" s="140">
        <f>PROD!$G$10</f>
        <v>0</v>
      </c>
      <c r="UK32" s="140">
        <f>PROD!$G$11</f>
        <v>0</v>
      </c>
      <c r="UL32" s="140">
        <f>PROD!$G$12</f>
        <v>0</v>
      </c>
      <c r="UM32" s="140">
        <f>PROD!$G$13</f>
        <v>0</v>
      </c>
      <c r="UN32" s="140">
        <f>PROD!$G$14</f>
        <v>0</v>
      </c>
      <c r="UO32" s="140">
        <f>PROD!$G$15</f>
        <v>0</v>
      </c>
      <c r="UP32" s="140">
        <f>PROD!$G$16</f>
        <v>0</v>
      </c>
      <c r="UQ32" s="140">
        <f>PROD!$G$17</f>
        <v>0</v>
      </c>
      <c r="UR32" s="140">
        <f>PROD!$G$18</f>
        <v>0</v>
      </c>
      <c r="US32" s="140">
        <f>PROD!$G$19</f>
        <v>0</v>
      </c>
      <c r="UT32" s="140">
        <f>PROD!$G$20</f>
        <v>0</v>
      </c>
      <c r="UU32" s="140">
        <f>PROD!$G$21</f>
        <v>0</v>
      </c>
      <c r="UV32" s="140">
        <f>PROD!$G$22</f>
        <v>0</v>
      </c>
      <c r="UW32" s="140">
        <f>PROD!$G$23</f>
        <v>0</v>
      </c>
      <c r="UX32" s="140">
        <f>PROD!$G$24</f>
        <v>0</v>
      </c>
      <c r="UY32" s="140">
        <f>PROD!$G$25</f>
        <v>0</v>
      </c>
      <c r="UZ32" s="140">
        <f>PROD!$G$26</f>
        <v>0</v>
      </c>
      <c r="VA32" s="140">
        <f>PROD!$G$27</f>
        <v>0</v>
      </c>
      <c r="VB32" s="140">
        <f>PROD!$G$28</f>
        <v>0</v>
      </c>
      <c r="VC32" s="140">
        <f>PROD!$G$29</f>
        <v>0</v>
      </c>
      <c r="VD32" s="140">
        <f>PROD!$G$30</f>
        <v>0</v>
      </c>
      <c r="VE32" s="140">
        <f>PROD!$G$31</f>
        <v>0</v>
      </c>
      <c r="VF32" s="140">
        <f>PROD!$G$32</f>
        <v>0</v>
      </c>
      <c r="VG32" s="140">
        <f>PROD!$G$33</f>
        <v>0</v>
      </c>
      <c r="VH32" s="140">
        <f>PROD!$G$34</f>
        <v>0</v>
      </c>
      <c r="VI32" s="140">
        <f>PROD!$G$35</f>
        <v>0</v>
      </c>
      <c r="VJ32" s="140">
        <f>PROD!$G$36</f>
        <v>0</v>
      </c>
      <c r="VK32" s="140">
        <f>PROD!$G$37</f>
        <v>0</v>
      </c>
      <c r="VL32" s="140">
        <f>PROD!$G$38</f>
        <v>0</v>
      </c>
      <c r="VM32" s="140">
        <f>PROD!$G$39</f>
        <v>0</v>
      </c>
      <c r="VN32" s="140">
        <f>PROD!$G$40</f>
        <v>0</v>
      </c>
      <c r="VO32" s="140">
        <f>PROD!$G$41</f>
        <v>0</v>
      </c>
      <c r="VP32" s="140">
        <f>PROD!$G$42</f>
        <v>0</v>
      </c>
      <c r="VQ32" s="140">
        <f>PROD!$G$43</f>
        <v>0</v>
      </c>
      <c r="VR32" s="140">
        <f>PROD!$G$44</f>
        <v>0</v>
      </c>
      <c r="VS32" s="140">
        <f>PROD!$G$45</f>
        <v>0</v>
      </c>
      <c r="VT32" s="140">
        <f>PROD!$G$46</f>
        <v>0</v>
      </c>
      <c r="VU32" s="140">
        <f>PROD!$G$47</f>
        <v>0</v>
      </c>
      <c r="VV32" s="140">
        <f>PROD!$G$48</f>
        <v>0</v>
      </c>
      <c r="VW32" s="140">
        <f>PROD!$G$49</f>
        <v>0</v>
      </c>
      <c r="VX32" s="140">
        <f>PROD!$G$50</f>
        <v>0</v>
      </c>
      <c r="VY32" s="140">
        <f>PROD!$G$51</f>
        <v>0</v>
      </c>
      <c r="VZ32" s="140">
        <f>PROD!$G$52</f>
        <v>0</v>
      </c>
      <c r="WA32" s="140">
        <f>PROD!$G$53</f>
        <v>0</v>
      </c>
      <c r="WB32" s="140">
        <f>PROD!$G$54</f>
        <v>0</v>
      </c>
      <c r="WC32" s="140">
        <f>PROD!$G$55</f>
        <v>0</v>
      </c>
      <c r="WD32" s="140">
        <f>PROD!$G$56</f>
        <v>0</v>
      </c>
      <c r="WE32" s="140">
        <f>PROD!$G$57</f>
        <v>0</v>
      </c>
      <c r="WF32" s="140">
        <f>PROD!$G$58</f>
        <v>0</v>
      </c>
      <c r="WG32" s="140">
        <f>PROD!$G$59</f>
        <v>0</v>
      </c>
      <c r="WH32" s="140">
        <f>PROD!$G$60</f>
        <v>0</v>
      </c>
      <c r="WI32" s="140">
        <f>PROD!$G$61</f>
        <v>0</v>
      </c>
      <c r="WJ32" s="140">
        <f>PROD!$G$62</f>
        <v>0</v>
      </c>
      <c r="WK32" s="140">
        <f>PROD!$G$63</f>
        <v>0</v>
      </c>
      <c r="WL32" s="140">
        <f>PROD!$G$64</f>
        <v>0</v>
      </c>
      <c r="WM32" s="140">
        <f>PROD!$G$65</f>
        <v>0</v>
      </c>
      <c r="WN32" s="140">
        <f>PROD!$G$66</f>
        <v>0</v>
      </c>
      <c r="WO32" s="140">
        <f>PROD!$G$67</f>
        <v>0</v>
      </c>
      <c r="WP32" s="140">
        <f>PROD!$G$68</f>
        <v>0</v>
      </c>
      <c r="WQ32" s="140">
        <f>PROD!$G$69</f>
        <v>0</v>
      </c>
      <c r="WR32" s="140">
        <f>PROD!$G$70</f>
        <v>0</v>
      </c>
      <c r="WS32" s="140">
        <f>PROD!$G$71</f>
        <v>0</v>
      </c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7"/>
      <c r="YG32" s="7"/>
      <c r="YH32" s="7"/>
      <c r="YI32" s="7"/>
      <c r="YJ32" s="7"/>
      <c r="YK32" s="7"/>
      <c r="YL32" s="7"/>
      <c r="YM32" s="7"/>
      <c r="YN32" s="7"/>
      <c r="YO32" s="7"/>
      <c r="YP32" s="7"/>
      <c r="YQ32" s="7"/>
      <c r="YR32" s="7"/>
      <c r="YS32" s="7"/>
      <c r="YT32" s="7"/>
      <c r="YU32" s="7"/>
      <c r="YV32" s="7"/>
      <c r="YW32" s="7"/>
      <c r="YX32" s="7"/>
      <c r="YY32" s="7"/>
      <c r="YZ32" s="7"/>
      <c r="ZA32" s="7"/>
      <c r="ZB32" s="7"/>
      <c r="ZC32" s="7"/>
      <c r="ZD32" s="7"/>
      <c r="ZE32" s="7"/>
      <c r="ZF32" s="7"/>
      <c r="ZG32" s="7"/>
      <c r="ZH32" s="7"/>
      <c r="ZI32" s="7"/>
      <c r="ZJ32" s="7"/>
      <c r="ZK32" s="7"/>
      <c r="ZL32" s="7"/>
      <c r="ZM32" s="7"/>
      <c r="ZN32" s="7"/>
      <c r="ZO32" s="7"/>
      <c r="ZP32" s="7"/>
      <c r="ZQ32" s="7"/>
      <c r="ZR32" s="7"/>
      <c r="ZS32" s="7"/>
      <c r="ZT32" s="7"/>
      <c r="ZU32" s="7"/>
      <c r="ZV32" s="4"/>
      <c r="ZW32" s="7"/>
      <c r="ZX32" s="7"/>
      <c r="ZY32" s="7"/>
      <c r="ZZ32" s="7"/>
      <c r="AAA32" s="7"/>
      <c r="AAB32" s="7"/>
      <c r="AAC32" s="7"/>
      <c r="AAD32" s="7"/>
      <c r="AAE32" s="7"/>
      <c r="AAF32" s="36"/>
      <c r="AAG32" s="7"/>
      <c r="AAH32" s="7"/>
      <c r="AAI32" s="7"/>
      <c r="AAJ32" s="7"/>
      <c r="AAK32" s="7"/>
      <c r="AAL32" s="7"/>
      <c r="AAM32" s="7"/>
      <c r="AAN32" s="7"/>
      <c r="AAO32" s="7"/>
      <c r="AAP32" s="7"/>
      <c r="AAQ32" s="7"/>
      <c r="AAR32" s="7"/>
      <c r="AAS32" s="7"/>
      <c r="AAT32" s="7"/>
      <c r="AAU32" s="7"/>
      <c r="AAV32" s="7"/>
      <c r="AAW32" s="7"/>
      <c r="AAX32" s="7"/>
      <c r="AAY32" s="7"/>
      <c r="AAZ32" s="4"/>
      <c r="ABA32" s="7"/>
      <c r="ABB32" s="7"/>
      <c r="ABC32" s="7"/>
      <c r="ABD32" s="7"/>
      <c r="ABE32" s="7"/>
      <c r="ABF32" s="7"/>
      <c r="ABG32" s="7"/>
      <c r="ABH32" s="7"/>
      <c r="ABI32" s="7"/>
      <c r="ABJ32" s="7"/>
      <c r="ABK32" s="7"/>
      <c r="ABL32" s="7"/>
      <c r="ABM32" s="7"/>
      <c r="ABN32" s="7"/>
      <c r="ABO32" s="7"/>
      <c r="ABP32" s="7"/>
      <c r="ABQ32" s="7"/>
      <c r="ABR32" s="7"/>
      <c r="ABS32" s="7"/>
      <c r="ABT32" s="7"/>
      <c r="ABU32" s="7"/>
      <c r="ABV32" s="7"/>
      <c r="ABW32" s="7"/>
      <c r="ABX32" s="7"/>
      <c r="ABY32" s="7"/>
      <c r="ABZ32" s="7"/>
      <c r="ACA32" s="7"/>
      <c r="ACB32" s="7"/>
      <c r="ACC32" s="7"/>
      <c r="ACD32" s="7"/>
      <c r="ACE32" s="7"/>
      <c r="ACF32" s="7"/>
      <c r="ACG32" s="7"/>
      <c r="ACH32" s="7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144" t="s">
        <v>221</v>
      </c>
    </row>
    <row r="33" spans="1:830" ht="22.5" customHeight="1" x14ac:dyDescent="0.25">
      <c r="A33" s="36"/>
      <c r="B33" s="128" t="s">
        <v>632</v>
      </c>
      <c r="C33" s="160">
        <f>REKAP!$J$6</f>
        <v>0</v>
      </c>
      <c r="D33" s="124">
        <f>REKAP!$J$4</f>
        <v>0</v>
      </c>
      <c r="E33" s="159">
        <f>REKAP!$J$5</f>
        <v>0</v>
      </c>
      <c r="F33" s="36"/>
      <c r="G33" s="138" t="s">
        <v>219</v>
      </c>
      <c r="H33" s="4" t="s">
        <v>193</v>
      </c>
      <c r="I33" s="143"/>
      <c r="J33" s="141">
        <f t="shared" si="0"/>
        <v>0</v>
      </c>
      <c r="K33" s="7"/>
      <c r="L33" s="7"/>
      <c r="M33" s="7"/>
      <c r="N33" s="130">
        <f>ROUND(N63,0)</f>
        <v>0</v>
      </c>
      <c r="O33" s="130">
        <f t="shared" ref="O33:BZ33" si="119">ROUND(O63,0)</f>
        <v>0</v>
      </c>
      <c r="P33" s="130">
        <f t="shared" si="119"/>
        <v>0</v>
      </c>
      <c r="Q33" s="130">
        <f t="shared" si="119"/>
        <v>0</v>
      </c>
      <c r="R33" s="130">
        <f t="shared" si="119"/>
        <v>0</v>
      </c>
      <c r="S33" s="130">
        <f t="shared" si="119"/>
        <v>0</v>
      </c>
      <c r="T33" s="130">
        <f t="shared" si="119"/>
        <v>0</v>
      </c>
      <c r="U33" s="130">
        <f t="shared" si="119"/>
        <v>0</v>
      </c>
      <c r="V33" s="130">
        <f t="shared" si="119"/>
        <v>0</v>
      </c>
      <c r="W33" s="130">
        <f t="shared" si="119"/>
        <v>0</v>
      </c>
      <c r="X33" s="130">
        <f t="shared" si="119"/>
        <v>0</v>
      </c>
      <c r="Y33" s="130">
        <f t="shared" si="119"/>
        <v>0</v>
      </c>
      <c r="Z33" s="130">
        <f t="shared" si="119"/>
        <v>0</v>
      </c>
      <c r="AA33" s="130">
        <f t="shared" si="119"/>
        <v>0</v>
      </c>
      <c r="AB33" s="130">
        <f t="shared" si="119"/>
        <v>0</v>
      </c>
      <c r="AC33" s="130">
        <f t="shared" si="119"/>
        <v>0</v>
      </c>
      <c r="AD33" s="130">
        <f t="shared" si="119"/>
        <v>0</v>
      </c>
      <c r="AE33" s="130">
        <f t="shared" si="119"/>
        <v>0</v>
      </c>
      <c r="AF33" s="130">
        <f t="shared" si="119"/>
        <v>0</v>
      </c>
      <c r="AG33" s="130">
        <f t="shared" si="119"/>
        <v>0</v>
      </c>
      <c r="AH33" s="130">
        <f t="shared" si="119"/>
        <v>0</v>
      </c>
      <c r="AI33" s="130">
        <f t="shared" si="119"/>
        <v>0</v>
      </c>
      <c r="AJ33" s="130">
        <f t="shared" si="119"/>
        <v>0</v>
      </c>
      <c r="AK33" s="130">
        <f t="shared" si="119"/>
        <v>0</v>
      </c>
      <c r="AL33" s="130">
        <f t="shared" si="119"/>
        <v>0</v>
      </c>
      <c r="AM33" s="130">
        <f t="shared" si="119"/>
        <v>0</v>
      </c>
      <c r="AN33" s="130">
        <f t="shared" si="119"/>
        <v>0</v>
      </c>
      <c r="AO33" s="130">
        <f t="shared" si="119"/>
        <v>0</v>
      </c>
      <c r="AP33" s="130">
        <f t="shared" si="119"/>
        <v>0</v>
      </c>
      <c r="AQ33" s="130">
        <f t="shared" si="119"/>
        <v>0</v>
      </c>
      <c r="AR33" s="130">
        <f t="shared" si="119"/>
        <v>0</v>
      </c>
      <c r="AS33" s="130">
        <f t="shared" si="119"/>
        <v>0</v>
      </c>
      <c r="AT33" s="130">
        <f t="shared" si="119"/>
        <v>0</v>
      </c>
      <c r="AU33" s="130">
        <f t="shared" si="119"/>
        <v>0</v>
      </c>
      <c r="AV33" s="130">
        <f t="shared" si="119"/>
        <v>0</v>
      </c>
      <c r="AW33" s="130">
        <f t="shared" si="119"/>
        <v>0</v>
      </c>
      <c r="AX33" s="130">
        <f t="shared" si="119"/>
        <v>0</v>
      </c>
      <c r="AY33" s="130">
        <f t="shared" si="119"/>
        <v>0</v>
      </c>
      <c r="AZ33" s="130">
        <f t="shared" si="119"/>
        <v>0</v>
      </c>
      <c r="BA33" s="130">
        <f t="shared" si="119"/>
        <v>0</v>
      </c>
      <c r="BB33" s="130">
        <f t="shared" si="119"/>
        <v>0</v>
      </c>
      <c r="BC33" s="130">
        <f t="shared" si="119"/>
        <v>0</v>
      </c>
      <c r="BD33" s="130">
        <f t="shared" si="119"/>
        <v>0</v>
      </c>
      <c r="BE33" s="130">
        <f t="shared" si="119"/>
        <v>0</v>
      </c>
      <c r="BF33" s="130">
        <f t="shared" si="119"/>
        <v>0</v>
      </c>
      <c r="BG33" s="130">
        <f t="shared" si="119"/>
        <v>0</v>
      </c>
      <c r="BH33" s="130">
        <f t="shared" si="119"/>
        <v>0</v>
      </c>
      <c r="BI33" s="130">
        <f t="shared" si="119"/>
        <v>0</v>
      </c>
      <c r="BJ33" s="130">
        <f t="shared" si="119"/>
        <v>0</v>
      </c>
      <c r="BK33" s="130">
        <f t="shared" si="119"/>
        <v>0</v>
      </c>
      <c r="BL33" s="130">
        <f t="shared" si="119"/>
        <v>0</v>
      </c>
      <c r="BM33" s="130">
        <f t="shared" si="119"/>
        <v>0</v>
      </c>
      <c r="BN33" s="130">
        <f t="shared" si="119"/>
        <v>0</v>
      </c>
      <c r="BO33" s="130">
        <f t="shared" si="119"/>
        <v>0</v>
      </c>
      <c r="BP33" s="130">
        <f t="shared" si="119"/>
        <v>0</v>
      </c>
      <c r="BQ33" s="130">
        <f t="shared" si="119"/>
        <v>0</v>
      </c>
      <c r="BR33" s="130">
        <f t="shared" si="119"/>
        <v>0</v>
      </c>
      <c r="BS33" s="130">
        <f t="shared" si="119"/>
        <v>0</v>
      </c>
      <c r="BT33" s="130">
        <f t="shared" si="119"/>
        <v>0</v>
      </c>
      <c r="BU33" s="130">
        <f t="shared" si="119"/>
        <v>0</v>
      </c>
      <c r="BV33" s="130">
        <f t="shared" si="119"/>
        <v>0</v>
      </c>
      <c r="BW33" s="130">
        <f t="shared" si="119"/>
        <v>0</v>
      </c>
      <c r="BX33" s="130">
        <f t="shared" si="119"/>
        <v>0</v>
      </c>
      <c r="BY33" s="130">
        <f t="shared" si="119"/>
        <v>0</v>
      </c>
      <c r="BZ33" s="130">
        <f t="shared" si="119"/>
        <v>0</v>
      </c>
      <c r="CA33" s="130">
        <f t="shared" ref="CA33:EL33" si="120">ROUND(CA63,0)</f>
        <v>0</v>
      </c>
      <c r="CB33" s="130">
        <f t="shared" si="120"/>
        <v>0</v>
      </c>
      <c r="CC33" s="130">
        <f t="shared" si="120"/>
        <v>0</v>
      </c>
      <c r="CD33" s="130">
        <f t="shared" si="120"/>
        <v>0</v>
      </c>
      <c r="CE33" s="130">
        <f t="shared" si="120"/>
        <v>0</v>
      </c>
      <c r="CF33" s="130">
        <f t="shared" si="120"/>
        <v>0</v>
      </c>
      <c r="CG33" s="130">
        <f t="shared" si="120"/>
        <v>0</v>
      </c>
      <c r="CH33" s="130">
        <f t="shared" si="120"/>
        <v>0</v>
      </c>
      <c r="CI33" s="130">
        <f t="shared" si="120"/>
        <v>0</v>
      </c>
      <c r="CJ33" s="130">
        <f t="shared" si="120"/>
        <v>0</v>
      </c>
      <c r="CK33" s="130">
        <f t="shared" si="120"/>
        <v>0</v>
      </c>
      <c r="CL33" s="130">
        <f t="shared" si="120"/>
        <v>0</v>
      </c>
      <c r="CM33" s="130">
        <f t="shared" si="120"/>
        <v>0</v>
      </c>
      <c r="CN33" s="130">
        <f t="shared" si="120"/>
        <v>0</v>
      </c>
      <c r="CO33" s="130">
        <f t="shared" si="120"/>
        <v>0</v>
      </c>
      <c r="CP33" s="130">
        <f t="shared" si="120"/>
        <v>0</v>
      </c>
      <c r="CQ33" s="130">
        <f t="shared" si="120"/>
        <v>0</v>
      </c>
      <c r="CR33" s="130">
        <f t="shared" si="120"/>
        <v>0</v>
      </c>
      <c r="CS33" s="130">
        <f t="shared" si="120"/>
        <v>0</v>
      </c>
      <c r="CT33" s="130">
        <f t="shared" si="120"/>
        <v>0</v>
      </c>
      <c r="CU33" s="130">
        <f t="shared" si="120"/>
        <v>0</v>
      </c>
      <c r="CV33" s="130">
        <f t="shared" si="120"/>
        <v>0</v>
      </c>
      <c r="CW33" s="130">
        <f t="shared" si="120"/>
        <v>0</v>
      </c>
      <c r="CX33" s="130">
        <f t="shared" si="120"/>
        <v>0</v>
      </c>
      <c r="CY33" s="130">
        <f t="shared" si="120"/>
        <v>0</v>
      </c>
      <c r="CZ33" s="130">
        <f t="shared" si="120"/>
        <v>0</v>
      </c>
      <c r="DA33" s="130">
        <f t="shared" si="120"/>
        <v>0</v>
      </c>
      <c r="DB33" s="130">
        <f t="shared" si="120"/>
        <v>0</v>
      </c>
      <c r="DC33" s="130">
        <f t="shared" si="120"/>
        <v>0</v>
      </c>
      <c r="DD33" s="130">
        <f t="shared" si="120"/>
        <v>0</v>
      </c>
      <c r="DE33" s="130">
        <f t="shared" si="120"/>
        <v>0</v>
      </c>
      <c r="DF33" s="130">
        <f t="shared" si="120"/>
        <v>0</v>
      </c>
      <c r="DG33" s="130">
        <f t="shared" si="120"/>
        <v>0</v>
      </c>
      <c r="DH33" s="130">
        <f t="shared" si="120"/>
        <v>0</v>
      </c>
      <c r="DI33" s="130">
        <f t="shared" si="120"/>
        <v>0</v>
      </c>
      <c r="DJ33" s="130">
        <f t="shared" si="120"/>
        <v>0</v>
      </c>
      <c r="DK33" s="130">
        <f t="shared" si="120"/>
        <v>0</v>
      </c>
      <c r="DL33" s="130">
        <f t="shared" si="120"/>
        <v>0</v>
      </c>
      <c r="DM33" s="130">
        <f t="shared" si="120"/>
        <v>0</v>
      </c>
      <c r="DN33" s="130">
        <f t="shared" si="120"/>
        <v>0</v>
      </c>
      <c r="DO33" s="130">
        <f t="shared" si="120"/>
        <v>0</v>
      </c>
      <c r="DP33" s="130">
        <f t="shared" si="120"/>
        <v>0</v>
      </c>
      <c r="DQ33" s="130">
        <f t="shared" si="120"/>
        <v>0</v>
      </c>
      <c r="DR33" s="130">
        <f t="shared" si="120"/>
        <v>0</v>
      </c>
      <c r="DS33" s="130">
        <f t="shared" si="120"/>
        <v>0</v>
      </c>
      <c r="DT33" s="130">
        <f t="shared" si="120"/>
        <v>0</v>
      </c>
      <c r="DU33" s="130">
        <f t="shared" si="120"/>
        <v>0</v>
      </c>
      <c r="DV33" s="130">
        <f t="shared" si="120"/>
        <v>0</v>
      </c>
      <c r="DW33" s="130">
        <f t="shared" si="120"/>
        <v>0</v>
      </c>
      <c r="DX33" s="130">
        <f t="shared" si="120"/>
        <v>0</v>
      </c>
      <c r="DY33" s="130">
        <f t="shared" si="120"/>
        <v>0</v>
      </c>
      <c r="DZ33" s="130">
        <f t="shared" si="120"/>
        <v>0</v>
      </c>
      <c r="EA33" s="130">
        <f t="shared" si="120"/>
        <v>0</v>
      </c>
      <c r="EB33" s="130">
        <f t="shared" si="120"/>
        <v>0</v>
      </c>
      <c r="EC33" s="130">
        <f t="shared" si="120"/>
        <v>0</v>
      </c>
      <c r="ED33" s="130">
        <f t="shared" si="120"/>
        <v>0</v>
      </c>
      <c r="EE33" s="130">
        <f t="shared" si="120"/>
        <v>0</v>
      </c>
      <c r="EF33" s="130">
        <f t="shared" si="120"/>
        <v>0</v>
      </c>
      <c r="EG33" s="130">
        <f t="shared" si="120"/>
        <v>0</v>
      </c>
      <c r="EH33" s="130">
        <f t="shared" si="120"/>
        <v>0</v>
      </c>
      <c r="EI33" s="130">
        <f t="shared" si="120"/>
        <v>0</v>
      </c>
      <c r="EJ33" s="130">
        <f t="shared" si="120"/>
        <v>0</v>
      </c>
      <c r="EK33" s="130">
        <f t="shared" si="120"/>
        <v>0</v>
      </c>
      <c r="EL33" s="130">
        <f t="shared" si="120"/>
        <v>0</v>
      </c>
      <c r="EM33" s="130">
        <f t="shared" ref="EM33:GX33" si="121">ROUND(EM63,0)</f>
        <v>0</v>
      </c>
      <c r="EN33" s="130">
        <f t="shared" si="121"/>
        <v>0</v>
      </c>
      <c r="EO33" s="130">
        <f t="shared" si="121"/>
        <v>0</v>
      </c>
      <c r="EP33" s="130">
        <f t="shared" si="121"/>
        <v>0</v>
      </c>
      <c r="EQ33" s="130">
        <f t="shared" si="121"/>
        <v>0</v>
      </c>
      <c r="ER33" s="130">
        <f t="shared" si="121"/>
        <v>0</v>
      </c>
      <c r="ES33" s="130">
        <f t="shared" si="121"/>
        <v>0</v>
      </c>
      <c r="ET33" s="130">
        <f t="shared" si="121"/>
        <v>0</v>
      </c>
      <c r="EU33" s="130">
        <f t="shared" si="121"/>
        <v>0</v>
      </c>
      <c r="EV33" s="130">
        <f t="shared" si="121"/>
        <v>0</v>
      </c>
      <c r="EW33" s="130">
        <f t="shared" si="121"/>
        <v>0</v>
      </c>
      <c r="EX33" s="130">
        <f t="shared" si="121"/>
        <v>0</v>
      </c>
      <c r="EY33" s="130">
        <f t="shared" si="121"/>
        <v>0</v>
      </c>
      <c r="EZ33" s="130">
        <f t="shared" si="121"/>
        <v>0</v>
      </c>
      <c r="FA33" s="130">
        <f t="shared" si="121"/>
        <v>0</v>
      </c>
      <c r="FB33" s="130">
        <f t="shared" si="121"/>
        <v>0</v>
      </c>
      <c r="FC33" s="130">
        <f t="shared" si="121"/>
        <v>0</v>
      </c>
      <c r="FD33" s="130">
        <f t="shared" si="121"/>
        <v>0</v>
      </c>
      <c r="FE33" s="130">
        <f t="shared" si="121"/>
        <v>0</v>
      </c>
      <c r="FF33" s="130">
        <f t="shared" si="121"/>
        <v>0</v>
      </c>
      <c r="FG33" s="130">
        <f t="shared" si="121"/>
        <v>0</v>
      </c>
      <c r="FH33" s="130">
        <f t="shared" si="121"/>
        <v>0</v>
      </c>
      <c r="FI33" s="130">
        <f t="shared" si="121"/>
        <v>0</v>
      </c>
      <c r="FJ33" s="130">
        <f t="shared" si="121"/>
        <v>0</v>
      </c>
      <c r="FK33" s="130">
        <f t="shared" si="121"/>
        <v>0</v>
      </c>
      <c r="FL33" s="130">
        <f t="shared" si="121"/>
        <v>0</v>
      </c>
      <c r="FM33" s="130">
        <f t="shared" si="121"/>
        <v>0</v>
      </c>
      <c r="FN33" s="130">
        <f t="shared" si="121"/>
        <v>0</v>
      </c>
      <c r="FO33" s="130">
        <f t="shared" si="121"/>
        <v>0</v>
      </c>
      <c r="FP33" s="130">
        <f t="shared" si="121"/>
        <v>0</v>
      </c>
      <c r="FQ33" s="130">
        <f t="shared" si="121"/>
        <v>0</v>
      </c>
      <c r="FR33" s="130">
        <f t="shared" si="121"/>
        <v>0</v>
      </c>
      <c r="FS33" s="130">
        <f t="shared" si="121"/>
        <v>0</v>
      </c>
      <c r="FT33" s="130">
        <f t="shared" si="121"/>
        <v>0</v>
      </c>
      <c r="FU33" s="130">
        <f t="shared" si="121"/>
        <v>0</v>
      </c>
      <c r="FV33" s="130">
        <f t="shared" si="121"/>
        <v>0</v>
      </c>
      <c r="FW33" s="130">
        <f t="shared" si="121"/>
        <v>0</v>
      </c>
      <c r="FX33" s="130">
        <f t="shared" si="121"/>
        <v>0</v>
      </c>
      <c r="FY33" s="130">
        <f t="shared" si="121"/>
        <v>0</v>
      </c>
      <c r="FZ33" s="130">
        <f t="shared" si="121"/>
        <v>0</v>
      </c>
      <c r="GA33" s="130">
        <f t="shared" si="121"/>
        <v>0</v>
      </c>
      <c r="GB33" s="130">
        <f t="shared" si="121"/>
        <v>0</v>
      </c>
      <c r="GC33" s="130">
        <f t="shared" si="121"/>
        <v>0</v>
      </c>
      <c r="GD33" s="130">
        <f t="shared" si="121"/>
        <v>0</v>
      </c>
      <c r="GE33" s="130">
        <f t="shared" si="121"/>
        <v>0</v>
      </c>
      <c r="GF33" s="130">
        <f t="shared" si="121"/>
        <v>0</v>
      </c>
      <c r="GG33" s="130">
        <f t="shared" si="121"/>
        <v>0</v>
      </c>
      <c r="GH33" s="130">
        <f t="shared" si="121"/>
        <v>0</v>
      </c>
      <c r="GI33" s="130">
        <f t="shared" si="121"/>
        <v>0</v>
      </c>
      <c r="GJ33" s="130">
        <f t="shared" si="121"/>
        <v>0</v>
      </c>
      <c r="GK33" s="130">
        <f t="shared" si="121"/>
        <v>0</v>
      </c>
      <c r="GL33" s="130">
        <f t="shared" si="121"/>
        <v>0</v>
      </c>
      <c r="GM33" s="130">
        <f t="shared" si="121"/>
        <v>0</v>
      </c>
      <c r="GN33" s="130">
        <f t="shared" si="121"/>
        <v>0</v>
      </c>
      <c r="GO33" s="130">
        <f t="shared" si="121"/>
        <v>0</v>
      </c>
      <c r="GP33" s="130">
        <f t="shared" si="121"/>
        <v>0</v>
      </c>
      <c r="GQ33" s="130">
        <f t="shared" si="121"/>
        <v>0</v>
      </c>
      <c r="GR33" s="130">
        <f t="shared" si="121"/>
        <v>0</v>
      </c>
      <c r="GS33" s="130">
        <f t="shared" si="121"/>
        <v>0</v>
      </c>
      <c r="GT33" s="130">
        <f t="shared" si="121"/>
        <v>0</v>
      </c>
      <c r="GU33" s="130">
        <f t="shared" si="121"/>
        <v>0</v>
      </c>
      <c r="GV33" s="130">
        <f t="shared" si="121"/>
        <v>0</v>
      </c>
      <c r="GW33" s="130">
        <f t="shared" si="121"/>
        <v>0</v>
      </c>
      <c r="GX33" s="130">
        <f t="shared" si="121"/>
        <v>0</v>
      </c>
      <c r="GY33" s="130">
        <f t="shared" ref="GY33:JJ33" si="122">ROUND(GY63,0)</f>
        <v>0</v>
      </c>
      <c r="GZ33" s="130">
        <f t="shared" si="122"/>
        <v>0</v>
      </c>
      <c r="HA33" s="130">
        <f t="shared" si="122"/>
        <v>0</v>
      </c>
      <c r="HB33" s="130">
        <f t="shared" si="122"/>
        <v>0</v>
      </c>
      <c r="HC33" s="130">
        <f t="shared" si="122"/>
        <v>0</v>
      </c>
      <c r="HD33" s="130">
        <f t="shared" si="122"/>
        <v>0</v>
      </c>
      <c r="HE33" s="130">
        <f t="shared" si="122"/>
        <v>0</v>
      </c>
      <c r="HF33" s="130">
        <f t="shared" si="122"/>
        <v>0</v>
      </c>
      <c r="HG33" s="130">
        <f t="shared" si="122"/>
        <v>0</v>
      </c>
      <c r="HH33" s="130">
        <f t="shared" si="122"/>
        <v>0</v>
      </c>
      <c r="HI33" s="130">
        <f t="shared" si="122"/>
        <v>0</v>
      </c>
      <c r="HJ33" s="130">
        <f t="shared" si="122"/>
        <v>0</v>
      </c>
      <c r="HK33" s="130">
        <f t="shared" si="122"/>
        <v>0</v>
      </c>
      <c r="HL33" s="130">
        <f t="shared" si="122"/>
        <v>0</v>
      </c>
      <c r="HM33" s="130">
        <f t="shared" si="122"/>
        <v>0</v>
      </c>
      <c r="HN33" s="130">
        <f t="shared" si="122"/>
        <v>0</v>
      </c>
      <c r="HO33" s="130">
        <f t="shared" si="122"/>
        <v>0</v>
      </c>
      <c r="HP33" s="130">
        <f t="shared" si="122"/>
        <v>0</v>
      </c>
      <c r="HQ33" s="130">
        <f t="shared" si="122"/>
        <v>0</v>
      </c>
      <c r="HR33" s="130">
        <f t="shared" si="122"/>
        <v>0</v>
      </c>
      <c r="HS33" s="130">
        <f t="shared" si="122"/>
        <v>0</v>
      </c>
      <c r="HT33" s="130">
        <f t="shared" si="122"/>
        <v>0</v>
      </c>
      <c r="HU33" s="130">
        <f t="shared" si="122"/>
        <v>0</v>
      </c>
      <c r="HV33" s="130">
        <f t="shared" si="122"/>
        <v>0</v>
      </c>
      <c r="HW33" s="130">
        <f t="shared" si="122"/>
        <v>0</v>
      </c>
      <c r="HX33" s="130">
        <f t="shared" si="122"/>
        <v>0</v>
      </c>
      <c r="HY33" s="130">
        <f t="shared" si="122"/>
        <v>0</v>
      </c>
      <c r="HZ33" s="130">
        <f t="shared" si="122"/>
        <v>0</v>
      </c>
      <c r="IA33" s="130">
        <f t="shared" si="122"/>
        <v>0</v>
      </c>
      <c r="IB33" s="130">
        <f t="shared" si="122"/>
        <v>0</v>
      </c>
      <c r="IC33" s="130">
        <f t="shared" si="122"/>
        <v>0</v>
      </c>
      <c r="ID33" s="130">
        <f t="shared" si="122"/>
        <v>0</v>
      </c>
      <c r="IE33" s="130">
        <f t="shared" si="122"/>
        <v>0</v>
      </c>
      <c r="IF33" s="130">
        <f t="shared" si="122"/>
        <v>0</v>
      </c>
      <c r="IG33" s="130">
        <f t="shared" si="122"/>
        <v>0</v>
      </c>
      <c r="IH33" s="130">
        <f t="shared" si="122"/>
        <v>0</v>
      </c>
      <c r="II33" s="130">
        <f t="shared" si="122"/>
        <v>0</v>
      </c>
      <c r="IJ33" s="130">
        <f t="shared" si="122"/>
        <v>0</v>
      </c>
      <c r="IK33" s="130">
        <f t="shared" si="122"/>
        <v>0</v>
      </c>
      <c r="IL33" s="130">
        <f t="shared" si="122"/>
        <v>0</v>
      </c>
      <c r="IM33" s="130">
        <f t="shared" si="122"/>
        <v>0</v>
      </c>
      <c r="IN33" s="130">
        <f t="shared" si="122"/>
        <v>0</v>
      </c>
      <c r="IO33" s="130">
        <f t="shared" si="122"/>
        <v>0</v>
      </c>
      <c r="IP33" s="130">
        <f t="shared" si="122"/>
        <v>0</v>
      </c>
      <c r="IQ33" s="130">
        <f t="shared" si="122"/>
        <v>0</v>
      </c>
      <c r="IR33" s="130">
        <f t="shared" si="122"/>
        <v>0</v>
      </c>
      <c r="IS33" s="130">
        <f t="shared" si="122"/>
        <v>0</v>
      </c>
      <c r="IT33" s="130">
        <f t="shared" si="122"/>
        <v>0</v>
      </c>
      <c r="IU33" s="130">
        <f t="shared" si="122"/>
        <v>0</v>
      </c>
      <c r="IV33" s="130">
        <f t="shared" si="122"/>
        <v>0</v>
      </c>
      <c r="IW33" s="130">
        <f t="shared" si="122"/>
        <v>0</v>
      </c>
      <c r="IX33" s="130">
        <f t="shared" si="122"/>
        <v>0</v>
      </c>
      <c r="IY33" s="130">
        <f t="shared" si="122"/>
        <v>0</v>
      </c>
      <c r="IZ33" s="130">
        <f t="shared" si="122"/>
        <v>0</v>
      </c>
      <c r="JA33" s="130">
        <f t="shared" si="122"/>
        <v>0</v>
      </c>
      <c r="JB33" s="130">
        <f t="shared" si="122"/>
        <v>0</v>
      </c>
      <c r="JC33" s="130">
        <f t="shared" si="122"/>
        <v>0</v>
      </c>
      <c r="JD33" s="130">
        <f t="shared" si="122"/>
        <v>0</v>
      </c>
      <c r="JE33" s="130">
        <f t="shared" si="122"/>
        <v>0</v>
      </c>
      <c r="JF33" s="130">
        <f t="shared" si="122"/>
        <v>0</v>
      </c>
      <c r="JG33" s="130">
        <f t="shared" si="122"/>
        <v>0</v>
      </c>
      <c r="JH33" s="130">
        <f t="shared" si="122"/>
        <v>0</v>
      </c>
      <c r="JI33" s="130">
        <f t="shared" si="122"/>
        <v>0</v>
      </c>
      <c r="JJ33" s="130">
        <f t="shared" si="122"/>
        <v>0</v>
      </c>
      <c r="JK33" s="130">
        <f t="shared" ref="JK33:LV33" si="123">ROUND(JK63,0)</f>
        <v>0</v>
      </c>
      <c r="JL33" s="130">
        <f t="shared" si="123"/>
        <v>0</v>
      </c>
      <c r="JM33" s="130">
        <f t="shared" si="123"/>
        <v>0</v>
      </c>
      <c r="JN33" s="130">
        <f t="shared" si="123"/>
        <v>0</v>
      </c>
      <c r="JO33" s="130">
        <f t="shared" si="123"/>
        <v>0</v>
      </c>
      <c r="JP33" s="130">
        <f t="shared" si="123"/>
        <v>0</v>
      </c>
      <c r="JQ33" s="130">
        <f t="shared" si="123"/>
        <v>0</v>
      </c>
      <c r="JR33" s="130">
        <f t="shared" si="123"/>
        <v>0</v>
      </c>
      <c r="JS33" s="130">
        <f t="shared" si="123"/>
        <v>0</v>
      </c>
      <c r="JT33" s="130">
        <f t="shared" si="123"/>
        <v>0</v>
      </c>
      <c r="JU33" s="130">
        <f t="shared" si="123"/>
        <v>0</v>
      </c>
      <c r="JV33" s="130">
        <f t="shared" si="123"/>
        <v>0</v>
      </c>
      <c r="JW33" s="130">
        <f t="shared" si="123"/>
        <v>0</v>
      </c>
      <c r="JX33" s="130">
        <f t="shared" si="123"/>
        <v>0</v>
      </c>
      <c r="JY33" s="130">
        <f t="shared" si="123"/>
        <v>0</v>
      </c>
      <c r="JZ33" s="130">
        <f t="shared" si="123"/>
        <v>0</v>
      </c>
      <c r="KA33" s="130">
        <f t="shared" si="123"/>
        <v>0</v>
      </c>
      <c r="KB33" s="130">
        <f t="shared" si="123"/>
        <v>0</v>
      </c>
      <c r="KC33" s="130">
        <f t="shared" si="123"/>
        <v>0</v>
      </c>
      <c r="KD33" s="130">
        <f t="shared" si="123"/>
        <v>0</v>
      </c>
      <c r="KE33" s="130">
        <f t="shared" si="123"/>
        <v>0</v>
      </c>
      <c r="KF33" s="130">
        <f t="shared" si="123"/>
        <v>0</v>
      </c>
      <c r="KG33" s="130">
        <f t="shared" si="123"/>
        <v>0</v>
      </c>
      <c r="KH33" s="130">
        <f t="shared" si="123"/>
        <v>0</v>
      </c>
      <c r="KI33" s="130">
        <f t="shared" si="123"/>
        <v>0</v>
      </c>
      <c r="KJ33" s="130">
        <f t="shared" si="123"/>
        <v>0</v>
      </c>
      <c r="KK33" s="130">
        <f t="shared" si="123"/>
        <v>0</v>
      </c>
      <c r="KL33" s="130">
        <f t="shared" si="123"/>
        <v>0</v>
      </c>
      <c r="KM33" s="130">
        <f t="shared" si="123"/>
        <v>0</v>
      </c>
      <c r="KN33" s="130">
        <f t="shared" si="123"/>
        <v>0</v>
      </c>
      <c r="KO33" s="130">
        <f t="shared" si="123"/>
        <v>0</v>
      </c>
      <c r="KP33" s="130">
        <f t="shared" si="123"/>
        <v>0</v>
      </c>
      <c r="KQ33" s="130">
        <f t="shared" si="123"/>
        <v>0</v>
      </c>
      <c r="KR33" s="130">
        <f t="shared" si="123"/>
        <v>0</v>
      </c>
      <c r="KS33" s="130">
        <f t="shared" si="123"/>
        <v>0</v>
      </c>
      <c r="KT33" s="130">
        <f t="shared" si="123"/>
        <v>0</v>
      </c>
      <c r="KU33" s="130">
        <f t="shared" si="123"/>
        <v>0</v>
      </c>
      <c r="KV33" s="130">
        <f t="shared" si="123"/>
        <v>0</v>
      </c>
      <c r="KW33" s="130">
        <f t="shared" si="123"/>
        <v>0</v>
      </c>
      <c r="KX33" s="130">
        <f t="shared" si="123"/>
        <v>0</v>
      </c>
      <c r="KY33" s="130">
        <f t="shared" si="123"/>
        <v>0</v>
      </c>
      <c r="KZ33" s="130">
        <f t="shared" si="123"/>
        <v>0</v>
      </c>
      <c r="LA33" s="130">
        <f t="shared" si="123"/>
        <v>0</v>
      </c>
      <c r="LB33" s="130">
        <f t="shared" si="123"/>
        <v>0</v>
      </c>
      <c r="LC33" s="130">
        <f t="shared" si="123"/>
        <v>0</v>
      </c>
      <c r="LD33" s="130">
        <f t="shared" si="123"/>
        <v>0</v>
      </c>
      <c r="LE33" s="130">
        <f t="shared" si="123"/>
        <v>0</v>
      </c>
      <c r="LF33" s="130">
        <f t="shared" si="123"/>
        <v>0</v>
      </c>
      <c r="LG33" s="130">
        <f t="shared" si="123"/>
        <v>0</v>
      </c>
      <c r="LH33" s="130">
        <f t="shared" si="123"/>
        <v>0</v>
      </c>
      <c r="LI33" s="130">
        <f t="shared" si="123"/>
        <v>0</v>
      </c>
      <c r="LJ33" s="130">
        <f t="shared" si="123"/>
        <v>0</v>
      </c>
      <c r="LK33" s="130">
        <f t="shared" si="123"/>
        <v>0</v>
      </c>
      <c r="LL33" s="130">
        <f t="shared" si="123"/>
        <v>0</v>
      </c>
      <c r="LM33" s="130">
        <f t="shared" si="123"/>
        <v>0</v>
      </c>
      <c r="LN33" s="130">
        <f t="shared" si="123"/>
        <v>0</v>
      </c>
      <c r="LO33" s="130">
        <f t="shared" si="123"/>
        <v>0</v>
      </c>
      <c r="LP33" s="130">
        <f t="shared" si="123"/>
        <v>0</v>
      </c>
      <c r="LQ33" s="130">
        <f t="shared" si="123"/>
        <v>0</v>
      </c>
      <c r="LR33" s="130">
        <f t="shared" si="123"/>
        <v>0</v>
      </c>
      <c r="LS33" s="130">
        <f t="shared" si="123"/>
        <v>0</v>
      </c>
      <c r="LT33" s="130">
        <f t="shared" si="123"/>
        <v>0</v>
      </c>
      <c r="LU33" s="130">
        <f t="shared" si="123"/>
        <v>0</v>
      </c>
      <c r="LV33" s="130">
        <f t="shared" si="123"/>
        <v>0</v>
      </c>
      <c r="LW33" s="130">
        <f t="shared" ref="LW33:OH33" si="124">ROUND(LW63,0)</f>
        <v>0</v>
      </c>
      <c r="LX33" s="130">
        <f t="shared" si="124"/>
        <v>0</v>
      </c>
      <c r="LY33" s="130">
        <f t="shared" si="124"/>
        <v>0</v>
      </c>
      <c r="LZ33" s="130">
        <f t="shared" si="124"/>
        <v>0</v>
      </c>
      <c r="MA33" s="130">
        <f t="shared" si="124"/>
        <v>0</v>
      </c>
      <c r="MB33" s="130">
        <f t="shared" si="124"/>
        <v>0</v>
      </c>
      <c r="MC33" s="130">
        <f t="shared" si="124"/>
        <v>0</v>
      </c>
      <c r="MD33" s="130">
        <f t="shared" si="124"/>
        <v>0</v>
      </c>
      <c r="ME33" s="130">
        <f t="shared" si="124"/>
        <v>0</v>
      </c>
      <c r="MF33" s="130">
        <f t="shared" si="124"/>
        <v>0</v>
      </c>
      <c r="MG33" s="130">
        <f t="shared" si="124"/>
        <v>0</v>
      </c>
      <c r="MH33" s="130">
        <f t="shared" si="124"/>
        <v>0</v>
      </c>
      <c r="MI33" s="130">
        <f t="shared" si="124"/>
        <v>0</v>
      </c>
      <c r="MJ33" s="130">
        <f t="shared" si="124"/>
        <v>0</v>
      </c>
      <c r="MK33" s="130">
        <f t="shared" si="124"/>
        <v>0</v>
      </c>
      <c r="ML33" s="130">
        <f t="shared" si="124"/>
        <v>0</v>
      </c>
      <c r="MM33" s="130">
        <f t="shared" si="124"/>
        <v>0</v>
      </c>
      <c r="MN33" s="130">
        <f t="shared" si="124"/>
        <v>0</v>
      </c>
      <c r="MO33" s="130">
        <f t="shared" si="124"/>
        <v>0</v>
      </c>
      <c r="MP33" s="130">
        <f t="shared" si="124"/>
        <v>0</v>
      </c>
      <c r="MQ33" s="130">
        <f t="shared" si="124"/>
        <v>0</v>
      </c>
      <c r="MR33" s="130">
        <f t="shared" si="124"/>
        <v>0</v>
      </c>
      <c r="MS33" s="130">
        <f t="shared" si="124"/>
        <v>0</v>
      </c>
      <c r="MT33" s="130">
        <f t="shared" si="124"/>
        <v>0</v>
      </c>
      <c r="MU33" s="130">
        <f t="shared" si="124"/>
        <v>0</v>
      </c>
      <c r="MV33" s="130">
        <f t="shared" si="124"/>
        <v>0</v>
      </c>
      <c r="MW33" s="130">
        <f t="shared" si="124"/>
        <v>0</v>
      </c>
      <c r="MX33" s="130">
        <f t="shared" si="124"/>
        <v>0</v>
      </c>
      <c r="MY33" s="130">
        <f t="shared" si="124"/>
        <v>0</v>
      </c>
      <c r="MZ33" s="130">
        <f t="shared" si="124"/>
        <v>0</v>
      </c>
      <c r="NA33" s="130">
        <f t="shared" si="124"/>
        <v>0</v>
      </c>
      <c r="NB33" s="130">
        <f t="shared" si="124"/>
        <v>0</v>
      </c>
      <c r="NC33" s="130">
        <f t="shared" si="124"/>
        <v>0</v>
      </c>
      <c r="ND33" s="130">
        <f t="shared" si="124"/>
        <v>0</v>
      </c>
      <c r="NE33" s="130">
        <f t="shared" si="124"/>
        <v>0</v>
      </c>
      <c r="NF33" s="130">
        <f t="shared" si="124"/>
        <v>0</v>
      </c>
      <c r="NG33" s="130">
        <f t="shared" si="124"/>
        <v>0</v>
      </c>
      <c r="NH33" s="130">
        <f t="shared" si="124"/>
        <v>0</v>
      </c>
      <c r="NI33" s="130">
        <f t="shared" si="124"/>
        <v>0</v>
      </c>
      <c r="NJ33" s="130">
        <f t="shared" si="124"/>
        <v>0</v>
      </c>
      <c r="NK33" s="130">
        <f t="shared" si="124"/>
        <v>0</v>
      </c>
      <c r="NL33" s="130">
        <f t="shared" si="124"/>
        <v>0</v>
      </c>
      <c r="NM33" s="130">
        <f t="shared" si="124"/>
        <v>0</v>
      </c>
      <c r="NN33" s="130">
        <f t="shared" si="124"/>
        <v>0</v>
      </c>
      <c r="NO33" s="130">
        <f t="shared" si="124"/>
        <v>0</v>
      </c>
      <c r="NP33" s="130">
        <f t="shared" si="124"/>
        <v>0</v>
      </c>
      <c r="NQ33" s="130">
        <f t="shared" si="124"/>
        <v>0</v>
      </c>
      <c r="NR33" s="130">
        <f t="shared" si="124"/>
        <v>0</v>
      </c>
      <c r="NS33" s="130">
        <f t="shared" si="124"/>
        <v>0</v>
      </c>
      <c r="NT33" s="130">
        <f t="shared" si="124"/>
        <v>0</v>
      </c>
      <c r="NU33" s="130">
        <f t="shared" si="124"/>
        <v>0</v>
      </c>
      <c r="NV33" s="130">
        <f t="shared" si="124"/>
        <v>0</v>
      </c>
      <c r="NW33" s="130">
        <f t="shared" si="124"/>
        <v>0</v>
      </c>
      <c r="NX33" s="130">
        <f t="shared" si="124"/>
        <v>0</v>
      </c>
      <c r="NY33" s="130">
        <f t="shared" si="124"/>
        <v>0</v>
      </c>
      <c r="NZ33" s="130">
        <f t="shared" si="124"/>
        <v>0</v>
      </c>
      <c r="OA33" s="130">
        <f t="shared" si="124"/>
        <v>0</v>
      </c>
      <c r="OB33" s="130">
        <f t="shared" si="124"/>
        <v>0</v>
      </c>
      <c r="OC33" s="130">
        <f t="shared" si="124"/>
        <v>0</v>
      </c>
      <c r="OD33" s="130">
        <f t="shared" si="124"/>
        <v>0</v>
      </c>
      <c r="OE33" s="130">
        <f t="shared" si="124"/>
        <v>0</v>
      </c>
      <c r="OF33" s="130">
        <f t="shared" si="124"/>
        <v>0</v>
      </c>
      <c r="OG33" s="130">
        <f t="shared" si="124"/>
        <v>0</v>
      </c>
      <c r="OH33" s="130">
        <f t="shared" si="124"/>
        <v>0</v>
      </c>
      <c r="OI33" s="130">
        <f t="shared" ref="OI33:PN33" si="125">ROUND(OI63,0)</f>
        <v>0</v>
      </c>
      <c r="OJ33" s="130">
        <f t="shared" si="125"/>
        <v>0</v>
      </c>
      <c r="OK33" s="130">
        <f t="shared" si="125"/>
        <v>0</v>
      </c>
      <c r="OL33" s="130">
        <f t="shared" si="125"/>
        <v>0</v>
      </c>
      <c r="OM33" s="130">
        <f t="shared" si="125"/>
        <v>0</v>
      </c>
      <c r="ON33" s="130">
        <f t="shared" si="125"/>
        <v>0</v>
      </c>
      <c r="OO33" s="130">
        <f t="shared" si="125"/>
        <v>0</v>
      </c>
      <c r="OP33" s="130">
        <f t="shared" si="125"/>
        <v>0</v>
      </c>
      <c r="OQ33" s="130">
        <f t="shared" si="125"/>
        <v>0</v>
      </c>
      <c r="OR33" s="130">
        <f t="shared" si="125"/>
        <v>0</v>
      </c>
      <c r="OS33" s="130">
        <f t="shared" si="125"/>
        <v>0</v>
      </c>
      <c r="OT33" s="130">
        <f t="shared" si="125"/>
        <v>0</v>
      </c>
      <c r="OU33" s="130">
        <f t="shared" si="125"/>
        <v>0</v>
      </c>
      <c r="OV33" s="130">
        <f t="shared" si="125"/>
        <v>0</v>
      </c>
      <c r="OW33" s="130">
        <f t="shared" si="125"/>
        <v>0</v>
      </c>
      <c r="OX33" s="130">
        <f t="shared" si="125"/>
        <v>0</v>
      </c>
      <c r="OY33" s="130">
        <f t="shared" si="125"/>
        <v>0</v>
      </c>
      <c r="OZ33" s="130">
        <f t="shared" si="125"/>
        <v>0</v>
      </c>
      <c r="PA33" s="130">
        <f t="shared" si="125"/>
        <v>0</v>
      </c>
      <c r="PB33" s="130">
        <f t="shared" si="125"/>
        <v>0</v>
      </c>
      <c r="PC33" s="130">
        <f t="shared" si="125"/>
        <v>0</v>
      </c>
      <c r="PD33" s="130">
        <f t="shared" si="125"/>
        <v>0</v>
      </c>
      <c r="PE33" s="130">
        <f t="shared" si="125"/>
        <v>0</v>
      </c>
      <c r="PF33" s="130">
        <f t="shared" si="125"/>
        <v>0</v>
      </c>
      <c r="PG33" s="130">
        <f t="shared" si="125"/>
        <v>0</v>
      </c>
      <c r="PH33" s="130">
        <f t="shared" si="125"/>
        <v>0</v>
      </c>
      <c r="PI33" s="130">
        <f t="shared" si="125"/>
        <v>0</v>
      </c>
      <c r="PJ33" s="130">
        <f t="shared" si="125"/>
        <v>0</v>
      </c>
      <c r="PK33" s="130">
        <f t="shared" si="125"/>
        <v>0</v>
      </c>
      <c r="PL33" s="130">
        <f t="shared" si="125"/>
        <v>0</v>
      </c>
      <c r="PM33" s="130">
        <f t="shared" si="125"/>
        <v>0</v>
      </c>
      <c r="PN33" s="130">
        <f t="shared" si="125"/>
        <v>0</v>
      </c>
      <c r="PO33" s="130">
        <f t="shared" ref="PO33:QT33" si="126">ROUND(PO63,0)</f>
        <v>0</v>
      </c>
      <c r="PP33" s="130">
        <f t="shared" si="126"/>
        <v>0</v>
      </c>
      <c r="PQ33" s="130">
        <f t="shared" si="126"/>
        <v>0</v>
      </c>
      <c r="PR33" s="130">
        <f t="shared" si="126"/>
        <v>0</v>
      </c>
      <c r="PS33" s="130">
        <f t="shared" si="126"/>
        <v>0</v>
      </c>
      <c r="PT33" s="130">
        <f t="shared" si="126"/>
        <v>0</v>
      </c>
      <c r="PU33" s="130">
        <f t="shared" si="126"/>
        <v>0</v>
      </c>
      <c r="PV33" s="130">
        <f t="shared" si="126"/>
        <v>0</v>
      </c>
      <c r="PW33" s="130">
        <f t="shared" si="126"/>
        <v>0</v>
      </c>
      <c r="PX33" s="130">
        <f t="shared" si="126"/>
        <v>0</v>
      </c>
      <c r="PY33" s="130">
        <f t="shared" si="126"/>
        <v>0</v>
      </c>
      <c r="PZ33" s="130">
        <f t="shared" si="126"/>
        <v>0</v>
      </c>
      <c r="QA33" s="130">
        <f t="shared" si="126"/>
        <v>0</v>
      </c>
      <c r="QB33" s="130">
        <f t="shared" si="126"/>
        <v>0</v>
      </c>
      <c r="QC33" s="130">
        <f t="shared" si="126"/>
        <v>0</v>
      </c>
      <c r="QD33" s="130">
        <f t="shared" si="126"/>
        <v>0</v>
      </c>
      <c r="QE33" s="130">
        <f t="shared" si="126"/>
        <v>0</v>
      </c>
      <c r="QF33" s="130">
        <f t="shared" si="126"/>
        <v>0</v>
      </c>
      <c r="QG33" s="130">
        <f t="shared" si="126"/>
        <v>0</v>
      </c>
      <c r="QH33" s="130">
        <f t="shared" si="126"/>
        <v>0</v>
      </c>
      <c r="QI33" s="130">
        <f t="shared" si="126"/>
        <v>0</v>
      </c>
      <c r="QJ33" s="130">
        <f t="shared" si="126"/>
        <v>0</v>
      </c>
      <c r="QK33" s="130">
        <f t="shared" si="126"/>
        <v>0</v>
      </c>
      <c r="QL33" s="130">
        <f t="shared" si="126"/>
        <v>0</v>
      </c>
      <c r="QM33" s="130">
        <f t="shared" si="126"/>
        <v>0</v>
      </c>
      <c r="QN33" s="130">
        <f t="shared" si="126"/>
        <v>0</v>
      </c>
      <c r="QO33" s="130">
        <f t="shared" si="126"/>
        <v>0</v>
      </c>
      <c r="QP33" s="130">
        <f t="shared" si="126"/>
        <v>0</v>
      </c>
      <c r="QQ33" s="130">
        <f t="shared" si="126"/>
        <v>0</v>
      </c>
      <c r="QR33" s="130">
        <f t="shared" si="126"/>
        <v>0</v>
      </c>
      <c r="QS33" s="130">
        <f t="shared" si="126"/>
        <v>0</v>
      </c>
      <c r="QT33" s="130">
        <f t="shared" si="126"/>
        <v>0</v>
      </c>
      <c r="QU33" s="130">
        <f t="shared" ref="QU33:RZ33" si="127">ROUND(QU63,0)</f>
        <v>0</v>
      </c>
      <c r="QV33" s="130">
        <f t="shared" si="127"/>
        <v>0</v>
      </c>
      <c r="QW33" s="130">
        <f t="shared" si="127"/>
        <v>0</v>
      </c>
      <c r="QX33" s="130">
        <f t="shared" si="127"/>
        <v>0</v>
      </c>
      <c r="QY33" s="130">
        <f t="shared" si="127"/>
        <v>0</v>
      </c>
      <c r="QZ33" s="130">
        <f t="shared" si="127"/>
        <v>0</v>
      </c>
      <c r="RA33" s="130">
        <f t="shared" si="127"/>
        <v>0</v>
      </c>
      <c r="RB33" s="130">
        <f t="shared" si="127"/>
        <v>0</v>
      </c>
      <c r="RC33" s="130">
        <f t="shared" si="127"/>
        <v>0</v>
      </c>
      <c r="RD33" s="130">
        <f t="shared" si="127"/>
        <v>0</v>
      </c>
      <c r="RE33" s="130">
        <f t="shared" si="127"/>
        <v>0</v>
      </c>
      <c r="RF33" s="130">
        <f t="shared" si="127"/>
        <v>0</v>
      </c>
      <c r="RG33" s="130">
        <f t="shared" si="127"/>
        <v>0</v>
      </c>
      <c r="RH33" s="130">
        <f t="shared" si="127"/>
        <v>0</v>
      </c>
      <c r="RI33" s="130">
        <f t="shared" si="127"/>
        <v>0</v>
      </c>
      <c r="RJ33" s="130">
        <f t="shared" si="127"/>
        <v>0</v>
      </c>
      <c r="RK33" s="130">
        <f t="shared" si="127"/>
        <v>0</v>
      </c>
      <c r="RL33" s="130">
        <f t="shared" si="127"/>
        <v>0</v>
      </c>
      <c r="RM33" s="130">
        <f t="shared" si="127"/>
        <v>0</v>
      </c>
      <c r="RN33" s="130">
        <f t="shared" si="127"/>
        <v>0</v>
      </c>
      <c r="RO33" s="130">
        <f t="shared" si="127"/>
        <v>0</v>
      </c>
      <c r="RP33" s="130">
        <f t="shared" si="127"/>
        <v>0</v>
      </c>
      <c r="RQ33" s="130">
        <f t="shared" si="127"/>
        <v>0</v>
      </c>
      <c r="RR33" s="130">
        <f t="shared" si="127"/>
        <v>0</v>
      </c>
      <c r="RS33" s="130">
        <f t="shared" si="127"/>
        <v>0</v>
      </c>
      <c r="RT33" s="130">
        <f t="shared" si="127"/>
        <v>0</v>
      </c>
      <c r="RU33" s="130">
        <f t="shared" si="127"/>
        <v>0</v>
      </c>
      <c r="RV33" s="130">
        <f t="shared" si="127"/>
        <v>0</v>
      </c>
      <c r="RW33" s="130">
        <f t="shared" si="127"/>
        <v>0</v>
      </c>
      <c r="RX33" s="130">
        <f t="shared" si="127"/>
        <v>0</v>
      </c>
      <c r="RY33" s="130">
        <f t="shared" si="127"/>
        <v>0</v>
      </c>
      <c r="RZ33" s="130">
        <f t="shared" si="127"/>
        <v>0</v>
      </c>
      <c r="SA33" s="130">
        <f t="shared" ref="SA33:TF33" si="128">ROUND(SA63,0)</f>
        <v>0</v>
      </c>
      <c r="SB33" s="130">
        <f t="shared" si="128"/>
        <v>0</v>
      </c>
      <c r="SC33" s="130">
        <f t="shared" si="128"/>
        <v>0</v>
      </c>
      <c r="SD33" s="130">
        <f t="shared" si="128"/>
        <v>0</v>
      </c>
      <c r="SE33" s="130">
        <f t="shared" si="128"/>
        <v>0</v>
      </c>
      <c r="SF33" s="130">
        <f t="shared" si="128"/>
        <v>0</v>
      </c>
      <c r="SG33" s="130">
        <f t="shared" si="128"/>
        <v>0</v>
      </c>
      <c r="SH33" s="130">
        <f t="shared" si="128"/>
        <v>0</v>
      </c>
      <c r="SI33" s="130">
        <f t="shared" si="128"/>
        <v>0</v>
      </c>
      <c r="SJ33" s="130">
        <f t="shared" si="128"/>
        <v>0</v>
      </c>
      <c r="SK33" s="130">
        <f t="shared" si="128"/>
        <v>0</v>
      </c>
      <c r="SL33" s="130">
        <f t="shared" si="128"/>
        <v>0</v>
      </c>
      <c r="SM33" s="130">
        <f t="shared" si="128"/>
        <v>0</v>
      </c>
      <c r="SN33" s="130">
        <f t="shared" si="128"/>
        <v>0</v>
      </c>
      <c r="SO33" s="130">
        <f t="shared" si="128"/>
        <v>0</v>
      </c>
      <c r="SP33" s="130">
        <f t="shared" si="128"/>
        <v>0</v>
      </c>
      <c r="SQ33" s="130">
        <f t="shared" si="128"/>
        <v>0</v>
      </c>
      <c r="SR33" s="130">
        <f t="shared" si="128"/>
        <v>0</v>
      </c>
      <c r="SS33" s="130">
        <f t="shared" si="128"/>
        <v>0</v>
      </c>
      <c r="ST33" s="130">
        <f t="shared" si="128"/>
        <v>0</v>
      </c>
      <c r="SU33" s="130">
        <f t="shared" si="128"/>
        <v>0</v>
      </c>
      <c r="SV33" s="130">
        <f t="shared" si="128"/>
        <v>0</v>
      </c>
      <c r="SW33" s="130">
        <f t="shared" si="128"/>
        <v>0</v>
      </c>
      <c r="SX33" s="130">
        <f t="shared" si="128"/>
        <v>0</v>
      </c>
      <c r="SY33" s="130">
        <f t="shared" si="128"/>
        <v>0</v>
      </c>
      <c r="SZ33" s="130">
        <f t="shared" si="128"/>
        <v>0</v>
      </c>
      <c r="TA33" s="130">
        <f t="shared" si="128"/>
        <v>0</v>
      </c>
      <c r="TB33" s="130">
        <f t="shared" si="128"/>
        <v>0</v>
      </c>
      <c r="TC33" s="130">
        <f t="shared" si="128"/>
        <v>0</v>
      </c>
      <c r="TD33" s="130">
        <f t="shared" si="128"/>
        <v>0</v>
      </c>
      <c r="TE33" s="130">
        <f t="shared" si="128"/>
        <v>0</v>
      </c>
      <c r="TF33" s="130">
        <f t="shared" si="128"/>
        <v>0</v>
      </c>
      <c r="TG33" s="130">
        <f t="shared" ref="TG33:VR33" si="129">ROUND(TG63,0)</f>
        <v>0</v>
      </c>
      <c r="TH33" s="130">
        <f t="shared" si="129"/>
        <v>0</v>
      </c>
      <c r="TI33" s="130">
        <f t="shared" si="129"/>
        <v>0</v>
      </c>
      <c r="TJ33" s="130">
        <f t="shared" si="129"/>
        <v>0</v>
      </c>
      <c r="TK33" s="130">
        <f t="shared" si="129"/>
        <v>0</v>
      </c>
      <c r="TL33" s="130">
        <f t="shared" si="129"/>
        <v>0</v>
      </c>
      <c r="TM33" s="130">
        <f t="shared" si="129"/>
        <v>0</v>
      </c>
      <c r="TN33" s="130">
        <f t="shared" si="129"/>
        <v>0</v>
      </c>
      <c r="TO33" s="130">
        <f t="shared" si="129"/>
        <v>0</v>
      </c>
      <c r="TP33" s="130">
        <f t="shared" si="129"/>
        <v>0</v>
      </c>
      <c r="TQ33" s="130">
        <f t="shared" si="129"/>
        <v>0</v>
      </c>
      <c r="TR33" s="130">
        <f t="shared" si="129"/>
        <v>0</v>
      </c>
      <c r="TS33" s="130">
        <f t="shared" si="129"/>
        <v>0</v>
      </c>
      <c r="TT33" s="130">
        <f t="shared" si="129"/>
        <v>0</v>
      </c>
      <c r="TU33" s="130">
        <f t="shared" si="129"/>
        <v>0</v>
      </c>
      <c r="TV33" s="130">
        <f t="shared" si="129"/>
        <v>0</v>
      </c>
      <c r="TW33" s="130">
        <f t="shared" si="129"/>
        <v>0</v>
      </c>
      <c r="TX33" s="130">
        <f t="shared" si="129"/>
        <v>0</v>
      </c>
      <c r="TY33" s="130">
        <f t="shared" si="129"/>
        <v>0</v>
      </c>
      <c r="TZ33" s="130">
        <f t="shared" si="129"/>
        <v>0</v>
      </c>
      <c r="UA33" s="130">
        <f t="shared" si="129"/>
        <v>0</v>
      </c>
      <c r="UB33" s="130">
        <f t="shared" si="129"/>
        <v>0</v>
      </c>
      <c r="UC33" s="130">
        <f t="shared" si="129"/>
        <v>0</v>
      </c>
      <c r="UD33" s="130">
        <f t="shared" si="129"/>
        <v>0</v>
      </c>
      <c r="UE33" s="130">
        <f t="shared" si="129"/>
        <v>0</v>
      </c>
      <c r="UF33" s="130">
        <f t="shared" si="129"/>
        <v>0</v>
      </c>
      <c r="UG33" s="130">
        <f t="shared" si="129"/>
        <v>0</v>
      </c>
      <c r="UH33" s="130">
        <f t="shared" si="129"/>
        <v>0</v>
      </c>
      <c r="UI33" s="130">
        <f t="shared" si="129"/>
        <v>0</v>
      </c>
      <c r="UJ33" s="130">
        <f t="shared" si="129"/>
        <v>0</v>
      </c>
      <c r="UK33" s="130">
        <f t="shared" si="129"/>
        <v>0</v>
      </c>
      <c r="UL33" s="130">
        <f t="shared" si="129"/>
        <v>0</v>
      </c>
      <c r="UM33" s="130">
        <f t="shared" si="129"/>
        <v>0</v>
      </c>
      <c r="UN33" s="130">
        <f t="shared" si="129"/>
        <v>0</v>
      </c>
      <c r="UO33" s="130">
        <f t="shared" si="129"/>
        <v>0</v>
      </c>
      <c r="UP33" s="130">
        <f t="shared" si="129"/>
        <v>0</v>
      </c>
      <c r="UQ33" s="130">
        <f t="shared" si="129"/>
        <v>0</v>
      </c>
      <c r="UR33" s="130">
        <f t="shared" si="129"/>
        <v>0</v>
      </c>
      <c r="US33" s="130">
        <f t="shared" si="129"/>
        <v>0</v>
      </c>
      <c r="UT33" s="130">
        <f t="shared" si="129"/>
        <v>0</v>
      </c>
      <c r="UU33" s="130">
        <f t="shared" si="129"/>
        <v>0</v>
      </c>
      <c r="UV33" s="130">
        <f t="shared" si="129"/>
        <v>0</v>
      </c>
      <c r="UW33" s="130">
        <f t="shared" si="129"/>
        <v>0</v>
      </c>
      <c r="UX33" s="130">
        <f t="shared" si="129"/>
        <v>0</v>
      </c>
      <c r="UY33" s="130">
        <f t="shared" si="129"/>
        <v>0</v>
      </c>
      <c r="UZ33" s="130">
        <f t="shared" si="129"/>
        <v>0</v>
      </c>
      <c r="VA33" s="130">
        <f t="shared" si="129"/>
        <v>0</v>
      </c>
      <c r="VB33" s="130">
        <f t="shared" si="129"/>
        <v>0</v>
      </c>
      <c r="VC33" s="130">
        <f t="shared" si="129"/>
        <v>0</v>
      </c>
      <c r="VD33" s="130">
        <f t="shared" si="129"/>
        <v>0</v>
      </c>
      <c r="VE33" s="130">
        <f t="shared" si="129"/>
        <v>0</v>
      </c>
      <c r="VF33" s="130">
        <f t="shared" si="129"/>
        <v>0</v>
      </c>
      <c r="VG33" s="130">
        <f t="shared" si="129"/>
        <v>0</v>
      </c>
      <c r="VH33" s="130">
        <f t="shared" si="129"/>
        <v>0</v>
      </c>
      <c r="VI33" s="130">
        <f t="shared" si="129"/>
        <v>0</v>
      </c>
      <c r="VJ33" s="130">
        <f t="shared" si="129"/>
        <v>0</v>
      </c>
      <c r="VK33" s="130">
        <f t="shared" si="129"/>
        <v>0</v>
      </c>
      <c r="VL33" s="130">
        <f t="shared" si="129"/>
        <v>0</v>
      </c>
      <c r="VM33" s="130">
        <f t="shared" si="129"/>
        <v>0</v>
      </c>
      <c r="VN33" s="130">
        <f t="shared" si="129"/>
        <v>0</v>
      </c>
      <c r="VO33" s="130">
        <f t="shared" si="129"/>
        <v>0</v>
      </c>
      <c r="VP33" s="130">
        <f t="shared" si="129"/>
        <v>0</v>
      </c>
      <c r="VQ33" s="130">
        <f t="shared" si="129"/>
        <v>0</v>
      </c>
      <c r="VR33" s="130">
        <f t="shared" si="129"/>
        <v>0</v>
      </c>
      <c r="VS33" s="130">
        <f t="shared" ref="VS33:YD33" si="130">ROUND(VS63,0)</f>
        <v>0</v>
      </c>
      <c r="VT33" s="130">
        <f t="shared" si="130"/>
        <v>0</v>
      </c>
      <c r="VU33" s="130">
        <f t="shared" si="130"/>
        <v>0</v>
      </c>
      <c r="VV33" s="130">
        <f t="shared" si="130"/>
        <v>0</v>
      </c>
      <c r="VW33" s="130">
        <f t="shared" si="130"/>
        <v>0</v>
      </c>
      <c r="VX33" s="130">
        <f t="shared" si="130"/>
        <v>0</v>
      </c>
      <c r="VY33" s="130">
        <f t="shared" si="130"/>
        <v>0</v>
      </c>
      <c r="VZ33" s="130">
        <f t="shared" si="130"/>
        <v>0</v>
      </c>
      <c r="WA33" s="130">
        <f t="shared" si="130"/>
        <v>0</v>
      </c>
      <c r="WB33" s="130">
        <f t="shared" si="130"/>
        <v>0</v>
      </c>
      <c r="WC33" s="130">
        <f t="shared" si="130"/>
        <v>0</v>
      </c>
      <c r="WD33" s="130">
        <f t="shared" si="130"/>
        <v>0</v>
      </c>
      <c r="WE33" s="130">
        <f t="shared" si="130"/>
        <v>0</v>
      </c>
      <c r="WF33" s="130">
        <f t="shared" si="130"/>
        <v>0</v>
      </c>
      <c r="WG33" s="130">
        <f t="shared" si="130"/>
        <v>0</v>
      </c>
      <c r="WH33" s="130">
        <f t="shared" si="130"/>
        <v>0</v>
      </c>
      <c r="WI33" s="130">
        <f t="shared" si="130"/>
        <v>0</v>
      </c>
      <c r="WJ33" s="130">
        <f t="shared" si="130"/>
        <v>0</v>
      </c>
      <c r="WK33" s="130">
        <f t="shared" si="130"/>
        <v>0</v>
      </c>
      <c r="WL33" s="130">
        <f t="shared" si="130"/>
        <v>0</v>
      </c>
      <c r="WM33" s="130">
        <f t="shared" si="130"/>
        <v>0</v>
      </c>
      <c r="WN33" s="130">
        <f t="shared" si="130"/>
        <v>0</v>
      </c>
      <c r="WO33" s="130">
        <f t="shared" si="130"/>
        <v>0</v>
      </c>
      <c r="WP33" s="130">
        <f t="shared" si="130"/>
        <v>0</v>
      </c>
      <c r="WQ33" s="130">
        <f t="shared" si="130"/>
        <v>0</v>
      </c>
      <c r="WR33" s="130">
        <f t="shared" si="130"/>
        <v>0</v>
      </c>
      <c r="WS33" s="130">
        <f t="shared" si="130"/>
        <v>0</v>
      </c>
      <c r="WT33" s="130">
        <f t="shared" si="130"/>
        <v>0</v>
      </c>
      <c r="WU33" s="130">
        <f t="shared" si="130"/>
        <v>0</v>
      </c>
      <c r="WV33" s="130">
        <f t="shared" si="130"/>
        <v>0</v>
      </c>
      <c r="WW33" s="130">
        <f t="shared" si="130"/>
        <v>0</v>
      </c>
      <c r="WX33" s="130">
        <f t="shared" si="130"/>
        <v>0</v>
      </c>
      <c r="WY33" s="130">
        <f t="shared" si="130"/>
        <v>0</v>
      </c>
      <c r="WZ33" s="130">
        <f t="shared" si="130"/>
        <v>0</v>
      </c>
      <c r="XA33" s="130">
        <f t="shared" si="130"/>
        <v>0</v>
      </c>
      <c r="XB33" s="130">
        <f t="shared" si="130"/>
        <v>0</v>
      </c>
      <c r="XC33" s="130">
        <f t="shared" si="130"/>
        <v>0</v>
      </c>
      <c r="XD33" s="130">
        <f t="shared" si="130"/>
        <v>0</v>
      </c>
      <c r="XE33" s="130">
        <f t="shared" si="130"/>
        <v>0</v>
      </c>
      <c r="XF33" s="130">
        <f t="shared" si="130"/>
        <v>0</v>
      </c>
      <c r="XG33" s="130">
        <f t="shared" si="130"/>
        <v>0</v>
      </c>
      <c r="XH33" s="130">
        <f t="shared" si="130"/>
        <v>0</v>
      </c>
      <c r="XI33" s="130">
        <f t="shared" si="130"/>
        <v>0</v>
      </c>
      <c r="XJ33" s="130">
        <f t="shared" si="130"/>
        <v>0</v>
      </c>
      <c r="XK33" s="130">
        <f t="shared" si="130"/>
        <v>0</v>
      </c>
      <c r="XL33" s="130">
        <f t="shared" si="130"/>
        <v>0</v>
      </c>
      <c r="XM33" s="130">
        <f t="shared" si="130"/>
        <v>0</v>
      </c>
      <c r="XN33" s="130">
        <f t="shared" si="130"/>
        <v>0</v>
      </c>
      <c r="XO33" s="130">
        <f t="shared" si="130"/>
        <v>0</v>
      </c>
      <c r="XP33" s="130">
        <f t="shared" si="130"/>
        <v>0</v>
      </c>
      <c r="XQ33" s="130">
        <f t="shared" si="130"/>
        <v>0</v>
      </c>
      <c r="XR33" s="130">
        <f t="shared" si="130"/>
        <v>0</v>
      </c>
      <c r="XS33" s="130">
        <f t="shared" si="130"/>
        <v>0</v>
      </c>
      <c r="XT33" s="130">
        <f t="shared" si="130"/>
        <v>0</v>
      </c>
      <c r="XU33" s="130">
        <f t="shared" si="130"/>
        <v>0</v>
      </c>
      <c r="XV33" s="130">
        <f t="shared" si="130"/>
        <v>0</v>
      </c>
      <c r="XW33" s="130">
        <f t="shared" si="130"/>
        <v>0</v>
      </c>
      <c r="XX33" s="130">
        <f t="shared" si="130"/>
        <v>0</v>
      </c>
      <c r="XY33" s="130">
        <f t="shared" si="130"/>
        <v>0</v>
      </c>
      <c r="XZ33" s="130">
        <f t="shared" si="130"/>
        <v>0</v>
      </c>
      <c r="YA33" s="130">
        <f t="shared" si="130"/>
        <v>0</v>
      </c>
      <c r="YB33" s="130">
        <f t="shared" si="130"/>
        <v>0</v>
      </c>
      <c r="YC33" s="130">
        <f t="shared" si="130"/>
        <v>0</v>
      </c>
      <c r="YD33" s="130">
        <f t="shared" si="130"/>
        <v>0</v>
      </c>
      <c r="YE33" s="130">
        <f t="shared" ref="YE33:AAP33" si="131">ROUND(YE63,0)</f>
        <v>0</v>
      </c>
      <c r="YF33" s="130">
        <f t="shared" si="131"/>
        <v>0</v>
      </c>
      <c r="YG33" s="130">
        <f t="shared" si="131"/>
        <v>0</v>
      </c>
      <c r="YH33" s="130">
        <f t="shared" si="131"/>
        <v>0</v>
      </c>
      <c r="YI33" s="130">
        <f t="shared" si="131"/>
        <v>0</v>
      </c>
      <c r="YJ33" s="130">
        <f t="shared" si="131"/>
        <v>0</v>
      </c>
      <c r="YK33" s="130">
        <f t="shared" si="131"/>
        <v>0</v>
      </c>
      <c r="YL33" s="130">
        <f t="shared" si="131"/>
        <v>0</v>
      </c>
      <c r="YM33" s="130">
        <f t="shared" si="131"/>
        <v>0</v>
      </c>
      <c r="YN33" s="130">
        <f t="shared" si="131"/>
        <v>0</v>
      </c>
      <c r="YO33" s="130">
        <f t="shared" si="131"/>
        <v>0</v>
      </c>
      <c r="YP33" s="130">
        <f t="shared" si="131"/>
        <v>0</v>
      </c>
      <c r="YQ33" s="130">
        <f t="shared" si="131"/>
        <v>0</v>
      </c>
      <c r="YR33" s="130">
        <f t="shared" si="131"/>
        <v>0</v>
      </c>
      <c r="YS33" s="130">
        <f t="shared" si="131"/>
        <v>0</v>
      </c>
      <c r="YT33" s="130">
        <f t="shared" si="131"/>
        <v>0</v>
      </c>
      <c r="YU33" s="130">
        <f t="shared" si="131"/>
        <v>0</v>
      </c>
      <c r="YV33" s="130">
        <f t="shared" si="131"/>
        <v>0</v>
      </c>
      <c r="YW33" s="130">
        <f t="shared" si="131"/>
        <v>0</v>
      </c>
      <c r="YX33" s="130">
        <f t="shared" si="131"/>
        <v>0</v>
      </c>
      <c r="YY33" s="130">
        <f t="shared" si="131"/>
        <v>0</v>
      </c>
      <c r="YZ33" s="130">
        <f t="shared" si="131"/>
        <v>0</v>
      </c>
      <c r="ZA33" s="130">
        <f t="shared" si="131"/>
        <v>0</v>
      </c>
      <c r="ZB33" s="130">
        <f t="shared" si="131"/>
        <v>0</v>
      </c>
      <c r="ZC33" s="130">
        <f t="shared" si="131"/>
        <v>0</v>
      </c>
      <c r="ZD33" s="130">
        <f t="shared" si="131"/>
        <v>0</v>
      </c>
      <c r="ZE33" s="130">
        <f t="shared" si="131"/>
        <v>0</v>
      </c>
      <c r="ZF33" s="130">
        <f t="shared" si="131"/>
        <v>0</v>
      </c>
      <c r="ZG33" s="130">
        <f t="shared" si="131"/>
        <v>0</v>
      </c>
      <c r="ZH33" s="130">
        <f t="shared" si="131"/>
        <v>0</v>
      </c>
      <c r="ZI33" s="130">
        <f t="shared" si="131"/>
        <v>0</v>
      </c>
      <c r="ZJ33" s="130">
        <f t="shared" si="131"/>
        <v>0</v>
      </c>
      <c r="ZK33" s="130">
        <f t="shared" si="131"/>
        <v>0</v>
      </c>
      <c r="ZL33" s="130">
        <f t="shared" si="131"/>
        <v>0</v>
      </c>
      <c r="ZM33" s="130">
        <f t="shared" si="131"/>
        <v>0</v>
      </c>
      <c r="ZN33" s="130">
        <f t="shared" si="131"/>
        <v>0</v>
      </c>
      <c r="ZO33" s="130">
        <f t="shared" si="131"/>
        <v>0</v>
      </c>
      <c r="ZP33" s="130">
        <f t="shared" si="131"/>
        <v>0</v>
      </c>
      <c r="ZQ33" s="130">
        <f t="shared" si="131"/>
        <v>0</v>
      </c>
      <c r="ZR33" s="130">
        <f t="shared" si="131"/>
        <v>0</v>
      </c>
      <c r="ZS33" s="130">
        <f t="shared" si="131"/>
        <v>0</v>
      </c>
      <c r="ZT33" s="130">
        <f t="shared" si="131"/>
        <v>0</v>
      </c>
      <c r="ZU33" s="130">
        <f t="shared" si="131"/>
        <v>0</v>
      </c>
      <c r="ZV33" s="130">
        <f t="shared" si="131"/>
        <v>0</v>
      </c>
      <c r="ZW33" s="130">
        <f t="shared" si="131"/>
        <v>0</v>
      </c>
      <c r="ZX33" s="130">
        <f t="shared" si="131"/>
        <v>0</v>
      </c>
      <c r="ZY33" s="130">
        <f t="shared" si="131"/>
        <v>0</v>
      </c>
      <c r="ZZ33" s="130">
        <f t="shared" si="131"/>
        <v>0</v>
      </c>
      <c r="AAA33" s="130">
        <f t="shared" si="131"/>
        <v>0</v>
      </c>
      <c r="AAB33" s="130">
        <f t="shared" si="131"/>
        <v>0</v>
      </c>
      <c r="AAC33" s="130">
        <f t="shared" si="131"/>
        <v>0</v>
      </c>
      <c r="AAD33" s="130">
        <f t="shared" si="131"/>
        <v>0</v>
      </c>
      <c r="AAE33" s="130">
        <f t="shared" si="131"/>
        <v>0</v>
      </c>
      <c r="AAF33" s="130">
        <f t="shared" si="131"/>
        <v>0</v>
      </c>
      <c r="AAG33" s="130">
        <f t="shared" si="131"/>
        <v>0</v>
      </c>
      <c r="AAH33" s="130">
        <f t="shared" si="131"/>
        <v>0</v>
      </c>
      <c r="AAI33" s="130">
        <f t="shared" si="131"/>
        <v>0</v>
      </c>
      <c r="AAJ33" s="130">
        <f t="shared" si="131"/>
        <v>0</v>
      </c>
      <c r="AAK33" s="130">
        <f t="shared" si="131"/>
        <v>0</v>
      </c>
      <c r="AAL33" s="130">
        <f t="shared" si="131"/>
        <v>0</v>
      </c>
      <c r="AAM33" s="130">
        <f t="shared" si="131"/>
        <v>0</v>
      </c>
      <c r="AAN33" s="130">
        <f t="shared" si="131"/>
        <v>0</v>
      </c>
      <c r="AAO33" s="130">
        <f t="shared" si="131"/>
        <v>0</v>
      </c>
      <c r="AAP33" s="130">
        <f t="shared" si="131"/>
        <v>0</v>
      </c>
      <c r="AAQ33" s="130">
        <f t="shared" ref="AAQ33:ADB33" si="132">ROUND(AAQ63,0)</f>
        <v>0</v>
      </c>
      <c r="AAR33" s="130">
        <f t="shared" si="132"/>
        <v>0</v>
      </c>
      <c r="AAS33" s="130">
        <f t="shared" si="132"/>
        <v>0</v>
      </c>
      <c r="AAT33" s="130">
        <f t="shared" si="132"/>
        <v>0</v>
      </c>
      <c r="AAU33" s="130">
        <f t="shared" si="132"/>
        <v>0</v>
      </c>
      <c r="AAV33" s="130">
        <f t="shared" si="132"/>
        <v>0</v>
      </c>
      <c r="AAW33" s="130">
        <f t="shared" si="132"/>
        <v>0</v>
      </c>
      <c r="AAX33" s="130">
        <f t="shared" si="132"/>
        <v>0</v>
      </c>
      <c r="AAY33" s="130">
        <f t="shared" si="132"/>
        <v>0</v>
      </c>
      <c r="AAZ33" s="130">
        <f t="shared" si="132"/>
        <v>0</v>
      </c>
      <c r="ABA33" s="130">
        <f t="shared" si="132"/>
        <v>0</v>
      </c>
      <c r="ABB33" s="130">
        <f t="shared" si="132"/>
        <v>0</v>
      </c>
      <c r="ABC33" s="130">
        <f t="shared" si="132"/>
        <v>0</v>
      </c>
      <c r="ABD33" s="130">
        <f t="shared" si="132"/>
        <v>0</v>
      </c>
      <c r="ABE33" s="130">
        <f t="shared" si="132"/>
        <v>0</v>
      </c>
      <c r="ABF33" s="130">
        <f t="shared" si="132"/>
        <v>0</v>
      </c>
      <c r="ABG33" s="130">
        <f t="shared" si="132"/>
        <v>0</v>
      </c>
      <c r="ABH33" s="130">
        <f t="shared" si="132"/>
        <v>0</v>
      </c>
      <c r="ABI33" s="130">
        <f t="shared" si="132"/>
        <v>0</v>
      </c>
      <c r="ABJ33" s="130">
        <f t="shared" si="132"/>
        <v>0</v>
      </c>
      <c r="ABK33" s="130">
        <f t="shared" si="132"/>
        <v>0</v>
      </c>
      <c r="ABL33" s="130">
        <f t="shared" si="132"/>
        <v>0</v>
      </c>
      <c r="ABM33" s="130">
        <f t="shared" si="132"/>
        <v>0</v>
      </c>
      <c r="ABN33" s="130">
        <f t="shared" si="132"/>
        <v>0</v>
      </c>
      <c r="ABO33" s="130">
        <f t="shared" si="132"/>
        <v>0</v>
      </c>
      <c r="ABP33" s="130">
        <f t="shared" si="132"/>
        <v>0</v>
      </c>
      <c r="ABQ33" s="130">
        <f t="shared" si="132"/>
        <v>0</v>
      </c>
      <c r="ABR33" s="130">
        <f t="shared" si="132"/>
        <v>0</v>
      </c>
      <c r="ABS33" s="130">
        <f t="shared" si="132"/>
        <v>0</v>
      </c>
      <c r="ABT33" s="130">
        <f t="shared" si="132"/>
        <v>0</v>
      </c>
      <c r="ABU33" s="130">
        <f t="shared" si="132"/>
        <v>0</v>
      </c>
      <c r="ABV33" s="130">
        <f t="shared" si="132"/>
        <v>0</v>
      </c>
      <c r="ABW33" s="130">
        <f t="shared" si="132"/>
        <v>0</v>
      </c>
      <c r="ABX33" s="130">
        <f t="shared" si="132"/>
        <v>0</v>
      </c>
      <c r="ABY33" s="130">
        <f t="shared" si="132"/>
        <v>0</v>
      </c>
      <c r="ABZ33" s="130">
        <f t="shared" si="132"/>
        <v>0</v>
      </c>
      <c r="ACA33" s="130">
        <f t="shared" si="132"/>
        <v>0</v>
      </c>
      <c r="ACB33" s="130">
        <f t="shared" si="132"/>
        <v>0</v>
      </c>
      <c r="ACC33" s="130">
        <f t="shared" si="132"/>
        <v>0</v>
      </c>
      <c r="ACD33" s="130">
        <f t="shared" si="132"/>
        <v>0</v>
      </c>
      <c r="ACE33" s="130">
        <f t="shared" si="132"/>
        <v>0</v>
      </c>
      <c r="ACF33" s="130">
        <f t="shared" si="132"/>
        <v>0</v>
      </c>
      <c r="ACG33" s="130">
        <f t="shared" si="132"/>
        <v>0</v>
      </c>
      <c r="ACH33" s="130">
        <f t="shared" si="132"/>
        <v>0</v>
      </c>
      <c r="ACI33" s="130">
        <f t="shared" si="132"/>
        <v>0</v>
      </c>
      <c r="ACJ33" s="130">
        <f t="shared" si="132"/>
        <v>0</v>
      </c>
      <c r="ACK33" s="130">
        <f t="shared" si="132"/>
        <v>0</v>
      </c>
      <c r="ACL33" s="130">
        <f t="shared" si="132"/>
        <v>0</v>
      </c>
      <c r="ACM33" s="130">
        <f t="shared" si="132"/>
        <v>0</v>
      </c>
      <c r="ACN33" s="130">
        <f t="shared" si="132"/>
        <v>0</v>
      </c>
      <c r="ACO33" s="130">
        <f t="shared" si="132"/>
        <v>0</v>
      </c>
      <c r="ACP33" s="130">
        <f t="shared" si="132"/>
        <v>0</v>
      </c>
      <c r="ACQ33" s="130">
        <f t="shared" si="132"/>
        <v>0</v>
      </c>
      <c r="ACR33" s="130">
        <f t="shared" si="132"/>
        <v>0</v>
      </c>
      <c r="ACS33" s="130">
        <f t="shared" si="132"/>
        <v>0</v>
      </c>
      <c r="ACT33" s="130">
        <f t="shared" si="132"/>
        <v>0</v>
      </c>
      <c r="ACU33" s="130">
        <f t="shared" si="132"/>
        <v>0</v>
      </c>
      <c r="ACV33" s="130">
        <f t="shared" si="132"/>
        <v>0</v>
      </c>
      <c r="ACW33" s="130">
        <f t="shared" si="132"/>
        <v>0</v>
      </c>
      <c r="ACX33" s="130">
        <f t="shared" si="132"/>
        <v>0</v>
      </c>
      <c r="ACY33" s="130">
        <f t="shared" si="132"/>
        <v>0</v>
      </c>
      <c r="ACZ33" s="130">
        <f t="shared" si="132"/>
        <v>0</v>
      </c>
      <c r="ADA33" s="130">
        <f t="shared" si="132"/>
        <v>0</v>
      </c>
      <c r="ADB33" s="130">
        <f t="shared" si="132"/>
        <v>0</v>
      </c>
      <c r="ADC33" s="130">
        <f t="shared" ref="ADC33:AEW33" si="133">ROUND(ADC63,0)</f>
        <v>0</v>
      </c>
      <c r="ADD33" s="130">
        <f t="shared" si="133"/>
        <v>0</v>
      </c>
      <c r="ADE33" s="130">
        <f t="shared" si="133"/>
        <v>0</v>
      </c>
      <c r="ADF33" s="130">
        <f t="shared" si="133"/>
        <v>0</v>
      </c>
      <c r="ADG33" s="130">
        <f t="shared" si="133"/>
        <v>0</v>
      </c>
      <c r="ADH33" s="130">
        <f t="shared" si="133"/>
        <v>0</v>
      </c>
      <c r="ADI33" s="130">
        <f t="shared" si="133"/>
        <v>0</v>
      </c>
      <c r="ADJ33" s="130">
        <f t="shared" si="133"/>
        <v>0</v>
      </c>
      <c r="ADK33" s="130">
        <f t="shared" si="133"/>
        <v>0</v>
      </c>
      <c r="ADL33" s="130">
        <f t="shared" si="133"/>
        <v>0</v>
      </c>
      <c r="ADM33" s="130">
        <f t="shared" si="133"/>
        <v>0</v>
      </c>
      <c r="ADN33" s="130">
        <f t="shared" si="133"/>
        <v>0</v>
      </c>
      <c r="ADO33" s="130">
        <f t="shared" si="133"/>
        <v>0</v>
      </c>
      <c r="ADP33" s="130">
        <f t="shared" si="133"/>
        <v>0</v>
      </c>
      <c r="ADQ33" s="130">
        <f t="shared" si="133"/>
        <v>0</v>
      </c>
      <c r="ADR33" s="130">
        <f t="shared" si="133"/>
        <v>0</v>
      </c>
      <c r="ADS33" s="130">
        <f t="shared" si="133"/>
        <v>0</v>
      </c>
      <c r="ADT33" s="130">
        <f t="shared" si="133"/>
        <v>0</v>
      </c>
      <c r="ADU33" s="130">
        <f t="shared" si="133"/>
        <v>0</v>
      </c>
      <c r="ADV33" s="130">
        <f t="shared" si="133"/>
        <v>0</v>
      </c>
      <c r="ADW33" s="130">
        <f t="shared" si="133"/>
        <v>0</v>
      </c>
      <c r="ADX33" s="130">
        <f t="shared" si="133"/>
        <v>0</v>
      </c>
      <c r="ADY33" s="130">
        <f t="shared" si="133"/>
        <v>0</v>
      </c>
      <c r="ADZ33" s="130">
        <f t="shared" si="133"/>
        <v>0</v>
      </c>
      <c r="AEA33" s="130">
        <f t="shared" si="133"/>
        <v>0</v>
      </c>
      <c r="AEB33" s="130">
        <f t="shared" si="133"/>
        <v>0</v>
      </c>
      <c r="AEC33" s="130">
        <f t="shared" si="133"/>
        <v>0</v>
      </c>
      <c r="AED33" s="130">
        <f t="shared" si="133"/>
        <v>0</v>
      </c>
      <c r="AEE33" s="130">
        <f t="shared" si="133"/>
        <v>0</v>
      </c>
      <c r="AEF33" s="130">
        <f t="shared" si="133"/>
        <v>0</v>
      </c>
      <c r="AEG33" s="130">
        <f t="shared" si="133"/>
        <v>0</v>
      </c>
      <c r="AEH33" s="130">
        <f t="shared" si="133"/>
        <v>0</v>
      </c>
      <c r="AEI33" s="130">
        <f t="shared" si="133"/>
        <v>0</v>
      </c>
      <c r="AEJ33" s="130">
        <f t="shared" si="133"/>
        <v>0</v>
      </c>
      <c r="AEK33" s="130">
        <f t="shared" si="133"/>
        <v>0</v>
      </c>
      <c r="AEL33" s="130">
        <f t="shared" si="133"/>
        <v>0</v>
      </c>
      <c r="AEM33" s="130">
        <f t="shared" si="133"/>
        <v>0</v>
      </c>
      <c r="AEN33" s="130">
        <f t="shared" si="133"/>
        <v>0</v>
      </c>
      <c r="AEO33" s="130">
        <f t="shared" si="133"/>
        <v>0</v>
      </c>
      <c r="AEP33" s="130">
        <f t="shared" si="133"/>
        <v>0</v>
      </c>
      <c r="AEQ33" s="130">
        <f t="shared" si="133"/>
        <v>0</v>
      </c>
      <c r="AER33" s="130">
        <f t="shared" si="133"/>
        <v>0</v>
      </c>
      <c r="AES33" s="130">
        <f t="shared" si="133"/>
        <v>0</v>
      </c>
      <c r="AET33" s="130">
        <f t="shared" si="133"/>
        <v>0</v>
      </c>
      <c r="AEU33" s="130">
        <f t="shared" si="133"/>
        <v>0</v>
      </c>
      <c r="AEV33" s="130">
        <f t="shared" si="133"/>
        <v>0</v>
      </c>
      <c r="AEW33" s="130">
        <f t="shared" si="133"/>
        <v>0</v>
      </c>
      <c r="AEX33" s="144" t="s">
        <v>221</v>
      </c>
    </row>
    <row r="34" spans="1:830" ht="22.5" customHeight="1" x14ac:dyDescent="0.25">
      <c r="A34" s="36"/>
      <c r="B34" s="128" t="s">
        <v>632</v>
      </c>
      <c r="C34" s="160">
        <f>REKAP!$J$6</f>
        <v>0</v>
      </c>
      <c r="D34" s="124">
        <f>REKAP!$J$4</f>
        <v>0</v>
      </c>
      <c r="E34" s="159">
        <f>REKAP!$J$5</f>
        <v>0</v>
      </c>
      <c r="F34" s="36"/>
      <c r="G34" s="138" t="s">
        <v>219</v>
      </c>
      <c r="H34" s="4" t="s">
        <v>220</v>
      </c>
      <c r="I34" s="143"/>
      <c r="J34" s="288">
        <f t="shared" si="0"/>
        <v>0</v>
      </c>
      <c r="K34" s="7"/>
      <c r="L34" s="7"/>
      <c r="M34" s="7"/>
      <c r="N34" s="130"/>
      <c r="O34" s="130"/>
      <c r="P34" s="130"/>
      <c r="Q34" s="130"/>
      <c r="R34" s="130"/>
      <c r="S34" s="130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  <c r="CK34" s="130"/>
      <c r="CL34" s="130"/>
      <c r="CM34" s="130"/>
      <c r="CN34" s="130"/>
      <c r="CO34" s="130"/>
      <c r="CP34" s="130"/>
      <c r="CQ34" s="130"/>
      <c r="CR34" s="130"/>
      <c r="CS34" s="130"/>
      <c r="CT34" s="130"/>
      <c r="CU34" s="130"/>
      <c r="CV34" s="130"/>
      <c r="CW34" s="130"/>
      <c r="CX34" s="130"/>
      <c r="CY34" s="130"/>
      <c r="CZ34" s="130"/>
      <c r="DA34" s="130"/>
      <c r="DB34" s="130"/>
      <c r="DC34" s="130"/>
      <c r="DD34" s="130"/>
      <c r="DE34" s="130"/>
      <c r="DF34" s="130"/>
      <c r="DG34" s="130"/>
      <c r="DH34" s="130"/>
      <c r="DI34" s="130"/>
      <c r="DJ34" s="130"/>
      <c r="DK34" s="130"/>
      <c r="DL34" s="130"/>
      <c r="DM34" s="130"/>
      <c r="DN34" s="130"/>
      <c r="DO34" s="130"/>
      <c r="DP34" s="130"/>
      <c r="DQ34" s="130"/>
      <c r="DR34" s="130"/>
      <c r="DS34" s="130"/>
      <c r="DT34" s="130"/>
      <c r="DU34" s="130"/>
      <c r="DV34" s="130"/>
      <c r="DW34" s="130"/>
      <c r="DX34" s="130"/>
      <c r="DY34" s="130"/>
      <c r="DZ34" s="130"/>
      <c r="EA34" s="130"/>
      <c r="EB34" s="130"/>
      <c r="EC34" s="130"/>
      <c r="ED34" s="130"/>
      <c r="EE34" s="130"/>
      <c r="EF34" s="130"/>
      <c r="EG34" s="130"/>
      <c r="EH34" s="130"/>
      <c r="EI34" s="130"/>
      <c r="EJ34" s="130"/>
      <c r="EK34" s="130"/>
      <c r="EL34" s="130"/>
      <c r="EM34" s="130"/>
      <c r="EN34" s="130"/>
      <c r="EO34" s="130"/>
      <c r="EP34" s="130"/>
      <c r="EQ34" s="130"/>
      <c r="ER34" s="130"/>
      <c r="ES34" s="130"/>
      <c r="ET34" s="130"/>
      <c r="EU34" s="130"/>
      <c r="EV34" s="130"/>
      <c r="EW34" s="130"/>
      <c r="EX34" s="130"/>
      <c r="EY34" s="130"/>
      <c r="EZ34" s="130"/>
      <c r="FA34" s="130"/>
      <c r="FB34" s="130"/>
      <c r="FC34" s="130"/>
      <c r="FD34" s="130"/>
      <c r="FE34" s="130"/>
      <c r="FF34" s="130"/>
      <c r="FG34" s="130"/>
      <c r="FH34" s="130"/>
      <c r="FI34" s="130"/>
      <c r="FJ34" s="130"/>
      <c r="FK34" s="130"/>
      <c r="FL34" s="130"/>
      <c r="FM34" s="130"/>
      <c r="FN34" s="130"/>
      <c r="FO34" s="130"/>
      <c r="FP34" s="130"/>
      <c r="FQ34" s="130"/>
      <c r="FR34" s="130"/>
      <c r="FS34" s="130"/>
      <c r="FT34" s="130"/>
      <c r="FU34" s="130"/>
      <c r="FV34" s="130"/>
      <c r="FW34" s="130"/>
      <c r="FX34" s="130"/>
      <c r="FY34" s="130"/>
      <c r="FZ34" s="130"/>
      <c r="GA34" s="130"/>
      <c r="GB34" s="130"/>
      <c r="GC34" s="130"/>
      <c r="GD34" s="130"/>
      <c r="GE34" s="130"/>
      <c r="GF34" s="130"/>
      <c r="GG34" s="130"/>
      <c r="GH34" s="130"/>
      <c r="GI34" s="130"/>
      <c r="GJ34" s="130"/>
      <c r="GK34" s="130"/>
      <c r="GL34" s="130"/>
      <c r="GM34" s="130"/>
      <c r="GN34" s="130"/>
      <c r="GO34" s="130"/>
      <c r="GP34" s="130"/>
      <c r="GQ34" s="130"/>
      <c r="GR34" s="130"/>
      <c r="GS34" s="130"/>
      <c r="GT34" s="130"/>
      <c r="GU34" s="130"/>
      <c r="GV34" s="130"/>
      <c r="GW34" s="130"/>
      <c r="GX34" s="130"/>
      <c r="GY34" s="130"/>
      <c r="GZ34" s="130"/>
      <c r="HA34" s="130"/>
      <c r="HB34" s="130"/>
      <c r="HC34" s="130"/>
      <c r="HD34" s="130"/>
      <c r="HE34" s="130"/>
      <c r="HF34" s="130"/>
      <c r="HG34" s="130"/>
      <c r="HH34" s="130"/>
      <c r="HI34" s="130"/>
      <c r="HJ34" s="130"/>
      <c r="HK34" s="130"/>
      <c r="HL34" s="130"/>
      <c r="HM34" s="130"/>
      <c r="HN34" s="130"/>
      <c r="HO34" s="130"/>
      <c r="HP34" s="130"/>
      <c r="HQ34" s="130"/>
      <c r="HR34" s="130"/>
      <c r="HS34" s="130"/>
      <c r="HT34" s="130"/>
      <c r="HU34" s="130"/>
      <c r="HV34" s="130"/>
      <c r="HW34" s="130"/>
      <c r="HX34" s="130"/>
      <c r="HY34" s="130"/>
      <c r="HZ34" s="130"/>
      <c r="IA34" s="130"/>
      <c r="IB34" s="130"/>
      <c r="IC34" s="130"/>
      <c r="ID34" s="130"/>
      <c r="IE34" s="130"/>
      <c r="IF34" s="130"/>
      <c r="IG34" s="130"/>
      <c r="IH34" s="130"/>
      <c r="II34" s="130"/>
      <c r="IJ34" s="130"/>
      <c r="IK34" s="130"/>
      <c r="IL34" s="130"/>
      <c r="IM34" s="130"/>
      <c r="IN34" s="130"/>
      <c r="IO34" s="130"/>
      <c r="IP34" s="130"/>
      <c r="IQ34" s="130"/>
      <c r="IR34" s="130"/>
      <c r="IS34" s="130"/>
      <c r="IT34" s="130"/>
      <c r="IU34" s="130"/>
      <c r="IV34" s="130"/>
      <c r="IW34" s="130"/>
      <c r="IX34" s="130"/>
      <c r="IY34" s="130"/>
      <c r="IZ34" s="130"/>
      <c r="JA34" s="130"/>
      <c r="JB34" s="130"/>
      <c r="JC34" s="130"/>
      <c r="JD34" s="130"/>
      <c r="JE34" s="130"/>
      <c r="JF34" s="130"/>
      <c r="JG34" s="130"/>
      <c r="JH34" s="130"/>
      <c r="JI34" s="130"/>
      <c r="JJ34" s="130"/>
      <c r="JK34" s="130"/>
      <c r="JL34" s="130"/>
      <c r="JM34" s="130"/>
      <c r="JN34" s="130"/>
      <c r="JO34" s="130"/>
      <c r="JP34" s="130"/>
      <c r="JQ34" s="130"/>
      <c r="JR34" s="130"/>
      <c r="JS34" s="130"/>
      <c r="JT34" s="130"/>
      <c r="JU34" s="130"/>
      <c r="JV34" s="130"/>
      <c r="JW34" s="130"/>
      <c r="JX34" s="130"/>
      <c r="JY34" s="130"/>
      <c r="JZ34" s="130"/>
      <c r="KA34" s="130"/>
      <c r="KB34" s="130"/>
      <c r="KC34" s="130"/>
      <c r="KD34" s="130"/>
      <c r="KE34" s="130"/>
      <c r="KF34" s="130"/>
      <c r="KG34" s="130"/>
      <c r="KH34" s="130"/>
      <c r="KI34" s="130"/>
      <c r="KJ34" s="130"/>
      <c r="KK34" s="130"/>
      <c r="KL34" s="130"/>
      <c r="KM34" s="130"/>
      <c r="KN34" s="130"/>
      <c r="KO34" s="130"/>
      <c r="KP34" s="130"/>
      <c r="KQ34" s="130"/>
      <c r="KR34" s="130"/>
      <c r="KS34" s="130"/>
      <c r="KT34" s="130"/>
      <c r="KU34" s="130"/>
      <c r="KV34" s="130"/>
      <c r="KW34" s="130"/>
      <c r="KX34" s="130"/>
      <c r="KY34" s="130"/>
      <c r="KZ34" s="130"/>
      <c r="LA34" s="130"/>
      <c r="LB34" s="130"/>
      <c r="LC34" s="130"/>
      <c r="LD34" s="130"/>
      <c r="LE34" s="130"/>
      <c r="LF34" s="130"/>
      <c r="LG34" s="130"/>
      <c r="LH34" s="130"/>
      <c r="LI34" s="130"/>
      <c r="LJ34" s="130"/>
      <c r="LK34" s="130"/>
      <c r="LL34" s="130"/>
      <c r="LM34" s="130"/>
      <c r="LN34" s="130"/>
      <c r="LO34" s="130"/>
      <c r="LP34" s="130"/>
      <c r="LQ34" s="130"/>
      <c r="LR34" s="130"/>
      <c r="LS34" s="130"/>
      <c r="LT34" s="130"/>
      <c r="LU34" s="130"/>
      <c r="LV34" s="130"/>
      <c r="LW34" s="130"/>
      <c r="LX34" s="130"/>
      <c r="LY34" s="130"/>
      <c r="LZ34" s="130"/>
      <c r="MA34" s="130"/>
      <c r="MB34" s="130"/>
      <c r="MC34" s="130"/>
      <c r="MD34" s="130"/>
      <c r="ME34" s="130"/>
      <c r="MF34" s="130"/>
      <c r="MG34" s="130"/>
      <c r="MH34" s="130"/>
      <c r="MI34" s="130"/>
      <c r="MJ34" s="130"/>
      <c r="MK34" s="130"/>
      <c r="ML34" s="130"/>
      <c r="MM34" s="130"/>
      <c r="MN34" s="130"/>
      <c r="MO34" s="130"/>
      <c r="MP34" s="130"/>
      <c r="MQ34" s="130"/>
      <c r="MR34" s="130"/>
      <c r="MS34" s="130"/>
      <c r="MT34" s="130"/>
      <c r="MU34" s="130"/>
      <c r="MV34" s="130"/>
      <c r="MW34" s="130"/>
      <c r="MX34" s="130"/>
      <c r="MY34" s="130"/>
      <c r="MZ34" s="130"/>
      <c r="NA34" s="130"/>
      <c r="NB34" s="130"/>
      <c r="NC34" s="130"/>
      <c r="ND34" s="130"/>
      <c r="NE34" s="130"/>
      <c r="NF34" s="130"/>
      <c r="NG34" s="130"/>
      <c r="NH34" s="130"/>
      <c r="NI34" s="130"/>
      <c r="NJ34" s="130"/>
      <c r="NK34" s="130"/>
      <c r="NL34" s="130"/>
      <c r="NM34" s="130"/>
      <c r="NN34" s="130"/>
      <c r="NO34" s="130"/>
      <c r="NP34" s="199"/>
      <c r="NQ34" s="130"/>
      <c r="NR34" s="201"/>
      <c r="NS34" s="130"/>
      <c r="NT34" s="130"/>
      <c r="NU34" s="130"/>
      <c r="NV34" s="130"/>
      <c r="NW34" s="130"/>
      <c r="NX34" s="130"/>
      <c r="NY34" s="130"/>
      <c r="NZ34" s="130"/>
      <c r="OA34" s="130"/>
      <c r="OB34" s="130"/>
      <c r="OC34" s="130"/>
      <c r="OD34" s="130"/>
      <c r="OE34" s="130"/>
      <c r="OF34" s="130"/>
      <c r="OG34" s="130"/>
      <c r="OH34" s="130"/>
      <c r="OI34" s="130"/>
      <c r="OJ34" s="130"/>
      <c r="OK34" s="130"/>
      <c r="OL34" s="130"/>
      <c r="OM34" s="130"/>
      <c r="ON34" s="130"/>
      <c r="OO34" s="130"/>
      <c r="OP34" s="130"/>
      <c r="OQ34" s="130"/>
      <c r="OR34" s="130"/>
      <c r="OS34" s="130"/>
      <c r="OT34" s="130"/>
      <c r="OU34" s="130"/>
      <c r="OV34" s="130"/>
      <c r="OW34" s="130"/>
      <c r="OX34" s="130"/>
      <c r="OY34" s="130"/>
      <c r="OZ34" s="130"/>
      <c r="PA34" s="130"/>
      <c r="PB34" s="130"/>
      <c r="PC34" s="130"/>
      <c r="PD34" s="130"/>
      <c r="PE34" s="130"/>
      <c r="PF34" s="130"/>
      <c r="PG34" s="130"/>
      <c r="PH34" s="130"/>
      <c r="PI34" s="130"/>
      <c r="PJ34" s="130"/>
      <c r="PK34" s="130"/>
      <c r="PL34" s="130"/>
      <c r="PM34" s="130"/>
      <c r="PN34" s="130"/>
      <c r="PO34" s="130"/>
      <c r="PP34" s="130"/>
      <c r="PQ34" s="130"/>
      <c r="PR34" s="130"/>
      <c r="PS34" s="130"/>
      <c r="PT34" s="130"/>
      <c r="PU34" s="130"/>
      <c r="PV34" s="130"/>
      <c r="PW34" s="130"/>
      <c r="PX34" s="130"/>
      <c r="PY34" s="130"/>
      <c r="PZ34" s="130"/>
      <c r="QA34" s="130"/>
      <c r="QB34" s="130"/>
      <c r="QC34" s="130"/>
      <c r="QD34" s="130"/>
      <c r="QE34" s="130"/>
      <c r="QF34" s="130"/>
      <c r="QG34" s="130"/>
      <c r="QH34" s="130"/>
      <c r="QI34" s="130"/>
      <c r="QJ34" s="130"/>
      <c r="QK34" s="130"/>
      <c r="QL34" s="130"/>
      <c r="QM34" s="130"/>
      <c r="QN34" s="130"/>
      <c r="QO34" s="130"/>
      <c r="QP34" s="130"/>
      <c r="QQ34" s="130"/>
      <c r="QR34" s="130"/>
      <c r="QS34" s="130"/>
      <c r="QT34" s="130"/>
      <c r="QU34" s="130"/>
      <c r="QV34" s="130"/>
      <c r="QW34" s="130"/>
      <c r="QX34" s="130"/>
      <c r="QY34" s="130"/>
      <c r="QZ34" s="130"/>
      <c r="RA34" s="130"/>
      <c r="RB34" s="130"/>
      <c r="RC34" s="130"/>
      <c r="RD34" s="130"/>
      <c r="RE34" s="130"/>
      <c r="RF34" s="130"/>
      <c r="RG34" s="130"/>
      <c r="RH34" s="130"/>
      <c r="RI34" s="130"/>
      <c r="RJ34" s="130"/>
      <c r="RK34" s="130"/>
      <c r="RL34" s="130"/>
      <c r="RM34" s="130"/>
      <c r="RN34" s="130"/>
      <c r="RO34" s="130"/>
      <c r="RP34" s="130"/>
      <c r="RQ34" s="130"/>
      <c r="RR34" s="130"/>
      <c r="RS34" s="130"/>
      <c r="RT34" s="130"/>
      <c r="RU34" s="130"/>
      <c r="RV34" s="130"/>
      <c r="RW34" s="130"/>
      <c r="RX34" s="130"/>
      <c r="RY34" s="130"/>
      <c r="RZ34" s="130"/>
      <c r="SA34" s="130"/>
      <c r="SB34" s="130"/>
      <c r="SC34" s="130"/>
      <c r="SD34" s="130"/>
      <c r="SE34" s="130"/>
      <c r="SF34" s="130"/>
      <c r="SG34" s="130"/>
      <c r="SH34" s="130"/>
      <c r="SI34" s="130"/>
      <c r="SJ34" s="130"/>
      <c r="SK34" s="130"/>
      <c r="SL34" s="130"/>
      <c r="SM34" s="130"/>
      <c r="SN34" s="130"/>
      <c r="SO34" s="130"/>
      <c r="SP34" s="130"/>
      <c r="SQ34" s="130"/>
      <c r="SR34" s="130"/>
      <c r="SS34" s="130"/>
      <c r="ST34" s="130"/>
      <c r="SU34" s="130"/>
      <c r="SV34" s="130"/>
      <c r="SW34" s="130"/>
      <c r="SX34" s="130"/>
      <c r="SY34" s="130"/>
      <c r="SZ34" s="130"/>
      <c r="TA34" s="130"/>
      <c r="TB34" s="130"/>
      <c r="TC34" s="130"/>
      <c r="TD34" s="130"/>
      <c r="TE34" s="130"/>
      <c r="TF34" s="130"/>
      <c r="TG34" s="130"/>
      <c r="TH34" s="130"/>
      <c r="TI34" s="130"/>
      <c r="TJ34" s="130"/>
      <c r="TK34" s="130"/>
      <c r="TL34" s="130"/>
      <c r="TM34" s="130"/>
      <c r="TN34" s="130"/>
      <c r="TO34" s="130"/>
      <c r="TP34" s="130"/>
      <c r="TQ34" s="130"/>
      <c r="TR34" s="130"/>
      <c r="TS34" s="130"/>
      <c r="TT34" s="130"/>
      <c r="TU34" s="130"/>
      <c r="TV34" s="130"/>
      <c r="TW34" s="130"/>
      <c r="TX34" s="130"/>
      <c r="TY34" s="130"/>
      <c r="TZ34" s="130"/>
      <c r="UA34" s="130"/>
      <c r="UB34" s="130"/>
      <c r="UC34" s="130"/>
      <c r="UD34" s="140">
        <f>PROD!$I$4</f>
        <v>0</v>
      </c>
      <c r="UE34" s="202">
        <f>PROD!$I$5</f>
        <v>0</v>
      </c>
      <c r="UF34" s="140">
        <f>PROD!$I$6</f>
        <v>0</v>
      </c>
      <c r="UG34" s="140">
        <f>PROD!$I$7</f>
        <v>0</v>
      </c>
      <c r="UH34" s="140">
        <f>PROD!$I$8</f>
        <v>0</v>
      </c>
      <c r="UI34" s="140">
        <f>PROD!$I$9</f>
        <v>0</v>
      </c>
      <c r="UJ34" s="140">
        <f>PROD!$I$10</f>
        <v>0</v>
      </c>
      <c r="UK34" s="140">
        <f>PROD!$I$11</f>
        <v>0</v>
      </c>
      <c r="UL34" s="140">
        <f>PROD!$I$12</f>
        <v>0</v>
      </c>
      <c r="UM34" s="140">
        <f>PROD!$I$13</f>
        <v>0</v>
      </c>
      <c r="UN34" s="140">
        <f>PROD!$I$14</f>
        <v>0</v>
      </c>
      <c r="UO34" s="140">
        <f>PROD!$I$15</f>
        <v>0</v>
      </c>
      <c r="UP34" s="140">
        <f>PROD!$I$16</f>
        <v>0</v>
      </c>
      <c r="UQ34" s="140">
        <f>PROD!$I$17</f>
        <v>0</v>
      </c>
      <c r="UR34" s="140">
        <f>PROD!$I$18</f>
        <v>0</v>
      </c>
      <c r="US34" s="140">
        <f>PROD!$I$19</f>
        <v>0</v>
      </c>
      <c r="UT34" s="140">
        <f>PROD!$I$20</f>
        <v>0</v>
      </c>
      <c r="UU34" s="140">
        <f>PROD!$I$21</f>
        <v>0</v>
      </c>
      <c r="UV34" s="140">
        <f>PROD!$I$22</f>
        <v>0</v>
      </c>
      <c r="UW34" s="140">
        <f>PROD!$I$23</f>
        <v>0</v>
      </c>
      <c r="UX34" s="140">
        <f>PROD!$I$24</f>
        <v>0</v>
      </c>
      <c r="UY34" s="140">
        <f>PROD!$I$25</f>
        <v>0</v>
      </c>
      <c r="UZ34" s="140">
        <f>PROD!$I$26</f>
        <v>0</v>
      </c>
      <c r="VA34" s="140">
        <f>PROD!$I$27</f>
        <v>0</v>
      </c>
      <c r="VB34" s="140">
        <f>PROD!$I$28</f>
        <v>0</v>
      </c>
      <c r="VC34" s="140">
        <f>PROD!$I$29</f>
        <v>0</v>
      </c>
      <c r="VD34" s="140">
        <f>PROD!$I$30</f>
        <v>0</v>
      </c>
      <c r="VE34" s="140">
        <f>PROD!$I$31</f>
        <v>0</v>
      </c>
      <c r="VF34" s="140">
        <f>PROD!$I$32</f>
        <v>0</v>
      </c>
      <c r="VG34" s="140">
        <f>PROD!$I$33</f>
        <v>0</v>
      </c>
      <c r="VH34" s="140">
        <f>PROD!$I$34</f>
        <v>0</v>
      </c>
      <c r="VI34" s="140">
        <f>PROD!$I$35</f>
        <v>0</v>
      </c>
      <c r="VJ34" s="140">
        <f>PROD!$I$36</f>
        <v>0</v>
      </c>
      <c r="VK34" s="140">
        <f>PROD!$I$37</f>
        <v>0</v>
      </c>
      <c r="VL34" s="140">
        <f>PROD!$I$38</f>
        <v>0</v>
      </c>
      <c r="VM34" s="140">
        <f>PROD!$I$39</f>
        <v>0</v>
      </c>
      <c r="VN34" s="140">
        <f>PROD!$I$40</f>
        <v>0</v>
      </c>
      <c r="VO34" s="140">
        <f>PROD!$I$41</f>
        <v>0</v>
      </c>
      <c r="VP34" s="140">
        <f>PROD!$I$42</f>
        <v>0</v>
      </c>
      <c r="VQ34" s="140">
        <f>PROD!$I$43</f>
        <v>0</v>
      </c>
      <c r="VR34" s="140">
        <f>PROD!$I$44</f>
        <v>0</v>
      </c>
      <c r="VS34" s="140">
        <f>PROD!$I$45</f>
        <v>0</v>
      </c>
      <c r="VT34" s="140">
        <f>PROD!$I$46</f>
        <v>0</v>
      </c>
      <c r="VU34" s="140">
        <f>PROD!$I$47</f>
        <v>0</v>
      </c>
      <c r="VV34" s="140">
        <f>PROD!$I$48</f>
        <v>0</v>
      </c>
      <c r="VW34" s="140">
        <f>PROD!$I$49</f>
        <v>0</v>
      </c>
      <c r="VX34" s="140">
        <f>PROD!$I$50</f>
        <v>0</v>
      </c>
      <c r="VY34" s="140">
        <f>PROD!$I$51</f>
        <v>0</v>
      </c>
      <c r="VZ34" s="140">
        <f>PROD!$I$52</f>
        <v>0</v>
      </c>
      <c r="WA34" s="140">
        <f>PROD!$I$53</f>
        <v>0</v>
      </c>
      <c r="WB34" s="140">
        <f>PROD!$I$54</f>
        <v>0</v>
      </c>
      <c r="WC34" s="140">
        <f>PROD!$I$55</f>
        <v>0</v>
      </c>
      <c r="WD34" s="140">
        <f>PROD!$I$56</f>
        <v>0</v>
      </c>
      <c r="WE34" s="140">
        <f>PROD!$I$57</f>
        <v>0</v>
      </c>
      <c r="WF34" s="140">
        <f>PROD!$I$58</f>
        <v>0</v>
      </c>
      <c r="WG34" s="140">
        <f>PROD!$I$59</f>
        <v>0</v>
      </c>
      <c r="WH34" s="140">
        <f>PROD!$I$60</f>
        <v>0</v>
      </c>
      <c r="WI34" s="140">
        <f>PROD!$I$61</f>
        <v>0</v>
      </c>
      <c r="WJ34" s="140">
        <f>PROD!$I$62</f>
        <v>0</v>
      </c>
      <c r="WK34" s="140">
        <f>PROD!$I$63</f>
        <v>0</v>
      </c>
      <c r="WL34" s="140">
        <f>PROD!$I$64</f>
        <v>0</v>
      </c>
      <c r="WM34" s="140">
        <f>PROD!$I$65</f>
        <v>0</v>
      </c>
      <c r="WN34" s="140">
        <f>PROD!$I$66</f>
        <v>0</v>
      </c>
      <c r="WO34" s="140">
        <f>PROD!$I$67</f>
        <v>0</v>
      </c>
      <c r="WP34" s="140">
        <f>PROD!$I$68</f>
        <v>0</v>
      </c>
      <c r="WQ34" s="140">
        <f>PROD!$I$69</f>
        <v>0</v>
      </c>
      <c r="WR34" s="140">
        <f>PROD!$I$70</f>
        <v>0</v>
      </c>
      <c r="WS34" s="140">
        <f>PROD!$I$71</f>
        <v>0</v>
      </c>
      <c r="WT34" s="130"/>
      <c r="WU34" s="130"/>
      <c r="WV34" s="130"/>
      <c r="WW34" s="130"/>
      <c r="WX34" s="130"/>
      <c r="WY34" s="130"/>
      <c r="WZ34" s="130"/>
      <c r="XA34" s="130"/>
      <c r="XB34" s="130"/>
      <c r="XC34" s="130"/>
      <c r="XD34" s="130"/>
      <c r="XE34" s="130"/>
      <c r="XF34" s="130"/>
      <c r="XG34" s="130"/>
      <c r="XH34" s="130"/>
      <c r="XI34" s="130"/>
      <c r="XJ34" s="130"/>
      <c r="XK34" s="130"/>
      <c r="XL34" s="130"/>
      <c r="XM34" s="130"/>
      <c r="XN34" s="130"/>
      <c r="XO34" s="130"/>
      <c r="XP34" s="130"/>
      <c r="XQ34" s="130"/>
      <c r="XR34" s="130"/>
      <c r="XS34" s="130"/>
      <c r="XT34" s="130"/>
      <c r="XU34" s="130"/>
      <c r="XV34" s="130"/>
      <c r="XW34" s="130"/>
      <c r="XX34" s="130"/>
      <c r="XY34" s="130"/>
      <c r="XZ34" s="130"/>
      <c r="YA34" s="130"/>
      <c r="YB34" s="130"/>
      <c r="YC34" s="130"/>
      <c r="YD34" s="130"/>
      <c r="YE34" s="130"/>
      <c r="YF34" s="130"/>
      <c r="YG34" s="130"/>
      <c r="YH34" s="130"/>
      <c r="YI34" s="130"/>
      <c r="YJ34" s="130"/>
      <c r="YK34" s="130"/>
      <c r="YL34" s="130"/>
      <c r="YM34" s="130"/>
      <c r="YN34" s="130"/>
      <c r="YO34" s="130"/>
      <c r="YP34" s="130"/>
      <c r="YQ34" s="130"/>
      <c r="YR34" s="130"/>
      <c r="YS34" s="130"/>
      <c r="YT34" s="130"/>
      <c r="YU34" s="130"/>
      <c r="YV34" s="130"/>
      <c r="YW34" s="130"/>
      <c r="YX34" s="130"/>
      <c r="YY34" s="130"/>
      <c r="YZ34" s="130"/>
      <c r="ZA34" s="130"/>
      <c r="ZB34" s="130"/>
      <c r="ZC34" s="130"/>
      <c r="ZD34" s="130"/>
      <c r="ZE34" s="130"/>
      <c r="ZF34" s="130"/>
      <c r="ZG34" s="130"/>
      <c r="ZH34" s="130"/>
      <c r="ZI34" s="130"/>
      <c r="ZJ34" s="130"/>
      <c r="ZK34" s="130"/>
      <c r="ZL34" s="130"/>
      <c r="ZM34" s="130"/>
      <c r="ZN34" s="130"/>
      <c r="ZO34" s="130"/>
      <c r="ZP34" s="130"/>
      <c r="ZQ34" s="130"/>
      <c r="ZR34" s="130"/>
      <c r="ZS34" s="130"/>
      <c r="ZT34" s="130"/>
      <c r="ZU34" s="130"/>
      <c r="ZV34" s="130"/>
      <c r="ZW34" s="130"/>
      <c r="ZX34" s="130"/>
      <c r="ZY34" s="130"/>
      <c r="ZZ34" s="130"/>
      <c r="AAA34" s="130"/>
      <c r="AAB34" s="130"/>
      <c r="AAC34" s="130"/>
      <c r="AAD34" s="130"/>
      <c r="AAE34" s="130"/>
      <c r="AAF34" s="130"/>
      <c r="AAG34" s="130"/>
      <c r="AAH34" s="130"/>
      <c r="AAI34" s="130"/>
      <c r="AAJ34" s="130"/>
      <c r="AAK34" s="130"/>
      <c r="AAL34" s="130"/>
      <c r="AAM34" s="130"/>
      <c r="AAN34" s="130"/>
      <c r="AAO34" s="130"/>
      <c r="AAP34" s="130"/>
      <c r="AAQ34" s="130"/>
      <c r="AAR34" s="130"/>
      <c r="AAS34" s="130"/>
      <c r="AAT34" s="130"/>
      <c r="AAU34" s="130"/>
      <c r="AAV34" s="130"/>
      <c r="AAW34" s="130"/>
      <c r="AAX34" s="130"/>
      <c r="AAY34" s="130"/>
      <c r="AAZ34" s="130"/>
      <c r="ABA34" s="130"/>
      <c r="ABB34" s="130"/>
      <c r="ABC34" s="130"/>
      <c r="ABD34" s="130"/>
      <c r="ABE34" s="130"/>
      <c r="ABF34" s="130"/>
      <c r="ABG34" s="130"/>
      <c r="ABH34" s="130"/>
      <c r="ABI34" s="130"/>
      <c r="ABJ34" s="130"/>
      <c r="ABK34" s="130"/>
      <c r="ABL34" s="130"/>
      <c r="ABM34" s="130"/>
      <c r="ABN34" s="130"/>
      <c r="ABO34" s="130"/>
      <c r="ABP34" s="130"/>
      <c r="ABQ34" s="130"/>
      <c r="ABR34" s="130"/>
      <c r="ABS34" s="130"/>
      <c r="ABT34" s="130"/>
      <c r="ABU34" s="130"/>
      <c r="ABV34" s="130"/>
      <c r="ABW34" s="130"/>
      <c r="ABX34" s="130"/>
      <c r="ABY34" s="130"/>
      <c r="ABZ34" s="130"/>
      <c r="ACA34" s="130"/>
      <c r="ACB34" s="130"/>
      <c r="ACC34" s="130"/>
      <c r="ACD34" s="130"/>
      <c r="ACE34" s="130"/>
      <c r="ACF34" s="130"/>
      <c r="ACG34" s="130"/>
      <c r="ACH34" s="130"/>
      <c r="ACI34" s="130"/>
      <c r="ACJ34" s="130"/>
      <c r="ACK34" s="130"/>
      <c r="ACL34" s="130"/>
      <c r="ACM34" s="130"/>
      <c r="ACN34" s="130"/>
      <c r="ACO34" s="130"/>
      <c r="ACP34" s="130"/>
      <c r="ACQ34" s="130"/>
      <c r="ACR34" s="130"/>
      <c r="ACS34" s="130"/>
      <c r="ACT34" s="130"/>
      <c r="ACU34" s="130"/>
      <c r="ACV34" s="130"/>
      <c r="ACW34" s="130"/>
      <c r="ACX34" s="130"/>
      <c r="ACY34" s="130"/>
      <c r="ACZ34" s="130"/>
      <c r="ADA34" s="130"/>
      <c r="ADB34" s="130"/>
      <c r="ADC34" s="130"/>
      <c r="ADD34" s="130"/>
      <c r="ADE34" s="130"/>
      <c r="ADF34" s="130"/>
      <c r="ADG34" s="130"/>
      <c r="ADH34" s="130"/>
      <c r="ADI34" s="130"/>
      <c r="ADJ34" s="130"/>
      <c r="ADK34" s="130"/>
      <c r="ADL34" s="130"/>
      <c r="ADM34" s="130"/>
      <c r="ADN34" s="130"/>
      <c r="ADO34" s="130"/>
      <c r="ADP34" s="130"/>
      <c r="ADQ34" s="130"/>
      <c r="ADR34" s="130"/>
      <c r="ADS34" s="130"/>
      <c r="ADT34" s="130"/>
      <c r="ADU34" s="130"/>
      <c r="ADV34" s="130"/>
      <c r="ADW34" s="130"/>
      <c r="ADX34" s="130"/>
      <c r="ADY34" s="130"/>
      <c r="ADZ34" s="130"/>
      <c r="AEA34" s="130"/>
      <c r="AEB34" s="130"/>
      <c r="AEC34" s="130"/>
      <c r="AED34" s="130"/>
      <c r="AEE34" s="130"/>
      <c r="AEF34" s="130"/>
      <c r="AEG34" s="130"/>
      <c r="AEH34" s="130"/>
      <c r="AEI34" s="130"/>
      <c r="AEJ34" s="130"/>
      <c r="AEK34" s="130"/>
      <c r="AEL34" s="130"/>
      <c r="AEM34" s="130"/>
      <c r="AEN34" s="130"/>
      <c r="AEO34" s="130"/>
      <c r="AEP34" s="130"/>
      <c r="AEQ34" s="130"/>
      <c r="AER34" s="130"/>
      <c r="AES34" s="130"/>
      <c r="AET34" s="130"/>
      <c r="AEU34" s="130"/>
      <c r="AEV34" s="130"/>
      <c r="AEW34" s="130"/>
    </row>
    <row r="35" spans="1:830" ht="22.5" customHeight="1" x14ac:dyDescent="0.25">
      <c r="A35" s="36"/>
      <c r="B35" s="128" t="s">
        <v>320</v>
      </c>
      <c r="C35" s="160">
        <f>REKAP!$J$6</f>
        <v>0</v>
      </c>
      <c r="D35" s="124">
        <f>REKAP!$J$4</f>
        <v>0</v>
      </c>
      <c r="E35" s="159">
        <f>REKAP!$J$5</f>
        <v>0</v>
      </c>
      <c r="F35" s="36"/>
      <c r="G35" s="138" t="s">
        <v>218</v>
      </c>
      <c r="H35" s="4" t="s">
        <v>220</v>
      </c>
      <c r="I35" s="143"/>
      <c r="J35" s="141">
        <f t="shared" si="0"/>
        <v>0</v>
      </c>
      <c r="K35" s="7"/>
      <c r="L35" s="7"/>
      <c r="M35" s="7"/>
      <c r="N35" s="130"/>
      <c r="O35" s="7"/>
      <c r="P35" s="7"/>
      <c r="Q35" s="7"/>
      <c r="R35" s="7"/>
      <c r="S35" s="7"/>
      <c r="T35" s="130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130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130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140"/>
      <c r="CA35" s="7"/>
      <c r="CB35" s="7"/>
      <c r="CC35" s="7"/>
      <c r="CD35" s="7"/>
      <c r="CE35" s="7"/>
      <c r="CF35" s="7"/>
      <c r="CG35" s="7"/>
      <c r="CH35" s="7"/>
      <c r="CI35" s="7"/>
      <c r="CJ35" s="129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130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140"/>
      <c r="HC35" s="140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140"/>
      <c r="HU35" s="4"/>
      <c r="HV35" s="4"/>
      <c r="HW35" s="7"/>
      <c r="HX35" s="130"/>
      <c r="HY35" s="130"/>
      <c r="HZ35" s="130"/>
      <c r="IA35" s="130"/>
      <c r="IB35" s="130"/>
      <c r="IC35" s="130"/>
      <c r="ID35" s="7"/>
      <c r="IE35" s="7"/>
      <c r="IF35" s="7"/>
      <c r="IG35" s="7"/>
      <c r="IH35" s="7"/>
      <c r="II35" s="7"/>
      <c r="IJ35" s="7"/>
      <c r="IK35" s="7"/>
      <c r="IL35" s="140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140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140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140"/>
      <c r="KA35" s="7"/>
      <c r="KB35" s="7"/>
      <c r="KC35" s="7"/>
      <c r="KD35" s="7"/>
      <c r="KE35" s="7"/>
      <c r="KF35" s="140"/>
      <c r="KG35" s="140"/>
      <c r="KH35" s="140"/>
      <c r="KI35" s="140"/>
      <c r="KJ35" s="140"/>
      <c r="KK35" s="4"/>
      <c r="KL35" s="7"/>
      <c r="KM35" s="7"/>
      <c r="KN35" s="7"/>
      <c r="KO35" s="7"/>
      <c r="KP35" s="7"/>
      <c r="KQ35" s="7"/>
      <c r="KR35" s="140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140"/>
      <c r="LE35" s="7"/>
      <c r="LF35" s="7"/>
      <c r="LG35" s="140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140"/>
      <c r="MB35" s="7"/>
      <c r="MC35" s="7"/>
      <c r="MD35" s="7"/>
      <c r="ME35" s="7"/>
      <c r="MF35" s="7"/>
      <c r="MG35" s="140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140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198"/>
      <c r="NQ35" s="140"/>
      <c r="NR35" s="202"/>
      <c r="NS35" s="140"/>
      <c r="NT35" s="140"/>
      <c r="NU35" s="140"/>
      <c r="NV35" s="140"/>
      <c r="NW35" s="140"/>
      <c r="NX35" s="140"/>
      <c r="NY35" s="140"/>
      <c r="NZ35" s="140"/>
      <c r="OA35" s="140"/>
      <c r="OB35" s="140"/>
      <c r="OC35" s="140"/>
      <c r="OD35" s="140"/>
      <c r="OE35" s="140"/>
      <c r="OF35" s="140"/>
      <c r="OG35" s="140"/>
      <c r="OH35" s="140"/>
      <c r="OI35" s="140"/>
      <c r="OJ35" s="140"/>
      <c r="OK35" s="140"/>
      <c r="OL35" s="140"/>
      <c r="OM35" s="140"/>
      <c r="ON35" s="140"/>
      <c r="OO35" s="140"/>
      <c r="OP35" s="140"/>
      <c r="OQ35" s="140"/>
      <c r="OR35" s="140"/>
      <c r="OS35" s="140"/>
      <c r="OT35" s="140"/>
      <c r="OU35" s="140"/>
      <c r="OV35" s="140"/>
      <c r="OW35" s="140"/>
      <c r="OX35" s="140"/>
      <c r="OY35" s="140"/>
      <c r="OZ35" s="140"/>
      <c r="PA35" s="140"/>
      <c r="PB35" s="140"/>
      <c r="PC35" s="140"/>
      <c r="PD35" s="140"/>
      <c r="PE35" s="140"/>
      <c r="PF35" s="140"/>
      <c r="PG35" s="140"/>
      <c r="PH35" s="140"/>
      <c r="PI35" s="140"/>
      <c r="PJ35" s="140"/>
      <c r="PK35" s="140"/>
      <c r="PL35" s="140"/>
      <c r="PM35" s="140"/>
      <c r="PN35" s="140"/>
      <c r="PO35" s="140"/>
      <c r="PP35" s="140"/>
      <c r="PQ35" s="140"/>
      <c r="PR35" s="140"/>
      <c r="PS35" s="140"/>
      <c r="PT35" s="140"/>
      <c r="PU35" s="140"/>
      <c r="PV35" s="140"/>
      <c r="PW35" s="140"/>
      <c r="PX35" s="140"/>
      <c r="PY35" s="140"/>
      <c r="PZ35" s="140"/>
      <c r="QA35" s="140"/>
      <c r="QB35" s="140"/>
      <c r="QC35" s="140"/>
      <c r="QD35" s="140"/>
      <c r="QE35" s="140"/>
      <c r="QF35" s="140"/>
      <c r="QG35" s="140"/>
      <c r="QH35" s="140"/>
      <c r="QI35" s="140"/>
      <c r="QJ35" s="140"/>
      <c r="QK35" s="140"/>
      <c r="QL35" s="140"/>
      <c r="QM35" s="140"/>
      <c r="QN35" s="140"/>
      <c r="QO35" s="140">
        <f>'AKM &amp; P5'!$H$5</f>
        <v>0</v>
      </c>
      <c r="QP35" s="140">
        <f>'AKM &amp; P5'!$H$6</f>
        <v>0</v>
      </c>
      <c r="QQ35" s="140">
        <f>'AKM &amp; P5'!$H$7</f>
        <v>0</v>
      </c>
      <c r="QR35" s="140">
        <f>'AKM &amp; P5'!$H$8</f>
        <v>0</v>
      </c>
      <c r="QS35" s="140">
        <f>'AKM &amp; P5'!$H$9</f>
        <v>0</v>
      </c>
      <c r="QT35" s="140">
        <f>'AKM &amp; P5'!$H$10</f>
        <v>0</v>
      </c>
      <c r="QU35" s="140">
        <f>'AKM &amp; P5'!$H$11</f>
        <v>0</v>
      </c>
      <c r="QV35" s="140">
        <f>'AKM &amp; P5'!$H$12</f>
        <v>0</v>
      </c>
      <c r="QW35" s="140">
        <f>'AKM &amp; P5'!$H$13</f>
        <v>0</v>
      </c>
      <c r="QX35" s="140">
        <f>'AKM &amp; P5'!$H$14</f>
        <v>0</v>
      </c>
      <c r="QY35" s="140">
        <f>'AKM &amp; P5'!$H$15</f>
        <v>0</v>
      </c>
      <c r="QZ35" s="140">
        <f>'AKM &amp; P5'!$H$16</f>
        <v>0</v>
      </c>
      <c r="RA35" s="140">
        <f>'AKM &amp; P5'!$H$17</f>
        <v>0</v>
      </c>
      <c r="RB35" s="140">
        <f>'AKM &amp; P5'!$H$18</f>
        <v>0</v>
      </c>
      <c r="RC35" s="140">
        <f>'AKM &amp; P5'!$H$19</f>
        <v>0</v>
      </c>
      <c r="RD35" s="140">
        <f>'AKM &amp; P5'!$H$20</f>
        <v>0</v>
      </c>
      <c r="RE35" s="140">
        <f>'AKM &amp; P5'!$H$21</f>
        <v>0</v>
      </c>
      <c r="RF35" s="140">
        <f>'AKM &amp; P5'!$H$22</f>
        <v>0</v>
      </c>
      <c r="RG35" s="7"/>
      <c r="RH35" s="7"/>
      <c r="RI35" s="7"/>
      <c r="RJ35" s="7"/>
      <c r="RK35" s="7"/>
      <c r="RL35" s="7"/>
      <c r="RM35" s="7"/>
      <c r="RN35" s="7"/>
      <c r="RO35" s="36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36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36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7"/>
      <c r="YG35" s="7"/>
      <c r="YH35" s="7"/>
      <c r="YI35" s="7"/>
      <c r="YJ35" s="7"/>
      <c r="YK35" s="7"/>
      <c r="YL35" s="7"/>
      <c r="YM35" s="7"/>
      <c r="YN35" s="7"/>
      <c r="YO35" s="7"/>
      <c r="YP35" s="7"/>
      <c r="YQ35" s="7"/>
      <c r="YR35" s="7"/>
      <c r="YS35" s="7"/>
      <c r="YT35" s="7"/>
      <c r="YU35" s="7"/>
      <c r="YV35" s="7"/>
      <c r="YW35" s="7"/>
      <c r="YX35" s="7"/>
      <c r="YY35" s="7"/>
      <c r="YZ35" s="7"/>
      <c r="ZA35" s="7"/>
      <c r="ZB35" s="7"/>
      <c r="ZC35" s="7"/>
      <c r="ZD35" s="7"/>
      <c r="ZE35" s="7"/>
      <c r="ZF35" s="7"/>
      <c r="ZG35" s="7"/>
      <c r="ZH35" s="7"/>
      <c r="ZI35" s="7"/>
      <c r="ZJ35" s="7"/>
      <c r="ZK35" s="7"/>
      <c r="ZL35" s="7"/>
      <c r="ZM35" s="7"/>
      <c r="ZN35" s="7"/>
      <c r="ZO35" s="7"/>
      <c r="ZP35" s="7"/>
      <c r="ZQ35" s="7"/>
      <c r="ZR35" s="7"/>
      <c r="ZS35" s="7"/>
      <c r="ZT35" s="7"/>
      <c r="ZU35" s="7"/>
      <c r="ZV35" s="4"/>
      <c r="ZW35" s="7"/>
      <c r="ZX35" s="7"/>
      <c r="ZY35" s="7"/>
      <c r="ZZ35" s="7"/>
      <c r="AAA35" s="7"/>
      <c r="AAB35" s="7"/>
      <c r="AAC35" s="7"/>
      <c r="AAD35" s="7"/>
      <c r="AAE35" s="7"/>
      <c r="AAF35" s="36"/>
      <c r="AAG35" s="7"/>
      <c r="AAH35" s="7"/>
      <c r="AAI35" s="7"/>
      <c r="AAJ35" s="7"/>
      <c r="AAK35" s="7"/>
      <c r="AAL35" s="7"/>
      <c r="AAM35" s="7"/>
      <c r="AAN35" s="7"/>
      <c r="AAO35" s="7"/>
      <c r="AAP35" s="7"/>
      <c r="AAQ35" s="7"/>
      <c r="AAR35" s="7"/>
      <c r="AAS35" s="7"/>
      <c r="AAT35" s="7"/>
      <c r="AAU35" s="7"/>
      <c r="AAV35" s="7"/>
      <c r="AAW35" s="7"/>
      <c r="AAX35" s="7"/>
      <c r="AAY35" s="7"/>
      <c r="AAZ35" s="4"/>
      <c r="ABA35" s="7"/>
      <c r="ABB35" s="7"/>
      <c r="ABC35" s="7"/>
      <c r="ABD35" s="7"/>
      <c r="ABE35" s="7"/>
      <c r="ABF35" s="7"/>
      <c r="ABG35" s="7"/>
      <c r="ABH35" s="7"/>
      <c r="ABI35" s="7"/>
      <c r="ABJ35" s="7"/>
      <c r="ABK35" s="7"/>
      <c r="ABL35" s="7"/>
      <c r="ABM35" s="7"/>
      <c r="ABN35" s="7"/>
      <c r="ABO35" s="7"/>
      <c r="ABP35" s="7"/>
      <c r="ABQ35" s="7"/>
      <c r="ABR35" s="7"/>
      <c r="ABS35" s="7"/>
      <c r="ABT35" s="7"/>
      <c r="ABU35" s="7"/>
      <c r="ABV35" s="7"/>
      <c r="ABW35" s="7"/>
      <c r="ABX35" s="7"/>
      <c r="ABY35" s="7"/>
      <c r="ABZ35" s="7"/>
      <c r="ACA35" s="7"/>
      <c r="ACB35" s="7"/>
      <c r="ACC35" s="7"/>
      <c r="ACD35" s="7"/>
      <c r="ACE35" s="7"/>
      <c r="ACF35" s="7"/>
      <c r="ACG35" s="7"/>
      <c r="ACH35" s="7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144" t="s">
        <v>221</v>
      </c>
    </row>
    <row r="36" spans="1:830" ht="22.5" customHeight="1" x14ac:dyDescent="0.25">
      <c r="A36" s="36"/>
      <c r="B36" s="128" t="s">
        <v>635</v>
      </c>
      <c r="C36" s="160">
        <f>REKAP!$J$6</f>
        <v>0</v>
      </c>
      <c r="D36" s="124"/>
      <c r="E36" s="159"/>
      <c r="F36" s="36"/>
      <c r="G36" s="138" t="s">
        <v>219</v>
      </c>
      <c r="H36" s="4" t="s">
        <v>193</v>
      </c>
      <c r="I36" s="143"/>
      <c r="J36" s="141">
        <f t="shared" si="0"/>
        <v>0</v>
      </c>
      <c r="K36" s="7"/>
      <c r="L36" s="7"/>
      <c r="M36" s="7"/>
      <c r="N36" s="130"/>
      <c r="O36" s="7"/>
      <c r="P36" s="7"/>
      <c r="Q36" s="7"/>
      <c r="R36" s="7"/>
      <c r="S36" s="7"/>
      <c r="T36" s="130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130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130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140"/>
      <c r="CA36" s="7"/>
      <c r="CB36" s="7"/>
      <c r="CC36" s="7"/>
      <c r="CD36" s="7"/>
      <c r="CE36" s="7"/>
      <c r="CF36" s="7"/>
      <c r="CG36" s="7"/>
      <c r="CH36" s="7"/>
      <c r="CI36" s="7"/>
      <c r="CJ36" s="129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130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140"/>
      <c r="HC36" s="140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140"/>
      <c r="HU36" s="4"/>
      <c r="HV36" s="4"/>
      <c r="HW36" s="7"/>
      <c r="HX36" s="130"/>
      <c r="HY36" s="130"/>
      <c r="HZ36" s="130"/>
      <c r="IA36" s="130"/>
      <c r="IB36" s="130"/>
      <c r="IC36" s="130"/>
      <c r="ID36" s="7"/>
      <c r="IE36" s="7"/>
      <c r="IF36" s="7"/>
      <c r="IG36" s="7"/>
      <c r="IH36" s="7"/>
      <c r="II36" s="7"/>
      <c r="IJ36" s="7"/>
      <c r="IK36" s="7"/>
      <c r="IL36" s="140"/>
      <c r="IM36" s="7"/>
      <c r="IN36" s="7"/>
      <c r="IO36" s="7"/>
      <c r="IP36" s="7"/>
      <c r="IQ36" s="7"/>
      <c r="IR36" s="7"/>
      <c r="IS36" s="7"/>
      <c r="IT36" s="7"/>
      <c r="IU36" s="7"/>
      <c r="IV36" s="7"/>
      <c r="IW36" s="7"/>
      <c r="IX36" s="7"/>
      <c r="IY36" s="7"/>
      <c r="IZ36" s="7"/>
      <c r="JA36" s="7"/>
      <c r="JB36" s="7"/>
      <c r="JC36" s="140"/>
      <c r="JD36" s="7"/>
      <c r="JE36" s="7"/>
      <c r="JF36" s="7"/>
      <c r="JG36" s="7"/>
      <c r="JH36" s="7"/>
      <c r="JI36" s="7"/>
      <c r="JJ36" s="7"/>
      <c r="JK36" s="7"/>
      <c r="JL36" s="7"/>
      <c r="JM36" s="7"/>
      <c r="JN36" s="140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140"/>
      <c r="KA36" s="7"/>
      <c r="KB36" s="7"/>
      <c r="KC36" s="7"/>
      <c r="KD36" s="7"/>
      <c r="KE36" s="7"/>
      <c r="KF36" s="140"/>
      <c r="KG36" s="140"/>
      <c r="KH36" s="140"/>
      <c r="KI36" s="140"/>
      <c r="KJ36" s="140"/>
      <c r="KK36" s="4"/>
      <c r="KL36" s="7"/>
      <c r="KM36" s="7"/>
      <c r="KN36" s="7"/>
      <c r="KO36" s="7"/>
      <c r="KP36" s="7"/>
      <c r="KQ36" s="7"/>
      <c r="KR36" s="140"/>
      <c r="KS36" s="7"/>
      <c r="KT36" s="7"/>
      <c r="KU36" s="7"/>
      <c r="KV36" s="7"/>
      <c r="KW36" s="7"/>
      <c r="KX36" s="7"/>
      <c r="KY36" s="7"/>
      <c r="KZ36" s="7"/>
      <c r="LA36" s="7"/>
      <c r="LB36" s="7"/>
      <c r="LC36" s="7"/>
      <c r="LD36" s="140"/>
      <c r="LE36" s="7"/>
      <c r="LF36" s="7"/>
      <c r="LG36" s="140"/>
      <c r="LH36" s="7"/>
      <c r="LI36" s="7"/>
      <c r="LJ36" s="7"/>
      <c r="LK36" s="7"/>
      <c r="LL36" s="7"/>
      <c r="LM36" s="7"/>
      <c r="LN36" s="7"/>
      <c r="LO36" s="7"/>
      <c r="LP36" s="7"/>
      <c r="LQ36" s="7"/>
      <c r="LR36" s="7"/>
      <c r="LS36" s="7"/>
      <c r="LT36" s="7"/>
      <c r="LU36" s="7"/>
      <c r="LV36" s="7"/>
      <c r="LW36" s="7"/>
      <c r="LX36" s="7"/>
      <c r="LY36" s="7"/>
      <c r="LZ36" s="7"/>
      <c r="MA36" s="140"/>
      <c r="MB36" s="7"/>
      <c r="MC36" s="7"/>
      <c r="MD36" s="7"/>
      <c r="ME36" s="7"/>
      <c r="MF36" s="7"/>
      <c r="MG36" s="140"/>
      <c r="MH36" s="7"/>
      <c r="MI36" s="7"/>
      <c r="MJ36" s="7"/>
      <c r="MK36" s="7"/>
      <c r="ML36" s="7"/>
      <c r="MM36" s="7"/>
      <c r="MN36" s="7"/>
      <c r="MO36" s="7"/>
      <c r="MP36" s="7"/>
      <c r="MQ36" s="7"/>
      <c r="MR36" s="7"/>
      <c r="MS36" s="7"/>
      <c r="MT36" s="7"/>
      <c r="MU36" s="7"/>
      <c r="MV36" s="7"/>
      <c r="MW36" s="7"/>
      <c r="MX36" s="7"/>
      <c r="MY36" s="7"/>
      <c r="MZ36" s="7"/>
      <c r="NA36" s="7"/>
      <c r="NB36" s="7"/>
      <c r="NC36" s="7"/>
      <c r="ND36" s="140"/>
      <c r="NE36" s="7"/>
      <c r="NF36" s="7"/>
      <c r="NG36" s="7"/>
      <c r="NH36" s="7"/>
      <c r="NI36" s="7"/>
      <c r="NJ36" s="7"/>
      <c r="NK36" s="7"/>
      <c r="NL36" s="7"/>
      <c r="NM36" s="7"/>
      <c r="NN36" s="7"/>
      <c r="NO36" s="7"/>
      <c r="NP36" s="198"/>
      <c r="NQ36" s="140"/>
      <c r="NR36" s="202"/>
      <c r="NS36" s="140"/>
      <c r="NT36" s="140"/>
      <c r="NU36" s="140"/>
      <c r="NV36" s="140"/>
      <c r="NW36" s="140"/>
      <c r="NX36" s="140"/>
      <c r="NY36" s="140"/>
      <c r="NZ36" s="140"/>
      <c r="OA36" s="140"/>
      <c r="OB36" s="140"/>
      <c r="OC36" s="140"/>
      <c r="OD36" s="140"/>
      <c r="OE36" s="140"/>
      <c r="OF36" s="140"/>
      <c r="OG36" s="140"/>
      <c r="OH36" s="140"/>
      <c r="OI36" s="140"/>
      <c r="OJ36" s="140"/>
      <c r="OK36" s="140"/>
      <c r="OL36" s="140"/>
      <c r="OM36" s="140"/>
      <c r="ON36" s="140"/>
      <c r="OO36" s="140"/>
      <c r="OP36" s="140"/>
      <c r="OQ36" s="140"/>
      <c r="OR36" s="140"/>
      <c r="OS36" s="140"/>
      <c r="OT36" s="140"/>
      <c r="OU36" s="140"/>
      <c r="OV36" s="140"/>
      <c r="OW36" s="140"/>
      <c r="OX36" s="140"/>
      <c r="OY36" s="140"/>
      <c r="OZ36" s="140"/>
      <c r="PA36" s="140"/>
      <c r="PB36" s="140"/>
      <c r="PC36" s="140"/>
      <c r="PD36" s="140"/>
      <c r="PE36" s="140"/>
      <c r="PF36" s="140"/>
      <c r="PG36" s="140"/>
      <c r="PH36" s="140"/>
      <c r="PI36" s="140"/>
      <c r="PJ36" s="140"/>
      <c r="PK36" s="140"/>
      <c r="PL36" s="140"/>
      <c r="PM36" s="140"/>
      <c r="PN36" s="140"/>
      <c r="PO36" s="140"/>
      <c r="PP36" s="140"/>
      <c r="PQ36" s="140"/>
      <c r="PR36" s="140"/>
      <c r="PS36" s="140"/>
      <c r="PT36" s="140"/>
      <c r="PU36" s="140"/>
      <c r="PV36" s="140"/>
      <c r="PW36" s="140"/>
      <c r="PX36" s="140"/>
      <c r="PY36" s="140"/>
      <c r="PZ36" s="140"/>
      <c r="QA36" s="140"/>
      <c r="QB36" s="140"/>
      <c r="QC36" s="140"/>
      <c r="QD36" s="140"/>
      <c r="QE36" s="140"/>
      <c r="QF36" s="140"/>
      <c r="QG36" s="140"/>
      <c r="QH36" s="140"/>
      <c r="QI36" s="140"/>
      <c r="QJ36" s="140"/>
      <c r="QK36" s="140"/>
      <c r="QL36" s="140"/>
      <c r="QM36" s="140"/>
      <c r="QN36" s="140"/>
      <c r="QO36" s="130">
        <f>ROUND(QO66,0)</f>
        <v>0</v>
      </c>
      <c r="QP36" s="130">
        <f t="shared" ref="QP36:QT36" si="134">ROUND(QP66,0)</f>
        <v>0</v>
      </c>
      <c r="QQ36" s="130">
        <f t="shared" si="134"/>
        <v>0</v>
      </c>
      <c r="QR36" s="130">
        <f t="shared" si="134"/>
        <v>0</v>
      </c>
      <c r="QS36" s="130">
        <f t="shared" si="134"/>
        <v>0</v>
      </c>
      <c r="QT36" s="130">
        <f t="shared" si="134"/>
        <v>0</v>
      </c>
      <c r="QU36" s="7"/>
      <c r="QV36" s="7"/>
      <c r="QW36" s="7"/>
      <c r="QX36" s="7"/>
      <c r="QY36" s="7"/>
      <c r="QZ36" s="7"/>
      <c r="RA36" s="7"/>
      <c r="RB36" s="7"/>
      <c r="RC36" s="7"/>
      <c r="RD36" s="7"/>
      <c r="RE36" s="7"/>
      <c r="RF36" s="7"/>
      <c r="RG36" s="7"/>
      <c r="RH36" s="7"/>
      <c r="RI36" s="7"/>
      <c r="RJ36" s="7"/>
      <c r="RK36" s="7"/>
      <c r="RL36" s="7"/>
      <c r="RM36" s="7"/>
      <c r="RN36" s="7"/>
      <c r="RO36" s="36"/>
      <c r="RP36" s="7"/>
      <c r="RQ36" s="7"/>
      <c r="RR36" s="7"/>
      <c r="RS36" s="7"/>
      <c r="RT36" s="7"/>
      <c r="RU36" s="7"/>
      <c r="RV36" s="7"/>
      <c r="RW36" s="7"/>
      <c r="RX36" s="7"/>
      <c r="RY36" s="7"/>
      <c r="RZ36" s="7"/>
      <c r="SA36" s="7"/>
      <c r="SB36" s="36"/>
      <c r="SC36" s="7"/>
      <c r="SD36" s="7"/>
      <c r="SE36" s="7"/>
      <c r="SF36" s="7"/>
      <c r="SG36" s="7"/>
      <c r="SH36" s="7"/>
      <c r="SI36" s="7"/>
      <c r="SJ36" s="7"/>
      <c r="SK36" s="7"/>
      <c r="SL36" s="7"/>
      <c r="SM36" s="7"/>
      <c r="SN36" s="7"/>
      <c r="SO36" s="7"/>
      <c r="SP36" s="7"/>
      <c r="SQ36" s="7"/>
      <c r="SR36" s="7"/>
      <c r="SS36" s="7"/>
      <c r="ST36" s="7"/>
      <c r="SU36" s="7"/>
      <c r="SV36" s="7"/>
      <c r="SW36" s="7"/>
      <c r="SX36" s="7"/>
      <c r="SY36" s="7"/>
      <c r="SZ36" s="7"/>
      <c r="TA36" s="7"/>
      <c r="TB36" s="7"/>
      <c r="TC36" s="7"/>
      <c r="TD36" s="36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7"/>
      <c r="YG36" s="7"/>
      <c r="YH36" s="7"/>
      <c r="YI36" s="7"/>
      <c r="YJ36" s="7"/>
      <c r="YK36" s="7"/>
      <c r="YL36" s="7"/>
      <c r="YM36" s="7"/>
      <c r="YN36" s="7"/>
      <c r="YO36" s="7"/>
      <c r="YP36" s="7"/>
      <c r="YQ36" s="7"/>
      <c r="YR36" s="7"/>
      <c r="YS36" s="7"/>
      <c r="YT36" s="7"/>
      <c r="YU36" s="7"/>
      <c r="YV36" s="7"/>
      <c r="YW36" s="7"/>
      <c r="YX36" s="7"/>
      <c r="YY36" s="7"/>
      <c r="YZ36" s="7"/>
      <c r="ZA36" s="7"/>
      <c r="ZB36" s="7"/>
      <c r="ZC36" s="7"/>
      <c r="ZD36" s="7"/>
      <c r="ZE36" s="7"/>
      <c r="ZF36" s="7"/>
      <c r="ZG36" s="7"/>
      <c r="ZH36" s="7"/>
      <c r="ZI36" s="7"/>
      <c r="ZJ36" s="7"/>
      <c r="ZK36" s="7"/>
      <c r="ZL36" s="7"/>
      <c r="ZM36" s="7"/>
      <c r="ZN36" s="7"/>
      <c r="ZO36" s="7"/>
      <c r="ZP36" s="7"/>
      <c r="ZQ36" s="7"/>
      <c r="ZR36" s="7"/>
      <c r="ZS36" s="7"/>
      <c r="ZT36" s="7"/>
      <c r="ZU36" s="7"/>
      <c r="ZV36" s="4"/>
      <c r="ZW36" s="7"/>
      <c r="ZX36" s="7"/>
      <c r="ZY36" s="7"/>
      <c r="ZZ36" s="7"/>
      <c r="AAA36" s="7"/>
      <c r="AAB36" s="7"/>
      <c r="AAC36" s="7"/>
      <c r="AAD36" s="7"/>
      <c r="AAE36" s="7"/>
      <c r="AAF36" s="36"/>
      <c r="AAG36" s="7"/>
      <c r="AAH36" s="7"/>
      <c r="AAI36" s="7"/>
      <c r="AAJ36" s="7"/>
      <c r="AAK36" s="7"/>
      <c r="AAL36" s="7"/>
      <c r="AAM36" s="7"/>
      <c r="AAN36" s="7"/>
      <c r="AAO36" s="7"/>
      <c r="AAP36" s="7"/>
      <c r="AAQ36" s="7"/>
      <c r="AAR36" s="7"/>
      <c r="AAS36" s="7"/>
      <c r="AAT36" s="7"/>
      <c r="AAU36" s="7"/>
      <c r="AAV36" s="7"/>
      <c r="AAW36" s="7"/>
      <c r="AAX36" s="7"/>
      <c r="AAY36" s="7"/>
      <c r="AAZ36" s="4"/>
      <c r="ABA36" s="7"/>
      <c r="ABB36" s="7"/>
      <c r="ABC36" s="7"/>
      <c r="ABD36" s="7"/>
      <c r="ABE36" s="7"/>
      <c r="ABF36" s="7"/>
      <c r="ABG36" s="7"/>
      <c r="ABH36" s="7"/>
      <c r="ABI36" s="7"/>
      <c r="ABJ36" s="7"/>
      <c r="ABK36" s="7"/>
      <c r="ABL36" s="7"/>
      <c r="ABM36" s="7"/>
      <c r="ABN36" s="7"/>
      <c r="ABO36" s="7"/>
      <c r="ABP36" s="7"/>
      <c r="ABQ36" s="7"/>
      <c r="ABR36" s="7"/>
      <c r="ABS36" s="7"/>
      <c r="ABT36" s="7"/>
      <c r="ABU36" s="7"/>
      <c r="ABV36" s="7"/>
      <c r="ABW36" s="7"/>
      <c r="ABX36" s="7"/>
      <c r="ABY36" s="7"/>
      <c r="ABZ36" s="7"/>
      <c r="ACA36" s="7"/>
      <c r="ACB36" s="7"/>
      <c r="ACC36" s="7"/>
      <c r="ACD36" s="7"/>
      <c r="ACE36" s="7"/>
      <c r="ACF36" s="7"/>
      <c r="ACG36" s="7"/>
      <c r="ACH36" s="7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</row>
    <row r="37" spans="1:830" ht="22.5" customHeight="1" x14ac:dyDescent="0.25">
      <c r="A37" s="36"/>
      <c r="B37" s="128" t="s">
        <v>635</v>
      </c>
      <c r="C37" s="160">
        <f>REKAP!$J$6</f>
        <v>0</v>
      </c>
      <c r="D37" s="124"/>
      <c r="E37" s="159"/>
      <c r="F37" s="36"/>
      <c r="G37" s="138" t="s">
        <v>219</v>
      </c>
      <c r="H37" s="4" t="s">
        <v>220</v>
      </c>
      <c r="I37" s="143"/>
      <c r="J37" s="288">
        <f t="shared" si="0"/>
        <v>0</v>
      </c>
      <c r="K37" s="7"/>
      <c r="L37" s="7"/>
      <c r="M37" s="7"/>
      <c r="N37" s="130"/>
      <c r="O37" s="7"/>
      <c r="P37" s="7"/>
      <c r="Q37" s="7"/>
      <c r="R37" s="7"/>
      <c r="S37" s="7"/>
      <c r="T37" s="130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130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130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140"/>
      <c r="CA37" s="7"/>
      <c r="CB37" s="7"/>
      <c r="CC37" s="7"/>
      <c r="CD37" s="7"/>
      <c r="CE37" s="7"/>
      <c r="CF37" s="7"/>
      <c r="CG37" s="7"/>
      <c r="CH37" s="7"/>
      <c r="CI37" s="7"/>
      <c r="CJ37" s="129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130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140"/>
      <c r="HC37" s="140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140"/>
      <c r="HU37" s="4"/>
      <c r="HV37" s="4"/>
      <c r="HW37" s="7"/>
      <c r="HX37" s="130"/>
      <c r="HY37" s="130"/>
      <c r="HZ37" s="130"/>
      <c r="IA37" s="130"/>
      <c r="IB37" s="130"/>
      <c r="IC37" s="130"/>
      <c r="ID37" s="7"/>
      <c r="IE37" s="7"/>
      <c r="IF37" s="7"/>
      <c r="IG37" s="7"/>
      <c r="IH37" s="7"/>
      <c r="II37" s="7"/>
      <c r="IJ37" s="7"/>
      <c r="IK37" s="7"/>
      <c r="IL37" s="140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140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140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140"/>
      <c r="KA37" s="7"/>
      <c r="KB37" s="7"/>
      <c r="KC37" s="7"/>
      <c r="KD37" s="7"/>
      <c r="KE37" s="7"/>
      <c r="KF37" s="140"/>
      <c r="KG37" s="140"/>
      <c r="KH37" s="140"/>
      <c r="KI37" s="140"/>
      <c r="KJ37" s="140"/>
      <c r="KK37" s="4"/>
      <c r="KL37" s="7"/>
      <c r="KM37" s="7"/>
      <c r="KN37" s="7"/>
      <c r="KO37" s="7"/>
      <c r="KP37" s="7"/>
      <c r="KQ37" s="7"/>
      <c r="KR37" s="140"/>
      <c r="KS37" s="7"/>
      <c r="KT37" s="7"/>
      <c r="KU37" s="7"/>
      <c r="KV37" s="7"/>
      <c r="KW37" s="7"/>
      <c r="KX37" s="7"/>
      <c r="KY37" s="7"/>
      <c r="KZ37" s="7"/>
      <c r="LA37" s="7"/>
      <c r="LB37" s="7"/>
      <c r="LC37" s="7"/>
      <c r="LD37" s="140"/>
      <c r="LE37" s="7"/>
      <c r="LF37" s="7"/>
      <c r="LG37" s="140"/>
      <c r="LH37" s="7"/>
      <c r="LI37" s="7"/>
      <c r="LJ37" s="7"/>
      <c r="LK37" s="7"/>
      <c r="LL37" s="7"/>
      <c r="LM37" s="7"/>
      <c r="LN37" s="7"/>
      <c r="LO37" s="7"/>
      <c r="LP37" s="7"/>
      <c r="LQ37" s="7"/>
      <c r="LR37" s="7"/>
      <c r="LS37" s="7"/>
      <c r="LT37" s="7"/>
      <c r="LU37" s="7"/>
      <c r="LV37" s="7"/>
      <c r="LW37" s="7"/>
      <c r="LX37" s="7"/>
      <c r="LY37" s="7"/>
      <c r="LZ37" s="7"/>
      <c r="MA37" s="140"/>
      <c r="MB37" s="7"/>
      <c r="MC37" s="7"/>
      <c r="MD37" s="7"/>
      <c r="ME37" s="7"/>
      <c r="MF37" s="7"/>
      <c r="MG37" s="140"/>
      <c r="MH37" s="7"/>
      <c r="MI37" s="7"/>
      <c r="MJ37" s="7"/>
      <c r="MK37" s="7"/>
      <c r="ML37" s="7"/>
      <c r="MM37" s="7"/>
      <c r="MN37" s="7"/>
      <c r="MO37" s="7"/>
      <c r="MP37" s="7"/>
      <c r="MQ37" s="7"/>
      <c r="MR37" s="7"/>
      <c r="MS37" s="7"/>
      <c r="MT37" s="7"/>
      <c r="MU37" s="7"/>
      <c r="MV37" s="7"/>
      <c r="MW37" s="7"/>
      <c r="MX37" s="7"/>
      <c r="MY37" s="7"/>
      <c r="MZ37" s="7"/>
      <c r="NA37" s="7"/>
      <c r="NB37" s="7"/>
      <c r="NC37" s="7"/>
      <c r="ND37" s="140"/>
      <c r="NE37" s="7"/>
      <c r="NF37" s="7"/>
      <c r="NG37" s="7"/>
      <c r="NH37" s="7"/>
      <c r="NI37" s="7"/>
      <c r="NJ37" s="7"/>
      <c r="NK37" s="7"/>
      <c r="NL37" s="7"/>
      <c r="NM37" s="7"/>
      <c r="NN37" s="7"/>
      <c r="NO37" s="7"/>
      <c r="NP37" s="198"/>
      <c r="NQ37" s="140"/>
      <c r="NR37" s="202"/>
      <c r="NS37" s="140"/>
      <c r="NT37" s="140"/>
      <c r="NU37" s="140"/>
      <c r="NV37" s="140"/>
      <c r="NW37" s="140"/>
      <c r="NX37" s="140"/>
      <c r="NY37" s="140"/>
      <c r="NZ37" s="140"/>
      <c r="OA37" s="140"/>
      <c r="OB37" s="140"/>
      <c r="OC37" s="140"/>
      <c r="OD37" s="140"/>
      <c r="OE37" s="140"/>
      <c r="OF37" s="140"/>
      <c r="OG37" s="140"/>
      <c r="OH37" s="140"/>
      <c r="OI37" s="140"/>
      <c r="OJ37" s="140"/>
      <c r="OK37" s="140"/>
      <c r="OL37" s="140"/>
      <c r="OM37" s="140"/>
      <c r="ON37" s="140"/>
      <c r="OO37" s="140"/>
      <c r="OP37" s="140"/>
      <c r="OQ37" s="140"/>
      <c r="OR37" s="140"/>
      <c r="OS37" s="140"/>
      <c r="OT37" s="140"/>
      <c r="OU37" s="140"/>
      <c r="OV37" s="140"/>
      <c r="OW37" s="140"/>
      <c r="OX37" s="140"/>
      <c r="OY37" s="140"/>
      <c r="OZ37" s="140"/>
      <c r="PA37" s="140"/>
      <c r="PB37" s="140"/>
      <c r="PC37" s="140"/>
      <c r="PD37" s="140"/>
      <c r="PE37" s="140"/>
      <c r="PF37" s="140"/>
      <c r="PG37" s="140"/>
      <c r="PH37" s="140"/>
      <c r="PI37" s="140"/>
      <c r="PJ37" s="140"/>
      <c r="PK37" s="140"/>
      <c r="PL37" s="140"/>
      <c r="PM37" s="140"/>
      <c r="PN37" s="140"/>
      <c r="PO37" s="140"/>
      <c r="PP37" s="140"/>
      <c r="PQ37" s="140"/>
      <c r="PR37" s="140"/>
      <c r="PS37" s="140"/>
      <c r="PT37" s="140"/>
      <c r="PU37" s="140"/>
      <c r="PV37" s="140"/>
      <c r="PW37" s="140"/>
      <c r="PX37" s="140"/>
      <c r="PY37" s="140"/>
      <c r="PZ37" s="140"/>
      <c r="QA37" s="140"/>
      <c r="QB37" s="140"/>
      <c r="QC37" s="140"/>
      <c r="QD37" s="140"/>
      <c r="QE37" s="140"/>
      <c r="QF37" s="140"/>
      <c r="QG37" s="140"/>
      <c r="QH37" s="140"/>
      <c r="QI37" s="140"/>
      <c r="QJ37" s="140"/>
      <c r="QK37" s="140"/>
      <c r="QL37" s="140"/>
      <c r="QM37" s="140"/>
      <c r="QN37" s="140"/>
      <c r="QO37" s="140">
        <f>'AKM &amp; P5'!$J$5</f>
        <v>0</v>
      </c>
      <c r="QP37" s="140">
        <f>'AKM &amp; P5'!$J$6</f>
        <v>0</v>
      </c>
      <c r="QQ37" s="140">
        <f>'AKM &amp; P5'!$J$7</f>
        <v>0</v>
      </c>
      <c r="QR37" s="140">
        <f>'AKM &amp; P5'!$J$8</f>
        <v>0</v>
      </c>
      <c r="QS37" s="140">
        <f>'AKM &amp; P5'!$J$9</f>
        <v>0</v>
      </c>
      <c r="QT37" s="140">
        <f>'AKM &amp; P5'!$J$10</f>
        <v>0</v>
      </c>
      <c r="QU37" s="7"/>
      <c r="QV37" s="7"/>
      <c r="QW37" s="7"/>
      <c r="QX37" s="7"/>
      <c r="QY37" s="7"/>
      <c r="QZ37" s="7"/>
      <c r="RA37" s="7"/>
      <c r="RB37" s="7"/>
      <c r="RC37" s="7"/>
      <c r="RD37" s="7"/>
      <c r="RE37" s="7"/>
      <c r="RF37" s="7"/>
      <c r="RG37" s="7"/>
      <c r="RH37" s="7"/>
      <c r="RI37" s="7"/>
      <c r="RJ37" s="7"/>
      <c r="RK37" s="7"/>
      <c r="RL37" s="7"/>
      <c r="RM37" s="7"/>
      <c r="RN37" s="7"/>
      <c r="RO37" s="36"/>
      <c r="RP37" s="7"/>
      <c r="RQ37" s="7"/>
      <c r="RR37" s="7"/>
      <c r="RS37" s="7"/>
      <c r="RT37" s="7"/>
      <c r="RU37" s="7"/>
      <c r="RV37" s="7"/>
      <c r="RW37" s="7"/>
      <c r="RX37" s="7"/>
      <c r="RY37" s="7"/>
      <c r="RZ37" s="7"/>
      <c r="SA37" s="7"/>
      <c r="SB37" s="36"/>
      <c r="SC37" s="7"/>
      <c r="SD37" s="7"/>
      <c r="SE37" s="7"/>
      <c r="SF37" s="7"/>
      <c r="SG37" s="7"/>
      <c r="SH37" s="7"/>
      <c r="SI37" s="7"/>
      <c r="SJ37" s="7"/>
      <c r="SK37" s="7"/>
      <c r="SL37" s="7"/>
      <c r="SM37" s="7"/>
      <c r="SN37" s="7"/>
      <c r="SO37" s="7"/>
      <c r="SP37" s="7"/>
      <c r="SQ37" s="7"/>
      <c r="SR37" s="7"/>
      <c r="SS37" s="7"/>
      <c r="ST37" s="7"/>
      <c r="SU37" s="7"/>
      <c r="SV37" s="7"/>
      <c r="SW37" s="7"/>
      <c r="SX37" s="7"/>
      <c r="SY37" s="7"/>
      <c r="SZ37" s="7"/>
      <c r="TA37" s="7"/>
      <c r="TB37" s="7"/>
      <c r="TC37" s="7"/>
      <c r="TD37" s="36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7"/>
      <c r="YG37" s="7"/>
      <c r="YH37" s="7"/>
      <c r="YI37" s="7"/>
      <c r="YJ37" s="7"/>
      <c r="YK37" s="7"/>
      <c r="YL37" s="7"/>
      <c r="YM37" s="7"/>
      <c r="YN37" s="7"/>
      <c r="YO37" s="7"/>
      <c r="YP37" s="7"/>
      <c r="YQ37" s="7"/>
      <c r="YR37" s="7"/>
      <c r="YS37" s="7"/>
      <c r="YT37" s="7"/>
      <c r="YU37" s="7"/>
      <c r="YV37" s="7"/>
      <c r="YW37" s="7"/>
      <c r="YX37" s="7"/>
      <c r="YY37" s="7"/>
      <c r="YZ37" s="7"/>
      <c r="ZA37" s="7"/>
      <c r="ZB37" s="7"/>
      <c r="ZC37" s="7"/>
      <c r="ZD37" s="7"/>
      <c r="ZE37" s="7"/>
      <c r="ZF37" s="7"/>
      <c r="ZG37" s="7"/>
      <c r="ZH37" s="7"/>
      <c r="ZI37" s="7"/>
      <c r="ZJ37" s="7"/>
      <c r="ZK37" s="7"/>
      <c r="ZL37" s="7"/>
      <c r="ZM37" s="7"/>
      <c r="ZN37" s="7"/>
      <c r="ZO37" s="7"/>
      <c r="ZP37" s="7"/>
      <c r="ZQ37" s="7"/>
      <c r="ZR37" s="7"/>
      <c r="ZS37" s="7"/>
      <c r="ZT37" s="7"/>
      <c r="ZU37" s="7"/>
      <c r="ZV37" s="4"/>
      <c r="ZW37" s="7"/>
      <c r="ZX37" s="7"/>
      <c r="ZY37" s="7"/>
      <c r="ZZ37" s="7"/>
      <c r="AAA37" s="7"/>
      <c r="AAB37" s="7"/>
      <c r="AAC37" s="7"/>
      <c r="AAD37" s="7"/>
      <c r="AAE37" s="7"/>
      <c r="AAF37" s="36"/>
      <c r="AAG37" s="7"/>
      <c r="AAH37" s="7"/>
      <c r="AAI37" s="7"/>
      <c r="AAJ37" s="7"/>
      <c r="AAK37" s="7"/>
      <c r="AAL37" s="7"/>
      <c r="AAM37" s="7"/>
      <c r="AAN37" s="7"/>
      <c r="AAO37" s="7"/>
      <c r="AAP37" s="7"/>
      <c r="AAQ37" s="7"/>
      <c r="AAR37" s="7"/>
      <c r="AAS37" s="7"/>
      <c r="AAT37" s="7"/>
      <c r="AAU37" s="7"/>
      <c r="AAV37" s="7"/>
      <c r="AAW37" s="7"/>
      <c r="AAX37" s="7"/>
      <c r="AAY37" s="7"/>
      <c r="AAZ37" s="4"/>
      <c r="ABA37" s="7"/>
      <c r="ABB37" s="7"/>
      <c r="ABC37" s="7"/>
      <c r="ABD37" s="7"/>
      <c r="ABE37" s="7"/>
      <c r="ABF37" s="7"/>
      <c r="ABG37" s="7"/>
      <c r="ABH37" s="7"/>
      <c r="ABI37" s="7"/>
      <c r="ABJ37" s="7"/>
      <c r="ABK37" s="7"/>
      <c r="ABL37" s="7"/>
      <c r="ABM37" s="7"/>
      <c r="ABN37" s="7"/>
      <c r="ABO37" s="7"/>
      <c r="ABP37" s="7"/>
      <c r="ABQ37" s="7"/>
      <c r="ABR37" s="7"/>
      <c r="ABS37" s="7"/>
      <c r="ABT37" s="7"/>
      <c r="ABU37" s="7"/>
      <c r="ABV37" s="7"/>
      <c r="ABW37" s="7"/>
      <c r="ABX37" s="7"/>
      <c r="ABY37" s="7"/>
      <c r="ABZ37" s="7"/>
      <c r="ACA37" s="7"/>
      <c r="ACB37" s="7"/>
      <c r="ACC37" s="7"/>
      <c r="ACD37" s="7"/>
      <c r="ACE37" s="7"/>
      <c r="ACF37" s="7"/>
      <c r="ACG37" s="7"/>
      <c r="ACH37" s="7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</row>
    <row r="38" spans="1:830" ht="22.5" customHeight="1" x14ac:dyDescent="0.25">
      <c r="A38" s="36"/>
      <c r="B38" s="128" t="s">
        <v>610</v>
      </c>
      <c r="C38" s="160">
        <f>REKAP!$J$6</f>
        <v>0</v>
      </c>
      <c r="D38" s="124">
        <f>REKAP!$J$4</f>
        <v>0</v>
      </c>
      <c r="E38" s="159">
        <f>REKAP!$J$5</f>
        <v>0</v>
      </c>
      <c r="F38" s="36"/>
      <c r="G38" s="138" t="s">
        <v>218</v>
      </c>
      <c r="H38" s="4" t="s">
        <v>220</v>
      </c>
      <c r="I38" s="143"/>
      <c r="J38" s="141">
        <f t="shared" si="0"/>
        <v>0</v>
      </c>
      <c r="K38" s="7"/>
      <c r="L38" s="7"/>
      <c r="M38" s="7"/>
      <c r="N38" s="130"/>
      <c r="O38" s="7"/>
      <c r="P38" s="7"/>
      <c r="Q38" s="7"/>
      <c r="R38" s="7"/>
      <c r="S38" s="7"/>
      <c r="T38" s="130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130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130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140"/>
      <c r="CA38" s="7"/>
      <c r="CB38" s="7"/>
      <c r="CC38" s="7"/>
      <c r="CD38" s="7"/>
      <c r="CE38" s="7"/>
      <c r="CF38" s="7"/>
      <c r="CG38" s="7"/>
      <c r="CH38" s="7"/>
      <c r="CI38" s="7"/>
      <c r="CJ38" s="129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130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140"/>
      <c r="HC38" s="140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140"/>
      <c r="HU38" s="4"/>
      <c r="HV38" s="4"/>
      <c r="HW38" s="7"/>
      <c r="HX38" s="130"/>
      <c r="HY38" s="130"/>
      <c r="HZ38" s="130"/>
      <c r="IA38" s="130"/>
      <c r="IB38" s="130"/>
      <c r="IC38" s="130"/>
      <c r="ID38" s="7"/>
      <c r="IE38" s="7"/>
      <c r="IF38" s="7"/>
      <c r="IG38" s="7"/>
      <c r="IH38" s="7"/>
      <c r="II38" s="7"/>
      <c r="IJ38" s="7"/>
      <c r="IK38" s="7"/>
      <c r="IL38" s="140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140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140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140"/>
      <c r="KA38" s="7"/>
      <c r="KB38" s="7"/>
      <c r="KC38" s="7"/>
      <c r="KD38" s="7"/>
      <c r="KE38" s="7"/>
      <c r="KF38" s="140"/>
      <c r="KG38" s="140"/>
      <c r="KH38" s="140"/>
      <c r="KI38" s="140"/>
      <c r="KJ38" s="140"/>
      <c r="KK38" s="4"/>
      <c r="KL38" s="7"/>
      <c r="KM38" s="7"/>
      <c r="KN38" s="7"/>
      <c r="KO38" s="7"/>
      <c r="KP38" s="7"/>
      <c r="KQ38" s="7"/>
      <c r="KR38" s="140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140"/>
      <c r="LE38" s="7"/>
      <c r="LF38" s="7"/>
      <c r="LG38" s="140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140"/>
      <c r="MB38" s="7"/>
      <c r="MC38" s="7"/>
      <c r="MD38" s="7"/>
      <c r="ME38" s="7"/>
      <c r="MF38" s="7"/>
      <c r="MG38" s="140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140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198"/>
      <c r="NQ38" s="140"/>
      <c r="NR38" s="202"/>
      <c r="NS38" s="140"/>
      <c r="NT38" s="140"/>
      <c r="NU38" s="140"/>
      <c r="NV38" s="140"/>
      <c r="NW38" s="140"/>
      <c r="NX38" s="140"/>
      <c r="NY38" s="140"/>
      <c r="NZ38" s="140"/>
      <c r="OA38" s="140"/>
      <c r="OB38" s="140"/>
      <c r="OC38" s="140"/>
      <c r="OD38" s="140"/>
      <c r="OE38" s="140"/>
      <c r="OF38" s="140"/>
      <c r="OG38" s="140"/>
      <c r="OH38" s="140"/>
      <c r="OI38" s="140"/>
      <c r="OJ38" s="140"/>
      <c r="OK38" s="140"/>
      <c r="OL38" s="140"/>
      <c r="OM38" s="140"/>
      <c r="ON38" s="140"/>
      <c r="OO38" s="140"/>
      <c r="OP38" s="140"/>
      <c r="OQ38" s="140"/>
      <c r="OR38" s="140"/>
      <c r="OS38" s="140"/>
      <c r="OT38" s="140"/>
      <c r="OU38" s="140"/>
      <c r="OV38" s="140"/>
      <c r="OW38" s="140"/>
      <c r="OX38" s="140"/>
      <c r="OY38" s="140"/>
      <c r="OZ38" s="140"/>
      <c r="PA38" s="140"/>
      <c r="PB38" s="140"/>
      <c r="PC38" s="140"/>
      <c r="PD38" s="140"/>
      <c r="PE38" s="140"/>
      <c r="PF38" s="140"/>
      <c r="PG38" s="140"/>
      <c r="PH38" s="140"/>
      <c r="PI38" s="140"/>
      <c r="PJ38" s="140"/>
      <c r="PK38" s="140"/>
      <c r="PL38" s="140"/>
      <c r="PM38" s="140"/>
      <c r="PN38" s="140"/>
      <c r="PO38" s="140"/>
      <c r="PP38" s="140"/>
      <c r="PQ38" s="140"/>
      <c r="PR38" s="140"/>
      <c r="PS38" s="140"/>
      <c r="PT38" s="140"/>
      <c r="PU38" s="140"/>
      <c r="PV38" s="140"/>
      <c r="PW38" s="140"/>
      <c r="PX38" s="140"/>
      <c r="PY38" s="140"/>
      <c r="PZ38" s="140"/>
      <c r="QA38" s="140"/>
      <c r="QB38" s="140"/>
      <c r="QC38" s="140"/>
      <c r="QD38" s="140"/>
      <c r="QE38" s="140"/>
      <c r="QF38" s="140"/>
      <c r="QG38" s="140"/>
      <c r="QH38" s="140"/>
      <c r="QI38" s="140"/>
      <c r="QJ38" s="140"/>
      <c r="QK38" s="140"/>
      <c r="QL38" s="140"/>
      <c r="QM38" s="140"/>
      <c r="QN38" s="140"/>
      <c r="QO38" s="7"/>
      <c r="QP38" s="7"/>
      <c r="QQ38" s="140"/>
      <c r="QR38" s="140"/>
      <c r="QS38" s="140"/>
      <c r="QT38" s="140"/>
      <c r="QU38" s="140"/>
      <c r="QV38" s="140"/>
      <c r="QW38" s="140"/>
      <c r="QX38" s="140"/>
      <c r="QY38" s="140"/>
      <c r="QZ38" s="140"/>
      <c r="RA38" s="140"/>
      <c r="RB38" s="140"/>
      <c r="RC38" s="140"/>
      <c r="RD38" s="140"/>
      <c r="RE38" s="140"/>
      <c r="RF38" s="140"/>
      <c r="RG38" s="7"/>
      <c r="RH38" s="7"/>
      <c r="RI38" s="7"/>
      <c r="RJ38" s="7"/>
      <c r="RK38" s="7"/>
      <c r="RL38" s="7"/>
      <c r="RM38" s="7"/>
      <c r="RN38" s="7"/>
      <c r="RO38" s="36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36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48">
        <f>'ASAJ UM'!$F$5</f>
        <v>0</v>
      </c>
      <c r="SW38" s="48">
        <f>'ASAJ UM'!$F$6</f>
        <v>0</v>
      </c>
      <c r="SX38" s="48">
        <f>'ASAJ UM'!$F$7</f>
        <v>0</v>
      </c>
      <c r="SY38" s="48">
        <f>'ASAJ UM'!$F$8</f>
        <v>0</v>
      </c>
      <c r="SZ38" s="48">
        <f>'ASAJ UM'!$F$9</f>
        <v>0</v>
      </c>
      <c r="TA38" s="48">
        <f>'ASAJ UM'!$F$10</f>
        <v>0</v>
      </c>
      <c r="TB38" s="48">
        <f>'ASAJ UM'!$F$11</f>
        <v>0</v>
      </c>
      <c r="TC38" s="48">
        <f>'ASAJ UM'!$F$12</f>
        <v>0</v>
      </c>
      <c r="TD38" s="48">
        <f>'ASAJ UM'!$F$13</f>
        <v>0</v>
      </c>
      <c r="TE38" s="48">
        <f>'ASAJ UM'!$F$14</f>
        <v>0</v>
      </c>
      <c r="TF38" s="48">
        <f>'ASAJ UM'!$F$15</f>
        <v>0</v>
      </c>
      <c r="TG38" s="48">
        <f>'ASAJ UM'!$F$16</f>
        <v>0</v>
      </c>
      <c r="TH38" s="48">
        <f>'ASAJ UM'!$F$17</f>
        <v>0</v>
      </c>
      <c r="TI38" s="48">
        <f>'ASAJ UM'!$F$18</f>
        <v>0</v>
      </c>
      <c r="TJ38" s="48">
        <f>'ASAJ UM'!$F$19</f>
        <v>0</v>
      </c>
      <c r="TK38" s="48">
        <f>'ASAJ UM'!$F$20</f>
        <v>0</v>
      </c>
      <c r="TL38" s="48">
        <f>'ASAJ UM'!$F$21</f>
        <v>0</v>
      </c>
      <c r="TM38" s="48">
        <f>'ASAJ UM'!$F$22</f>
        <v>0</v>
      </c>
      <c r="TN38" s="48">
        <f>'ASAJ UM'!$F$23</f>
        <v>0</v>
      </c>
      <c r="TO38" s="48">
        <f>'ASAJ UM'!$F$24</f>
        <v>0</v>
      </c>
      <c r="TP38" s="48">
        <f>'ASAJ UM'!$F$25</f>
        <v>0</v>
      </c>
      <c r="TQ38" s="48">
        <f>'ASAJ UM'!$F$26</f>
        <v>0</v>
      </c>
      <c r="TR38" s="48">
        <f>'ASAJ UM'!$F$27</f>
        <v>0</v>
      </c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4"/>
      <c r="ZW38" s="7"/>
      <c r="ZX38" s="7"/>
      <c r="ZY38" s="7"/>
      <c r="ZZ38" s="7"/>
      <c r="AAA38" s="7"/>
      <c r="AAB38" s="7"/>
      <c r="AAC38" s="7"/>
      <c r="AAD38" s="7"/>
      <c r="AAE38" s="7"/>
      <c r="AAF38" s="36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4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144" t="s">
        <v>221</v>
      </c>
    </row>
    <row r="39" spans="1:830" ht="22.5" customHeight="1" x14ac:dyDescent="0.25">
      <c r="A39" s="36"/>
      <c r="B39" s="128" t="s">
        <v>612</v>
      </c>
      <c r="C39" s="160">
        <f>REKAP!$J$6</f>
        <v>0</v>
      </c>
      <c r="D39" s="124">
        <f>REKAP!$J$4</f>
        <v>0</v>
      </c>
      <c r="E39" s="159">
        <f>REKAP!$J$5</f>
        <v>0</v>
      </c>
      <c r="F39" s="36"/>
      <c r="G39" s="138" t="s">
        <v>219</v>
      </c>
      <c r="H39" s="4" t="s">
        <v>193</v>
      </c>
      <c r="I39" s="143"/>
      <c r="J39" s="141">
        <f t="shared" si="0"/>
        <v>0</v>
      </c>
      <c r="K39" s="7"/>
      <c r="L39" s="7"/>
      <c r="M39" s="7"/>
      <c r="N39" s="130">
        <f>ROUND(N64,0)</f>
        <v>0</v>
      </c>
      <c r="O39" s="130">
        <f t="shared" ref="O39:BZ39" si="135">ROUND(O64,0)</f>
        <v>0</v>
      </c>
      <c r="P39" s="130">
        <f t="shared" si="135"/>
        <v>0</v>
      </c>
      <c r="Q39" s="130">
        <f t="shared" si="135"/>
        <v>0</v>
      </c>
      <c r="R39" s="130">
        <f t="shared" si="135"/>
        <v>0</v>
      </c>
      <c r="S39" s="130">
        <f t="shared" si="135"/>
        <v>0</v>
      </c>
      <c r="T39" s="130">
        <f t="shared" si="135"/>
        <v>0</v>
      </c>
      <c r="U39" s="130">
        <f t="shared" si="135"/>
        <v>0</v>
      </c>
      <c r="V39" s="130">
        <f t="shared" si="135"/>
        <v>0</v>
      </c>
      <c r="W39" s="130">
        <f t="shared" si="135"/>
        <v>0</v>
      </c>
      <c r="X39" s="130">
        <f t="shared" si="135"/>
        <v>0</v>
      </c>
      <c r="Y39" s="130">
        <f t="shared" si="135"/>
        <v>0</v>
      </c>
      <c r="Z39" s="130">
        <f t="shared" si="135"/>
        <v>0</v>
      </c>
      <c r="AA39" s="130">
        <f t="shared" si="135"/>
        <v>0</v>
      </c>
      <c r="AB39" s="130">
        <f t="shared" si="135"/>
        <v>0</v>
      </c>
      <c r="AC39" s="130">
        <f t="shared" si="135"/>
        <v>0</v>
      </c>
      <c r="AD39" s="130">
        <f t="shared" si="135"/>
        <v>0</v>
      </c>
      <c r="AE39" s="130">
        <f t="shared" si="135"/>
        <v>0</v>
      </c>
      <c r="AF39" s="130">
        <f t="shared" si="135"/>
        <v>0</v>
      </c>
      <c r="AG39" s="130">
        <f t="shared" si="135"/>
        <v>0</v>
      </c>
      <c r="AH39" s="130">
        <f t="shared" si="135"/>
        <v>0</v>
      </c>
      <c r="AI39" s="130">
        <f t="shared" si="135"/>
        <v>0</v>
      </c>
      <c r="AJ39" s="130">
        <f t="shared" si="135"/>
        <v>0</v>
      </c>
      <c r="AK39" s="130">
        <f t="shared" si="135"/>
        <v>0</v>
      </c>
      <c r="AL39" s="130">
        <f t="shared" si="135"/>
        <v>0</v>
      </c>
      <c r="AM39" s="130">
        <f t="shared" si="135"/>
        <v>0</v>
      </c>
      <c r="AN39" s="130">
        <f t="shared" si="135"/>
        <v>0</v>
      </c>
      <c r="AO39" s="130">
        <f t="shared" si="135"/>
        <v>0</v>
      </c>
      <c r="AP39" s="130">
        <f t="shared" si="135"/>
        <v>0</v>
      </c>
      <c r="AQ39" s="130">
        <f t="shared" si="135"/>
        <v>0</v>
      </c>
      <c r="AR39" s="130">
        <f t="shared" si="135"/>
        <v>0</v>
      </c>
      <c r="AS39" s="130">
        <f t="shared" si="135"/>
        <v>0</v>
      </c>
      <c r="AT39" s="130">
        <f t="shared" si="135"/>
        <v>0</v>
      </c>
      <c r="AU39" s="130">
        <f t="shared" si="135"/>
        <v>0</v>
      </c>
      <c r="AV39" s="130">
        <f t="shared" si="135"/>
        <v>0</v>
      </c>
      <c r="AW39" s="130">
        <f t="shared" si="135"/>
        <v>0</v>
      </c>
      <c r="AX39" s="130">
        <f t="shared" si="135"/>
        <v>0</v>
      </c>
      <c r="AY39" s="130">
        <f t="shared" si="135"/>
        <v>0</v>
      </c>
      <c r="AZ39" s="130">
        <f t="shared" si="135"/>
        <v>0</v>
      </c>
      <c r="BA39" s="130">
        <f t="shared" si="135"/>
        <v>0</v>
      </c>
      <c r="BB39" s="130">
        <f t="shared" si="135"/>
        <v>0</v>
      </c>
      <c r="BC39" s="130">
        <f t="shared" si="135"/>
        <v>0</v>
      </c>
      <c r="BD39" s="130">
        <f t="shared" si="135"/>
        <v>0</v>
      </c>
      <c r="BE39" s="130">
        <f t="shared" si="135"/>
        <v>0</v>
      </c>
      <c r="BF39" s="130">
        <f t="shared" si="135"/>
        <v>0</v>
      </c>
      <c r="BG39" s="130">
        <f t="shared" si="135"/>
        <v>0</v>
      </c>
      <c r="BH39" s="130">
        <f t="shared" si="135"/>
        <v>0</v>
      </c>
      <c r="BI39" s="130">
        <f t="shared" si="135"/>
        <v>0</v>
      </c>
      <c r="BJ39" s="130">
        <f t="shared" si="135"/>
        <v>0</v>
      </c>
      <c r="BK39" s="130">
        <f t="shared" si="135"/>
        <v>0</v>
      </c>
      <c r="BL39" s="130">
        <f t="shared" si="135"/>
        <v>0</v>
      </c>
      <c r="BM39" s="130">
        <f t="shared" si="135"/>
        <v>0</v>
      </c>
      <c r="BN39" s="130">
        <f t="shared" si="135"/>
        <v>0</v>
      </c>
      <c r="BO39" s="130">
        <f t="shared" si="135"/>
        <v>0</v>
      </c>
      <c r="BP39" s="130">
        <f t="shared" si="135"/>
        <v>0</v>
      </c>
      <c r="BQ39" s="130">
        <f t="shared" si="135"/>
        <v>0</v>
      </c>
      <c r="BR39" s="130">
        <f t="shared" si="135"/>
        <v>0</v>
      </c>
      <c r="BS39" s="130">
        <f t="shared" si="135"/>
        <v>0</v>
      </c>
      <c r="BT39" s="130">
        <f t="shared" si="135"/>
        <v>0</v>
      </c>
      <c r="BU39" s="130">
        <f t="shared" si="135"/>
        <v>0</v>
      </c>
      <c r="BV39" s="130">
        <f t="shared" si="135"/>
        <v>0</v>
      </c>
      <c r="BW39" s="130">
        <f t="shared" si="135"/>
        <v>0</v>
      </c>
      <c r="BX39" s="130">
        <f t="shared" si="135"/>
        <v>0</v>
      </c>
      <c r="BY39" s="130">
        <f t="shared" si="135"/>
        <v>0</v>
      </c>
      <c r="BZ39" s="130">
        <f t="shared" si="135"/>
        <v>0</v>
      </c>
      <c r="CA39" s="130">
        <f t="shared" ref="CA39:EL39" si="136">ROUND(CA64,0)</f>
        <v>0</v>
      </c>
      <c r="CB39" s="130">
        <f t="shared" si="136"/>
        <v>0</v>
      </c>
      <c r="CC39" s="130">
        <f t="shared" si="136"/>
        <v>0</v>
      </c>
      <c r="CD39" s="130">
        <f t="shared" si="136"/>
        <v>0</v>
      </c>
      <c r="CE39" s="130">
        <f t="shared" si="136"/>
        <v>0</v>
      </c>
      <c r="CF39" s="130">
        <f t="shared" si="136"/>
        <v>0</v>
      </c>
      <c r="CG39" s="130">
        <f t="shared" si="136"/>
        <v>0</v>
      </c>
      <c r="CH39" s="130">
        <f t="shared" si="136"/>
        <v>0</v>
      </c>
      <c r="CI39" s="130">
        <f t="shared" si="136"/>
        <v>0</v>
      </c>
      <c r="CJ39" s="130">
        <f t="shared" si="136"/>
        <v>0</v>
      </c>
      <c r="CK39" s="130">
        <f t="shared" si="136"/>
        <v>0</v>
      </c>
      <c r="CL39" s="130">
        <f t="shared" si="136"/>
        <v>0</v>
      </c>
      <c r="CM39" s="130">
        <f t="shared" si="136"/>
        <v>0</v>
      </c>
      <c r="CN39" s="130">
        <f t="shared" si="136"/>
        <v>0</v>
      </c>
      <c r="CO39" s="130">
        <f t="shared" si="136"/>
        <v>0</v>
      </c>
      <c r="CP39" s="130">
        <f t="shared" si="136"/>
        <v>0</v>
      </c>
      <c r="CQ39" s="130">
        <f t="shared" si="136"/>
        <v>0</v>
      </c>
      <c r="CR39" s="130">
        <f t="shared" si="136"/>
        <v>0</v>
      </c>
      <c r="CS39" s="130">
        <f t="shared" si="136"/>
        <v>0</v>
      </c>
      <c r="CT39" s="130">
        <f t="shared" si="136"/>
        <v>0</v>
      </c>
      <c r="CU39" s="130">
        <f t="shared" si="136"/>
        <v>0</v>
      </c>
      <c r="CV39" s="130">
        <f t="shared" si="136"/>
        <v>0</v>
      </c>
      <c r="CW39" s="130">
        <f t="shared" si="136"/>
        <v>0</v>
      </c>
      <c r="CX39" s="130">
        <f t="shared" si="136"/>
        <v>0</v>
      </c>
      <c r="CY39" s="130">
        <f t="shared" si="136"/>
        <v>0</v>
      </c>
      <c r="CZ39" s="130">
        <f t="shared" si="136"/>
        <v>0</v>
      </c>
      <c r="DA39" s="130">
        <f t="shared" si="136"/>
        <v>0</v>
      </c>
      <c r="DB39" s="130">
        <f t="shared" si="136"/>
        <v>0</v>
      </c>
      <c r="DC39" s="130">
        <f t="shared" si="136"/>
        <v>0</v>
      </c>
      <c r="DD39" s="130">
        <f t="shared" si="136"/>
        <v>0</v>
      </c>
      <c r="DE39" s="130">
        <f t="shared" si="136"/>
        <v>0</v>
      </c>
      <c r="DF39" s="130">
        <f t="shared" si="136"/>
        <v>0</v>
      </c>
      <c r="DG39" s="130">
        <f t="shared" si="136"/>
        <v>0</v>
      </c>
      <c r="DH39" s="130">
        <f t="shared" si="136"/>
        <v>0</v>
      </c>
      <c r="DI39" s="130">
        <f t="shared" si="136"/>
        <v>0</v>
      </c>
      <c r="DJ39" s="130">
        <f t="shared" si="136"/>
        <v>0</v>
      </c>
      <c r="DK39" s="130">
        <f t="shared" si="136"/>
        <v>0</v>
      </c>
      <c r="DL39" s="130">
        <f t="shared" si="136"/>
        <v>0</v>
      </c>
      <c r="DM39" s="130">
        <f t="shared" si="136"/>
        <v>0</v>
      </c>
      <c r="DN39" s="130">
        <f t="shared" si="136"/>
        <v>0</v>
      </c>
      <c r="DO39" s="130">
        <f t="shared" si="136"/>
        <v>0</v>
      </c>
      <c r="DP39" s="130">
        <f t="shared" si="136"/>
        <v>0</v>
      </c>
      <c r="DQ39" s="130">
        <f t="shared" si="136"/>
        <v>0</v>
      </c>
      <c r="DR39" s="130">
        <f t="shared" si="136"/>
        <v>0</v>
      </c>
      <c r="DS39" s="130">
        <f t="shared" si="136"/>
        <v>0</v>
      </c>
      <c r="DT39" s="130">
        <f t="shared" si="136"/>
        <v>0</v>
      </c>
      <c r="DU39" s="130">
        <f t="shared" si="136"/>
        <v>0</v>
      </c>
      <c r="DV39" s="130">
        <f t="shared" si="136"/>
        <v>0</v>
      </c>
      <c r="DW39" s="130">
        <f t="shared" si="136"/>
        <v>0</v>
      </c>
      <c r="DX39" s="130">
        <f t="shared" si="136"/>
        <v>0</v>
      </c>
      <c r="DY39" s="130">
        <f t="shared" si="136"/>
        <v>0</v>
      </c>
      <c r="DZ39" s="130">
        <f t="shared" si="136"/>
        <v>0</v>
      </c>
      <c r="EA39" s="130">
        <f t="shared" si="136"/>
        <v>0</v>
      </c>
      <c r="EB39" s="130">
        <f t="shared" si="136"/>
        <v>0</v>
      </c>
      <c r="EC39" s="130">
        <f t="shared" si="136"/>
        <v>0</v>
      </c>
      <c r="ED39" s="130">
        <f t="shared" si="136"/>
        <v>0</v>
      </c>
      <c r="EE39" s="130">
        <f t="shared" si="136"/>
        <v>0</v>
      </c>
      <c r="EF39" s="130">
        <f t="shared" si="136"/>
        <v>0</v>
      </c>
      <c r="EG39" s="130">
        <f t="shared" si="136"/>
        <v>0</v>
      </c>
      <c r="EH39" s="130">
        <f t="shared" si="136"/>
        <v>0</v>
      </c>
      <c r="EI39" s="130">
        <f t="shared" si="136"/>
        <v>0</v>
      </c>
      <c r="EJ39" s="130">
        <f t="shared" si="136"/>
        <v>0</v>
      </c>
      <c r="EK39" s="130">
        <f t="shared" si="136"/>
        <v>0</v>
      </c>
      <c r="EL39" s="130">
        <f t="shared" si="136"/>
        <v>0</v>
      </c>
      <c r="EM39" s="130">
        <f t="shared" ref="EM39:GX39" si="137">ROUND(EM64,0)</f>
        <v>0</v>
      </c>
      <c r="EN39" s="130">
        <f t="shared" si="137"/>
        <v>0</v>
      </c>
      <c r="EO39" s="130">
        <f t="shared" si="137"/>
        <v>0</v>
      </c>
      <c r="EP39" s="130">
        <f t="shared" si="137"/>
        <v>0</v>
      </c>
      <c r="EQ39" s="130">
        <f t="shared" si="137"/>
        <v>0</v>
      </c>
      <c r="ER39" s="130">
        <f t="shared" si="137"/>
        <v>0</v>
      </c>
      <c r="ES39" s="130">
        <f t="shared" si="137"/>
        <v>0</v>
      </c>
      <c r="ET39" s="130">
        <f t="shared" si="137"/>
        <v>0</v>
      </c>
      <c r="EU39" s="130">
        <f t="shared" si="137"/>
        <v>0</v>
      </c>
      <c r="EV39" s="130">
        <f t="shared" si="137"/>
        <v>0</v>
      </c>
      <c r="EW39" s="130">
        <f t="shared" si="137"/>
        <v>0</v>
      </c>
      <c r="EX39" s="130">
        <f t="shared" si="137"/>
        <v>0</v>
      </c>
      <c r="EY39" s="130">
        <f t="shared" si="137"/>
        <v>0</v>
      </c>
      <c r="EZ39" s="130">
        <f t="shared" si="137"/>
        <v>0</v>
      </c>
      <c r="FA39" s="130">
        <f t="shared" si="137"/>
        <v>0</v>
      </c>
      <c r="FB39" s="130">
        <f t="shared" si="137"/>
        <v>0</v>
      </c>
      <c r="FC39" s="130">
        <f t="shared" si="137"/>
        <v>0</v>
      </c>
      <c r="FD39" s="130">
        <f t="shared" si="137"/>
        <v>0</v>
      </c>
      <c r="FE39" s="130">
        <f t="shared" si="137"/>
        <v>0</v>
      </c>
      <c r="FF39" s="130">
        <f t="shared" si="137"/>
        <v>0</v>
      </c>
      <c r="FG39" s="130">
        <f t="shared" si="137"/>
        <v>0</v>
      </c>
      <c r="FH39" s="130">
        <f t="shared" si="137"/>
        <v>0</v>
      </c>
      <c r="FI39" s="130">
        <f t="shared" si="137"/>
        <v>0</v>
      </c>
      <c r="FJ39" s="130">
        <f t="shared" si="137"/>
        <v>0</v>
      </c>
      <c r="FK39" s="130">
        <f t="shared" si="137"/>
        <v>0</v>
      </c>
      <c r="FL39" s="130">
        <f t="shared" si="137"/>
        <v>0</v>
      </c>
      <c r="FM39" s="130">
        <f t="shared" si="137"/>
        <v>0</v>
      </c>
      <c r="FN39" s="130">
        <f t="shared" si="137"/>
        <v>0</v>
      </c>
      <c r="FO39" s="130">
        <f t="shared" si="137"/>
        <v>0</v>
      </c>
      <c r="FP39" s="130">
        <f t="shared" si="137"/>
        <v>0</v>
      </c>
      <c r="FQ39" s="130">
        <f t="shared" si="137"/>
        <v>0</v>
      </c>
      <c r="FR39" s="130">
        <f t="shared" si="137"/>
        <v>0</v>
      </c>
      <c r="FS39" s="130">
        <f t="shared" si="137"/>
        <v>0</v>
      </c>
      <c r="FT39" s="130">
        <f t="shared" si="137"/>
        <v>0</v>
      </c>
      <c r="FU39" s="130">
        <f t="shared" si="137"/>
        <v>0</v>
      </c>
      <c r="FV39" s="130">
        <f t="shared" si="137"/>
        <v>0</v>
      </c>
      <c r="FW39" s="130">
        <f t="shared" si="137"/>
        <v>0</v>
      </c>
      <c r="FX39" s="130">
        <f t="shared" si="137"/>
        <v>0</v>
      </c>
      <c r="FY39" s="130">
        <f t="shared" si="137"/>
        <v>0</v>
      </c>
      <c r="FZ39" s="130">
        <f t="shared" si="137"/>
        <v>0</v>
      </c>
      <c r="GA39" s="130">
        <f t="shared" si="137"/>
        <v>0</v>
      </c>
      <c r="GB39" s="130">
        <f t="shared" si="137"/>
        <v>0</v>
      </c>
      <c r="GC39" s="130">
        <f t="shared" si="137"/>
        <v>0</v>
      </c>
      <c r="GD39" s="130">
        <f t="shared" si="137"/>
        <v>0</v>
      </c>
      <c r="GE39" s="130">
        <f t="shared" si="137"/>
        <v>0</v>
      </c>
      <c r="GF39" s="130">
        <f t="shared" si="137"/>
        <v>0</v>
      </c>
      <c r="GG39" s="130">
        <f t="shared" si="137"/>
        <v>0</v>
      </c>
      <c r="GH39" s="130">
        <f t="shared" si="137"/>
        <v>0</v>
      </c>
      <c r="GI39" s="130">
        <f t="shared" si="137"/>
        <v>0</v>
      </c>
      <c r="GJ39" s="130">
        <f t="shared" si="137"/>
        <v>0</v>
      </c>
      <c r="GK39" s="130">
        <f t="shared" si="137"/>
        <v>0</v>
      </c>
      <c r="GL39" s="130">
        <f t="shared" si="137"/>
        <v>0</v>
      </c>
      <c r="GM39" s="130">
        <f t="shared" si="137"/>
        <v>0</v>
      </c>
      <c r="GN39" s="130">
        <f t="shared" si="137"/>
        <v>0</v>
      </c>
      <c r="GO39" s="130">
        <f t="shared" si="137"/>
        <v>0</v>
      </c>
      <c r="GP39" s="130">
        <f t="shared" si="137"/>
        <v>0</v>
      </c>
      <c r="GQ39" s="130">
        <f t="shared" si="137"/>
        <v>0</v>
      </c>
      <c r="GR39" s="130">
        <f t="shared" si="137"/>
        <v>0</v>
      </c>
      <c r="GS39" s="130">
        <f t="shared" si="137"/>
        <v>0</v>
      </c>
      <c r="GT39" s="130">
        <f t="shared" si="137"/>
        <v>0</v>
      </c>
      <c r="GU39" s="130">
        <f t="shared" si="137"/>
        <v>0</v>
      </c>
      <c r="GV39" s="130">
        <f t="shared" si="137"/>
        <v>0</v>
      </c>
      <c r="GW39" s="130">
        <f t="shared" si="137"/>
        <v>0</v>
      </c>
      <c r="GX39" s="130">
        <f t="shared" si="137"/>
        <v>0</v>
      </c>
      <c r="GY39" s="130">
        <f t="shared" ref="GY39:JJ39" si="138">ROUND(GY64,0)</f>
        <v>0</v>
      </c>
      <c r="GZ39" s="130">
        <f t="shared" si="138"/>
        <v>0</v>
      </c>
      <c r="HA39" s="130">
        <f t="shared" si="138"/>
        <v>0</v>
      </c>
      <c r="HB39" s="130">
        <f t="shared" si="138"/>
        <v>0</v>
      </c>
      <c r="HC39" s="130">
        <f t="shared" si="138"/>
        <v>0</v>
      </c>
      <c r="HD39" s="130">
        <f t="shared" si="138"/>
        <v>0</v>
      </c>
      <c r="HE39" s="130">
        <f t="shared" si="138"/>
        <v>0</v>
      </c>
      <c r="HF39" s="130">
        <f t="shared" si="138"/>
        <v>0</v>
      </c>
      <c r="HG39" s="130">
        <f t="shared" si="138"/>
        <v>0</v>
      </c>
      <c r="HH39" s="130">
        <f t="shared" si="138"/>
        <v>0</v>
      </c>
      <c r="HI39" s="130">
        <f t="shared" si="138"/>
        <v>0</v>
      </c>
      <c r="HJ39" s="130">
        <f t="shared" si="138"/>
        <v>0</v>
      </c>
      <c r="HK39" s="130">
        <f t="shared" si="138"/>
        <v>0</v>
      </c>
      <c r="HL39" s="130">
        <f t="shared" si="138"/>
        <v>0</v>
      </c>
      <c r="HM39" s="130">
        <f t="shared" si="138"/>
        <v>0</v>
      </c>
      <c r="HN39" s="130">
        <f t="shared" si="138"/>
        <v>0</v>
      </c>
      <c r="HO39" s="130">
        <f t="shared" si="138"/>
        <v>0</v>
      </c>
      <c r="HP39" s="130">
        <f t="shared" si="138"/>
        <v>0</v>
      </c>
      <c r="HQ39" s="130">
        <f t="shared" si="138"/>
        <v>0</v>
      </c>
      <c r="HR39" s="130">
        <f t="shared" si="138"/>
        <v>0</v>
      </c>
      <c r="HS39" s="130">
        <f t="shared" si="138"/>
        <v>0</v>
      </c>
      <c r="HT39" s="130">
        <f t="shared" si="138"/>
        <v>0</v>
      </c>
      <c r="HU39" s="130">
        <f t="shared" si="138"/>
        <v>0</v>
      </c>
      <c r="HV39" s="130">
        <f t="shared" si="138"/>
        <v>0</v>
      </c>
      <c r="HW39" s="130">
        <f t="shared" si="138"/>
        <v>0</v>
      </c>
      <c r="HX39" s="130">
        <f t="shared" si="138"/>
        <v>0</v>
      </c>
      <c r="HY39" s="130">
        <f t="shared" si="138"/>
        <v>0</v>
      </c>
      <c r="HZ39" s="130">
        <f t="shared" si="138"/>
        <v>0</v>
      </c>
      <c r="IA39" s="130">
        <f t="shared" si="138"/>
        <v>0</v>
      </c>
      <c r="IB39" s="130">
        <f t="shared" si="138"/>
        <v>0</v>
      </c>
      <c r="IC39" s="130">
        <f t="shared" si="138"/>
        <v>0</v>
      </c>
      <c r="ID39" s="130">
        <f t="shared" si="138"/>
        <v>0</v>
      </c>
      <c r="IE39" s="130">
        <f t="shared" si="138"/>
        <v>0</v>
      </c>
      <c r="IF39" s="130">
        <f t="shared" si="138"/>
        <v>0</v>
      </c>
      <c r="IG39" s="130">
        <f t="shared" si="138"/>
        <v>0</v>
      </c>
      <c r="IH39" s="130">
        <f t="shared" si="138"/>
        <v>0</v>
      </c>
      <c r="II39" s="130">
        <f t="shared" si="138"/>
        <v>0</v>
      </c>
      <c r="IJ39" s="130">
        <f t="shared" si="138"/>
        <v>0</v>
      </c>
      <c r="IK39" s="130">
        <f t="shared" si="138"/>
        <v>0</v>
      </c>
      <c r="IL39" s="130">
        <f t="shared" si="138"/>
        <v>0</v>
      </c>
      <c r="IM39" s="130">
        <f t="shared" si="138"/>
        <v>0</v>
      </c>
      <c r="IN39" s="130">
        <f t="shared" si="138"/>
        <v>0</v>
      </c>
      <c r="IO39" s="130">
        <f t="shared" si="138"/>
        <v>0</v>
      </c>
      <c r="IP39" s="130">
        <f t="shared" si="138"/>
        <v>0</v>
      </c>
      <c r="IQ39" s="130">
        <f t="shared" si="138"/>
        <v>0</v>
      </c>
      <c r="IR39" s="130">
        <f t="shared" si="138"/>
        <v>0</v>
      </c>
      <c r="IS39" s="130">
        <f t="shared" si="138"/>
        <v>0</v>
      </c>
      <c r="IT39" s="130">
        <f t="shared" si="138"/>
        <v>0</v>
      </c>
      <c r="IU39" s="130">
        <f t="shared" si="138"/>
        <v>0</v>
      </c>
      <c r="IV39" s="130">
        <f t="shared" si="138"/>
        <v>0</v>
      </c>
      <c r="IW39" s="130">
        <f t="shared" si="138"/>
        <v>0</v>
      </c>
      <c r="IX39" s="130">
        <f t="shared" si="138"/>
        <v>0</v>
      </c>
      <c r="IY39" s="130">
        <f t="shared" si="138"/>
        <v>0</v>
      </c>
      <c r="IZ39" s="130">
        <f t="shared" si="138"/>
        <v>0</v>
      </c>
      <c r="JA39" s="130">
        <f t="shared" si="138"/>
        <v>0</v>
      </c>
      <c r="JB39" s="130">
        <f t="shared" si="138"/>
        <v>0</v>
      </c>
      <c r="JC39" s="130">
        <f t="shared" si="138"/>
        <v>0</v>
      </c>
      <c r="JD39" s="130">
        <f t="shared" si="138"/>
        <v>0</v>
      </c>
      <c r="JE39" s="130">
        <f t="shared" si="138"/>
        <v>0</v>
      </c>
      <c r="JF39" s="130">
        <f t="shared" si="138"/>
        <v>0</v>
      </c>
      <c r="JG39" s="130">
        <f t="shared" si="138"/>
        <v>0</v>
      </c>
      <c r="JH39" s="130">
        <f t="shared" si="138"/>
        <v>0</v>
      </c>
      <c r="JI39" s="130">
        <f t="shared" si="138"/>
        <v>0</v>
      </c>
      <c r="JJ39" s="130">
        <f t="shared" si="138"/>
        <v>0</v>
      </c>
      <c r="JK39" s="130">
        <f t="shared" ref="JK39:LV39" si="139">ROUND(JK64,0)</f>
        <v>0</v>
      </c>
      <c r="JL39" s="130">
        <f t="shared" si="139"/>
        <v>0</v>
      </c>
      <c r="JM39" s="130">
        <f t="shared" si="139"/>
        <v>0</v>
      </c>
      <c r="JN39" s="130">
        <f t="shared" si="139"/>
        <v>0</v>
      </c>
      <c r="JO39" s="130">
        <f t="shared" si="139"/>
        <v>0</v>
      </c>
      <c r="JP39" s="130">
        <f t="shared" si="139"/>
        <v>0</v>
      </c>
      <c r="JQ39" s="130">
        <f t="shared" si="139"/>
        <v>0</v>
      </c>
      <c r="JR39" s="130">
        <f t="shared" si="139"/>
        <v>0</v>
      </c>
      <c r="JS39" s="130">
        <f t="shared" si="139"/>
        <v>0</v>
      </c>
      <c r="JT39" s="130">
        <f t="shared" si="139"/>
        <v>0</v>
      </c>
      <c r="JU39" s="130">
        <f t="shared" si="139"/>
        <v>0</v>
      </c>
      <c r="JV39" s="130">
        <f t="shared" si="139"/>
        <v>0</v>
      </c>
      <c r="JW39" s="130">
        <f t="shared" si="139"/>
        <v>0</v>
      </c>
      <c r="JX39" s="130">
        <f t="shared" si="139"/>
        <v>0</v>
      </c>
      <c r="JY39" s="130">
        <f t="shared" si="139"/>
        <v>0</v>
      </c>
      <c r="JZ39" s="130">
        <f t="shared" si="139"/>
        <v>0</v>
      </c>
      <c r="KA39" s="130">
        <f t="shared" si="139"/>
        <v>0</v>
      </c>
      <c r="KB39" s="130">
        <f t="shared" si="139"/>
        <v>0</v>
      </c>
      <c r="KC39" s="130">
        <f t="shared" si="139"/>
        <v>0</v>
      </c>
      <c r="KD39" s="130">
        <f t="shared" si="139"/>
        <v>0</v>
      </c>
      <c r="KE39" s="130">
        <f t="shared" si="139"/>
        <v>0</v>
      </c>
      <c r="KF39" s="130">
        <f t="shared" si="139"/>
        <v>0</v>
      </c>
      <c r="KG39" s="130">
        <f t="shared" si="139"/>
        <v>0</v>
      </c>
      <c r="KH39" s="130">
        <f t="shared" si="139"/>
        <v>0</v>
      </c>
      <c r="KI39" s="130">
        <f t="shared" si="139"/>
        <v>0</v>
      </c>
      <c r="KJ39" s="130">
        <f t="shared" si="139"/>
        <v>0</v>
      </c>
      <c r="KK39" s="130">
        <f t="shared" si="139"/>
        <v>0</v>
      </c>
      <c r="KL39" s="130">
        <f t="shared" si="139"/>
        <v>0</v>
      </c>
      <c r="KM39" s="130">
        <f t="shared" si="139"/>
        <v>0</v>
      </c>
      <c r="KN39" s="130">
        <f t="shared" si="139"/>
        <v>0</v>
      </c>
      <c r="KO39" s="130">
        <f t="shared" si="139"/>
        <v>0</v>
      </c>
      <c r="KP39" s="130">
        <f t="shared" si="139"/>
        <v>0</v>
      </c>
      <c r="KQ39" s="130">
        <f t="shared" si="139"/>
        <v>0</v>
      </c>
      <c r="KR39" s="130">
        <f t="shared" si="139"/>
        <v>0</v>
      </c>
      <c r="KS39" s="130">
        <f t="shared" si="139"/>
        <v>0</v>
      </c>
      <c r="KT39" s="130">
        <f t="shared" si="139"/>
        <v>0</v>
      </c>
      <c r="KU39" s="130">
        <f t="shared" si="139"/>
        <v>0</v>
      </c>
      <c r="KV39" s="130">
        <f t="shared" si="139"/>
        <v>0</v>
      </c>
      <c r="KW39" s="130">
        <f t="shared" si="139"/>
        <v>0</v>
      </c>
      <c r="KX39" s="130">
        <f t="shared" si="139"/>
        <v>0</v>
      </c>
      <c r="KY39" s="130">
        <f t="shared" si="139"/>
        <v>0</v>
      </c>
      <c r="KZ39" s="130">
        <f t="shared" si="139"/>
        <v>0</v>
      </c>
      <c r="LA39" s="130">
        <f t="shared" si="139"/>
        <v>0</v>
      </c>
      <c r="LB39" s="130">
        <f t="shared" si="139"/>
        <v>0</v>
      </c>
      <c r="LC39" s="130">
        <f t="shared" si="139"/>
        <v>0</v>
      </c>
      <c r="LD39" s="130">
        <f t="shared" si="139"/>
        <v>0</v>
      </c>
      <c r="LE39" s="130">
        <f t="shared" si="139"/>
        <v>0</v>
      </c>
      <c r="LF39" s="130">
        <f t="shared" si="139"/>
        <v>0</v>
      </c>
      <c r="LG39" s="130">
        <f t="shared" si="139"/>
        <v>0</v>
      </c>
      <c r="LH39" s="130">
        <f t="shared" si="139"/>
        <v>0</v>
      </c>
      <c r="LI39" s="130">
        <f t="shared" si="139"/>
        <v>0</v>
      </c>
      <c r="LJ39" s="130">
        <f t="shared" si="139"/>
        <v>0</v>
      </c>
      <c r="LK39" s="130">
        <f t="shared" si="139"/>
        <v>0</v>
      </c>
      <c r="LL39" s="130">
        <f t="shared" si="139"/>
        <v>0</v>
      </c>
      <c r="LM39" s="130">
        <f t="shared" si="139"/>
        <v>0</v>
      </c>
      <c r="LN39" s="130">
        <f t="shared" si="139"/>
        <v>0</v>
      </c>
      <c r="LO39" s="130">
        <f t="shared" si="139"/>
        <v>0</v>
      </c>
      <c r="LP39" s="130">
        <f t="shared" si="139"/>
        <v>0</v>
      </c>
      <c r="LQ39" s="130">
        <f t="shared" si="139"/>
        <v>0</v>
      </c>
      <c r="LR39" s="130">
        <f t="shared" si="139"/>
        <v>0</v>
      </c>
      <c r="LS39" s="130">
        <f t="shared" si="139"/>
        <v>0</v>
      </c>
      <c r="LT39" s="130">
        <f t="shared" si="139"/>
        <v>0</v>
      </c>
      <c r="LU39" s="130">
        <f t="shared" si="139"/>
        <v>0</v>
      </c>
      <c r="LV39" s="130">
        <f t="shared" si="139"/>
        <v>0</v>
      </c>
      <c r="LW39" s="130">
        <f t="shared" ref="LW39:OH39" si="140">ROUND(LW64,0)</f>
        <v>0</v>
      </c>
      <c r="LX39" s="130">
        <f t="shared" si="140"/>
        <v>0</v>
      </c>
      <c r="LY39" s="130">
        <f t="shared" si="140"/>
        <v>0</v>
      </c>
      <c r="LZ39" s="130">
        <f t="shared" si="140"/>
        <v>0</v>
      </c>
      <c r="MA39" s="130">
        <f t="shared" si="140"/>
        <v>0</v>
      </c>
      <c r="MB39" s="130">
        <f t="shared" si="140"/>
        <v>0</v>
      </c>
      <c r="MC39" s="130">
        <f t="shared" si="140"/>
        <v>0</v>
      </c>
      <c r="MD39" s="130">
        <f t="shared" si="140"/>
        <v>0</v>
      </c>
      <c r="ME39" s="130">
        <f t="shared" si="140"/>
        <v>0</v>
      </c>
      <c r="MF39" s="130">
        <f t="shared" si="140"/>
        <v>0</v>
      </c>
      <c r="MG39" s="130">
        <f t="shared" si="140"/>
        <v>0</v>
      </c>
      <c r="MH39" s="130">
        <f t="shared" si="140"/>
        <v>0</v>
      </c>
      <c r="MI39" s="130">
        <f t="shared" si="140"/>
        <v>0</v>
      </c>
      <c r="MJ39" s="130">
        <f t="shared" si="140"/>
        <v>0</v>
      </c>
      <c r="MK39" s="130">
        <f t="shared" si="140"/>
        <v>0</v>
      </c>
      <c r="ML39" s="130">
        <f t="shared" si="140"/>
        <v>0</v>
      </c>
      <c r="MM39" s="130">
        <f t="shared" si="140"/>
        <v>0</v>
      </c>
      <c r="MN39" s="130">
        <f t="shared" si="140"/>
        <v>0</v>
      </c>
      <c r="MO39" s="130">
        <f t="shared" si="140"/>
        <v>0</v>
      </c>
      <c r="MP39" s="130">
        <f t="shared" si="140"/>
        <v>0</v>
      </c>
      <c r="MQ39" s="130">
        <f t="shared" si="140"/>
        <v>0</v>
      </c>
      <c r="MR39" s="130">
        <f t="shared" si="140"/>
        <v>0</v>
      </c>
      <c r="MS39" s="130">
        <f t="shared" si="140"/>
        <v>0</v>
      </c>
      <c r="MT39" s="130">
        <f t="shared" si="140"/>
        <v>0</v>
      </c>
      <c r="MU39" s="130">
        <f t="shared" si="140"/>
        <v>0</v>
      </c>
      <c r="MV39" s="130">
        <f t="shared" si="140"/>
        <v>0</v>
      </c>
      <c r="MW39" s="130">
        <f t="shared" si="140"/>
        <v>0</v>
      </c>
      <c r="MX39" s="130">
        <f t="shared" si="140"/>
        <v>0</v>
      </c>
      <c r="MY39" s="130">
        <f t="shared" si="140"/>
        <v>0</v>
      </c>
      <c r="MZ39" s="130">
        <f t="shared" si="140"/>
        <v>0</v>
      </c>
      <c r="NA39" s="130">
        <f t="shared" si="140"/>
        <v>0</v>
      </c>
      <c r="NB39" s="130">
        <f t="shared" si="140"/>
        <v>0</v>
      </c>
      <c r="NC39" s="130">
        <f t="shared" si="140"/>
        <v>0</v>
      </c>
      <c r="ND39" s="130">
        <f t="shared" si="140"/>
        <v>0</v>
      </c>
      <c r="NE39" s="130">
        <f t="shared" si="140"/>
        <v>0</v>
      </c>
      <c r="NF39" s="130">
        <f t="shared" si="140"/>
        <v>0</v>
      </c>
      <c r="NG39" s="130">
        <f t="shared" si="140"/>
        <v>0</v>
      </c>
      <c r="NH39" s="130">
        <f t="shared" si="140"/>
        <v>0</v>
      </c>
      <c r="NI39" s="130">
        <f t="shared" si="140"/>
        <v>0</v>
      </c>
      <c r="NJ39" s="130">
        <f t="shared" si="140"/>
        <v>0</v>
      </c>
      <c r="NK39" s="130">
        <f t="shared" si="140"/>
        <v>0</v>
      </c>
      <c r="NL39" s="130">
        <f t="shared" si="140"/>
        <v>0</v>
      </c>
      <c r="NM39" s="130">
        <f t="shared" si="140"/>
        <v>0</v>
      </c>
      <c r="NN39" s="130">
        <f t="shared" si="140"/>
        <v>0</v>
      </c>
      <c r="NO39" s="130">
        <f t="shared" si="140"/>
        <v>0</v>
      </c>
      <c r="NP39" s="130">
        <f t="shared" si="140"/>
        <v>0</v>
      </c>
      <c r="NQ39" s="130">
        <f t="shared" si="140"/>
        <v>0</v>
      </c>
      <c r="NR39" s="130">
        <f t="shared" si="140"/>
        <v>0</v>
      </c>
      <c r="NS39" s="130">
        <f t="shared" si="140"/>
        <v>0</v>
      </c>
      <c r="NT39" s="130">
        <f t="shared" si="140"/>
        <v>0</v>
      </c>
      <c r="NU39" s="130">
        <f t="shared" si="140"/>
        <v>0</v>
      </c>
      <c r="NV39" s="130">
        <f t="shared" si="140"/>
        <v>0</v>
      </c>
      <c r="NW39" s="130">
        <f t="shared" si="140"/>
        <v>0</v>
      </c>
      <c r="NX39" s="130">
        <f t="shared" si="140"/>
        <v>0</v>
      </c>
      <c r="NY39" s="130">
        <f t="shared" si="140"/>
        <v>0</v>
      </c>
      <c r="NZ39" s="130">
        <f t="shared" si="140"/>
        <v>0</v>
      </c>
      <c r="OA39" s="130">
        <f t="shared" si="140"/>
        <v>0</v>
      </c>
      <c r="OB39" s="130">
        <f t="shared" si="140"/>
        <v>0</v>
      </c>
      <c r="OC39" s="130">
        <f t="shared" si="140"/>
        <v>0</v>
      </c>
      <c r="OD39" s="130">
        <f t="shared" si="140"/>
        <v>0</v>
      </c>
      <c r="OE39" s="130">
        <f t="shared" si="140"/>
        <v>0</v>
      </c>
      <c r="OF39" s="130">
        <f t="shared" si="140"/>
        <v>0</v>
      </c>
      <c r="OG39" s="130">
        <f t="shared" si="140"/>
        <v>0</v>
      </c>
      <c r="OH39" s="130">
        <f t="shared" si="140"/>
        <v>0</v>
      </c>
      <c r="OI39" s="130">
        <f t="shared" ref="OI39:QT39" si="141">ROUND(OI64,0)</f>
        <v>0</v>
      </c>
      <c r="OJ39" s="130">
        <f t="shared" si="141"/>
        <v>0</v>
      </c>
      <c r="OK39" s="130">
        <f t="shared" si="141"/>
        <v>0</v>
      </c>
      <c r="OL39" s="130">
        <f t="shared" si="141"/>
        <v>0</v>
      </c>
      <c r="OM39" s="130">
        <f t="shared" si="141"/>
        <v>0</v>
      </c>
      <c r="ON39" s="130">
        <f t="shared" si="141"/>
        <v>0</v>
      </c>
      <c r="OO39" s="130">
        <f t="shared" si="141"/>
        <v>0</v>
      </c>
      <c r="OP39" s="130">
        <f t="shared" si="141"/>
        <v>0</v>
      </c>
      <c r="OQ39" s="130">
        <f t="shared" si="141"/>
        <v>0</v>
      </c>
      <c r="OR39" s="130">
        <f t="shared" si="141"/>
        <v>0</v>
      </c>
      <c r="OS39" s="130">
        <f t="shared" si="141"/>
        <v>0</v>
      </c>
      <c r="OT39" s="130">
        <f t="shared" si="141"/>
        <v>0</v>
      </c>
      <c r="OU39" s="130">
        <f t="shared" si="141"/>
        <v>0</v>
      </c>
      <c r="OV39" s="130">
        <f t="shared" si="141"/>
        <v>0</v>
      </c>
      <c r="OW39" s="130">
        <f t="shared" si="141"/>
        <v>0</v>
      </c>
      <c r="OX39" s="130">
        <f t="shared" si="141"/>
        <v>0</v>
      </c>
      <c r="OY39" s="130">
        <f t="shared" si="141"/>
        <v>0</v>
      </c>
      <c r="OZ39" s="130">
        <f t="shared" si="141"/>
        <v>0</v>
      </c>
      <c r="PA39" s="130">
        <f t="shared" si="141"/>
        <v>0</v>
      </c>
      <c r="PB39" s="130">
        <f t="shared" si="141"/>
        <v>0</v>
      </c>
      <c r="PC39" s="130">
        <f t="shared" si="141"/>
        <v>0</v>
      </c>
      <c r="PD39" s="130">
        <f t="shared" si="141"/>
        <v>0</v>
      </c>
      <c r="PE39" s="130">
        <f t="shared" si="141"/>
        <v>0</v>
      </c>
      <c r="PF39" s="130">
        <f t="shared" si="141"/>
        <v>0</v>
      </c>
      <c r="PG39" s="130">
        <f t="shared" si="141"/>
        <v>0</v>
      </c>
      <c r="PH39" s="130">
        <f t="shared" si="141"/>
        <v>0</v>
      </c>
      <c r="PI39" s="130">
        <f t="shared" si="141"/>
        <v>0</v>
      </c>
      <c r="PJ39" s="130">
        <f t="shared" si="141"/>
        <v>0</v>
      </c>
      <c r="PK39" s="130">
        <f t="shared" si="141"/>
        <v>0</v>
      </c>
      <c r="PL39" s="130">
        <f t="shared" si="141"/>
        <v>0</v>
      </c>
      <c r="PM39" s="130">
        <f t="shared" si="141"/>
        <v>0</v>
      </c>
      <c r="PN39" s="130">
        <f t="shared" si="141"/>
        <v>0</v>
      </c>
      <c r="PO39" s="130">
        <f t="shared" si="141"/>
        <v>0</v>
      </c>
      <c r="PP39" s="130">
        <f t="shared" si="141"/>
        <v>0</v>
      </c>
      <c r="PQ39" s="130">
        <f t="shared" si="141"/>
        <v>0</v>
      </c>
      <c r="PR39" s="130">
        <f t="shared" si="141"/>
        <v>0</v>
      </c>
      <c r="PS39" s="130">
        <f t="shared" si="141"/>
        <v>0</v>
      </c>
      <c r="PT39" s="130">
        <f t="shared" si="141"/>
        <v>0</v>
      </c>
      <c r="PU39" s="130">
        <f t="shared" si="141"/>
        <v>0</v>
      </c>
      <c r="PV39" s="130">
        <f t="shared" si="141"/>
        <v>0</v>
      </c>
      <c r="PW39" s="130">
        <f t="shared" si="141"/>
        <v>0</v>
      </c>
      <c r="PX39" s="130">
        <f t="shared" si="141"/>
        <v>0</v>
      </c>
      <c r="PY39" s="130">
        <f t="shared" si="141"/>
        <v>0</v>
      </c>
      <c r="PZ39" s="130">
        <f t="shared" si="141"/>
        <v>0</v>
      </c>
      <c r="QA39" s="130">
        <f t="shared" si="141"/>
        <v>0</v>
      </c>
      <c r="QB39" s="130">
        <f t="shared" si="141"/>
        <v>0</v>
      </c>
      <c r="QC39" s="130">
        <f t="shared" si="141"/>
        <v>0</v>
      </c>
      <c r="QD39" s="130">
        <f t="shared" si="141"/>
        <v>0</v>
      </c>
      <c r="QE39" s="130">
        <f t="shared" si="141"/>
        <v>0</v>
      </c>
      <c r="QF39" s="130">
        <f t="shared" si="141"/>
        <v>0</v>
      </c>
      <c r="QG39" s="130">
        <f t="shared" si="141"/>
        <v>0</v>
      </c>
      <c r="QH39" s="130">
        <f t="shared" si="141"/>
        <v>0</v>
      </c>
      <c r="QI39" s="130">
        <f t="shared" si="141"/>
        <v>0</v>
      </c>
      <c r="QJ39" s="130">
        <f t="shared" si="141"/>
        <v>0</v>
      </c>
      <c r="QK39" s="130">
        <f t="shared" si="141"/>
        <v>0</v>
      </c>
      <c r="QL39" s="130">
        <f t="shared" si="141"/>
        <v>0</v>
      </c>
      <c r="QM39" s="130">
        <f t="shared" si="141"/>
        <v>0</v>
      </c>
      <c r="QN39" s="130">
        <f t="shared" si="141"/>
        <v>0</v>
      </c>
      <c r="QO39" s="130">
        <f t="shared" si="141"/>
        <v>0</v>
      </c>
      <c r="QP39" s="130">
        <f t="shared" si="141"/>
        <v>0</v>
      </c>
      <c r="QQ39" s="130">
        <f t="shared" si="141"/>
        <v>0</v>
      </c>
      <c r="QR39" s="130">
        <f t="shared" si="141"/>
        <v>0</v>
      </c>
      <c r="QS39" s="130">
        <f t="shared" si="141"/>
        <v>0</v>
      </c>
      <c r="QT39" s="130">
        <f t="shared" si="141"/>
        <v>0</v>
      </c>
      <c r="QU39" s="130">
        <f t="shared" ref="QU39:TF39" si="142">ROUND(QU64,0)</f>
        <v>0</v>
      </c>
      <c r="QV39" s="130">
        <f t="shared" si="142"/>
        <v>0</v>
      </c>
      <c r="QW39" s="130">
        <f t="shared" si="142"/>
        <v>0</v>
      </c>
      <c r="QX39" s="130">
        <f t="shared" si="142"/>
        <v>0</v>
      </c>
      <c r="QY39" s="130">
        <f t="shared" si="142"/>
        <v>0</v>
      </c>
      <c r="QZ39" s="130">
        <f t="shared" si="142"/>
        <v>0</v>
      </c>
      <c r="RA39" s="130">
        <f t="shared" si="142"/>
        <v>0</v>
      </c>
      <c r="RB39" s="130">
        <f t="shared" si="142"/>
        <v>0</v>
      </c>
      <c r="RC39" s="130">
        <f t="shared" si="142"/>
        <v>0</v>
      </c>
      <c r="RD39" s="130">
        <f t="shared" si="142"/>
        <v>0</v>
      </c>
      <c r="RE39" s="130">
        <f t="shared" si="142"/>
        <v>0</v>
      </c>
      <c r="RF39" s="130">
        <f t="shared" si="142"/>
        <v>0</v>
      </c>
      <c r="RG39" s="130">
        <f t="shared" si="142"/>
        <v>0</v>
      </c>
      <c r="RH39" s="130">
        <f t="shared" si="142"/>
        <v>0</v>
      </c>
      <c r="RI39" s="130">
        <f t="shared" si="142"/>
        <v>0</v>
      </c>
      <c r="RJ39" s="130">
        <f t="shared" si="142"/>
        <v>0</v>
      </c>
      <c r="RK39" s="130">
        <f t="shared" si="142"/>
        <v>0</v>
      </c>
      <c r="RL39" s="130">
        <f t="shared" si="142"/>
        <v>0</v>
      </c>
      <c r="RM39" s="130">
        <f t="shared" si="142"/>
        <v>0</v>
      </c>
      <c r="RN39" s="130">
        <f t="shared" si="142"/>
        <v>0</v>
      </c>
      <c r="RO39" s="130">
        <f t="shared" si="142"/>
        <v>0</v>
      </c>
      <c r="RP39" s="130">
        <f t="shared" si="142"/>
        <v>0</v>
      </c>
      <c r="RQ39" s="130">
        <f t="shared" si="142"/>
        <v>0</v>
      </c>
      <c r="RR39" s="130">
        <f t="shared" si="142"/>
        <v>0</v>
      </c>
      <c r="RS39" s="130">
        <f t="shared" si="142"/>
        <v>0</v>
      </c>
      <c r="RT39" s="130">
        <f t="shared" si="142"/>
        <v>0</v>
      </c>
      <c r="RU39" s="130">
        <f t="shared" si="142"/>
        <v>0</v>
      </c>
      <c r="RV39" s="130">
        <f t="shared" si="142"/>
        <v>0</v>
      </c>
      <c r="RW39" s="130">
        <f t="shared" si="142"/>
        <v>0</v>
      </c>
      <c r="RX39" s="130">
        <f t="shared" si="142"/>
        <v>0</v>
      </c>
      <c r="RY39" s="130">
        <f t="shared" si="142"/>
        <v>0</v>
      </c>
      <c r="RZ39" s="130">
        <f t="shared" si="142"/>
        <v>0</v>
      </c>
      <c r="SA39" s="130">
        <f t="shared" si="142"/>
        <v>0</v>
      </c>
      <c r="SB39" s="130">
        <f t="shared" si="142"/>
        <v>0</v>
      </c>
      <c r="SC39" s="130">
        <f t="shared" si="142"/>
        <v>0</v>
      </c>
      <c r="SD39" s="130">
        <f t="shared" si="142"/>
        <v>0</v>
      </c>
      <c r="SE39" s="130">
        <f t="shared" si="142"/>
        <v>0</v>
      </c>
      <c r="SF39" s="130">
        <f t="shared" si="142"/>
        <v>0</v>
      </c>
      <c r="SG39" s="130">
        <f t="shared" si="142"/>
        <v>0</v>
      </c>
      <c r="SH39" s="130">
        <f t="shared" si="142"/>
        <v>0</v>
      </c>
      <c r="SI39" s="130">
        <f t="shared" si="142"/>
        <v>0</v>
      </c>
      <c r="SJ39" s="130">
        <f t="shared" si="142"/>
        <v>0</v>
      </c>
      <c r="SK39" s="130">
        <f t="shared" si="142"/>
        <v>0</v>
      </c>
      <c r="SL39" s="130">
        <f t="shared" si="142"/>
        <v>0</v>
      </c>
      <c r="SM39" s="130">
        <f t="shared" si="142"/>
        <v>0</v>
      </c>
      <c r="SN39" s="130">
        <f t="shared" si="142"/>
        <v>0</v>
      </c>
      <c r="SO39" s="130">
        <f t="shared" si="142"/>
        <v>0</v>
      </c>
      <c r="SP39" s="130">
        <f t="shared" si="142"/>
        <v>0</v>
      </c>
      <c r="SQ39" s="130">
        <f t="shared" si="142"/>
        <v>0</v>
      </c>
      <c r="SR39" s="130">
        <f t="shared" si="142"/>
        <v>0</v>
      </c>
      <c r="SS39" s="130">
        <f t="shared" si="142"/>
        <v>0</v>
      </c>
      <c r="ST39" s="130">
        <f t="shared" si="142"/>
        <v>0</v>
      </c>
      <c r="SU39" s="130">
        <f t="shared" si="142"/>
        <v>0</v>
      </c>
      <c r="SV39" s="130">
        <f t="shared" si="142"/>
        <v>0</v>
      </c>
      <c r="SW39" s="130">
        <f t="shared" si="142"/>
        <v>0</v>
      </c>
      <c r="SX39" s="130">
        <f t="shared" si="142"/>
        <v>0</v>
      </c>
      <c r="SY39" s="130">
        <f t="shared" si="142"/>
        <v>0</v>
      </c>
      <c r="SZ39" s="130">
        <f t="shared" si="142"/>
        <v>0</v>
      </c>
      <c r="TA39" s="130">
        <f t="shared" si="142"/>
        <v>0</v>
      </c>
      <c r="TB39" s="130">
        <f t="shared" si="142"/>
        <v>0</v>
      </c>
      <c r="TC39" s="130">
        <f t="shared" si="142"/>
        <v>0</v>
      </c>
      <c r="TD39" s="130">
        <f t="shared" si="142"/>
        <v>0</v>
      </c>
      <c r="TE39" s="130">
        <f t="shared" si="142"/>
        <v>0</v>
      </c>
      <c r="TF39" s="130">
        <f t="shared" si="142"/>
        <v>0</v>
      </c>
      <c r="TG39" s="130">
        <f t="shared" ref="TG39:VR39" si="143">ROUND(TG64,0)</f>
        <v>0</v>
      </c>
      <c r="TH39" s="130">
        <f t="shared" si="143"/>
        <v>0</v>
      </c>
      <c r="TI39" s="130">
        <f t="shared" si="143"/>
        <v>0</v>
      </c>
      <c r="TJ39" s="130">
        <f t="shared" si="143"/>
        <v>0</v>
      </c>
      <c r="TK39" s="130">
        <f t="shared" si="143"/>
        <v>0</v>
      </c>
      <c r="TL39" s="130">
        <f t="shared" si="143"/>
        <v>0</v>
      </c>
      <c r="TM39" s="130">
        <f t="shared" si="143"/>
        <v>0</v>
      </c>
      <c r="TN39" s="130">
        <f t="shared" si="143"/>
        <v>0</v>
      </c>
      <c r="TO39" s="130">
        <f t="shared" si="143"/>
        <v>0</v>
      </c>
      <c r="TP39" s="130">
        <f t="shared" si="143"/>
        <v>0</v>
      </c>
      <c r="TQ39" s="130">
        <f t="shared" si="143"/>
        <v>0</v>
      </c>
      <c r="TR39" s="130">
        <f t="shared" si="143"/>
        <v>0</v>
      </c>
      <c r="TS39" s="130">
        <f t="shared" si="143"/>
        <v>0</v>
      </c>
      <c r="TT39" s="130">
        <f t="shared" si="143"/>
        <v>0</v>
      </c>
      <c r="TU39" s="130">
        <f t="shared" si="143"/>
        <v>0</v>
      </c>
      <c r="TV39" s="130">
        <f t="shared" si="143"/>
        <v>0</v>
      </c>
      <c r="TW39" s="130">
        <f t="shared" si="143"/>
        <v>0</v>
      </c>
      <c r="TX39" s="130">
        <f t="shared" si="143"/>
        <v>0</v>
      </c>
      <c r="TY39" s="130">
        <f t="shared" si="143"/>
        <v>0</v>
      </c>
      <c r="TZ39" s="130">
        <f t="shared" si="143"/>
        <v>0</v>
      </c>
      <c r="UA39" s="130">
        <f t="shared" si="143"/>
        <v>0</v>
      </c>
      <c r="UB39" s="130">
        <f t="shared" si="143"/>
        <v>0</v>
      </c>
      <c r="UC39" s="130">
        <f t="shared" si="143"/>
        <v>0</v>
      </c>
      <c r="UD39" s="130">
        <f t="shared" si="143"/>
        <v>0</v>
      </c>
      <c r="UE39" s="130">
        <f t="shared" si="143"/>
        <v>0</v>
      </c>
      <c r="UF39" s="130">
        <f t="shared" si="143"/>
        <v>0</v>
      </c>
      <c r="UG39" s="130">
        <f t="shared" si="143"/>
        <v>0</v>
      </c>
      <c r="UH39" s="130">
        <f t="shared" si="143"/>
        <v>0</v>
      </c>
      <c r="UI39" s="130">
        <f t="shared" si="143"/>
        <v>0</v>
      </c>
      <c r="UJ39" s="130">
        <f t="shared" si="143"/>
        <v>0</v>
      </c>
      <c r="UK39" s="130">
        <f t="shared" si="143"/>
        <v>0</v>
      </c>
      <c r="UL39" s="130">
        <f t="shared" si="143"/>
        <v>0</v>
      </c>
      <c r="UM39" s="130">
        <f t="shared" si="143"/>
        <v>0</v>
      </c>
      <c r="UN39" s="130">
        <f t="shared" si="143"/>
        <v>0</v>
      </c>
      <c r="UO39" s="130">
        <f t="shared" si="143"/>
        <v>0</v>
      </c>
      <c r="UP39" s="130">
        <f t="shared" si="143"/>
        <v>0</v>
      </c>
      <c r="UQ39" s="130">
        <f t="shared" si="143"/>
        <v>0</v>
      </c>
      <c r="UR39" s="130">
        <f t="shared" si="143"/>
        <v>0</v>
      </c>
      <c r="US39" s="130">
        <f t="shared" si="143"/>
        <v>0</v>
      </c>
      <c r="UT39" s="130">
        <f t="shared" si="143"/>
        <v>0</v>
      </c>
      <c r="UU39" s="130">
        <f t="shared" si="143"/>
        <v>0</v>
      </c>
      <c r="UV39" s="130">
        <f t="shared" si="143"/>
        <v>0</v>
      </c>
      <c r="UW39" s="130">
        <f t="shared" si="143"/>
        <v>0</v>
      </c>
      <c r="UX39" s="130">
        <f t="shared" si="143"/>
        <v>0</v>
      </c>
      <c r="UY39" s="130">
        <f t="shared" si="143"/>
        <v>0</v>
      </c>
      <c r="UZ39" s="130">
        <f t="shared" si="143"/>
        <v>0</v>
      </c>
      <c r="VA39" s="130">
        <f t="shared" si="143"/>
        <v>0</v>
      </c>
      <c r="VB39" s="130">
        <f t="shared" si="143"/>
        <v>0</v>
      </c>
      <c r="VC39" s="130">
        <f t="shared" si="143"/>
        <v>0</v>
      </c>
      <c r="VD39" s="130">
        <f t="shared" si="143"/>
        <v>0</v>
      </c>
      <c r="VE39" s="130">
        <f t="shared" si="143"/>
        <v>0</v>
      </c>
      <c r="VF39" s="130">
        <f t="shared" si="143"/>
        <v>0</v>
      </c>
      <c r="VG39" s="130">
        <f t="shared" si="143"/>
        <v>0</v>
      </c>
      <c r="VH39" s="130">
        <f t="shared" si="143"/>
        <v>0</v>
      </c>
      <c r="VI39" s="130">
        <f t="shared" si="143"/>
        <v>0</v>
      </c>
      <c r="VJ39" s="130">
        <f t="shared" si="143"/>
        <v>0</v>
      </c>
      <c r="VK39" s="130">
        <f t="shared" si="143"/>
        <v>0</v>
      </c>
      <c r="VL39" s="130">
        <f t="shared" si="143"/>
        <v>0</v>
      </c>
      <c r="VM39" s="130">
        <f t="shared" si="143"/>
        <v>0</v>
      </c>
      <c r="VN39" s="130">
        <f t="shared" si="143"/>
        <v>0</v>
      </c>
      <c r="VO39" s="130">
        <f t="shared" si="143"/>
        <v>0</v>
      </c>
      <c r="VP39" s="130">
        <f t="shared" si="143"/>
        <v>0</v>
      </c>
      <c r="VQ39" s="130">
        <f t="shared" si="143"/>
        <v>0</v>
      </c>
      <c r="VR39" s="130">
        <f t="shared" si="143"/>
        <v>0</v>
      </c>
      <c r="VS39" s="130">
        <f t="shared" ref="VS39:YD39" si="144">ROUND(VS64,0)</f>
        <v>0</v>
      </c>
      <c r="VT39" s="130">
        <f t="shared" si="144"/>
        <v>0</v>
      </c>
      <c r="VU39" s="130">
        <f t="shared" si="144"/>
        <v>0</v>
      </c>
      <c r="VV39" s="130">
        <f t="shared" si="144"/>
        <v>0</v>
      </c>
      <c r="VW39" s="130">
        <f t="shared" si="144"/>
        <v>0</v>
      </c>
      <c r="VX39" s="130">
        <f t="shared" si="144"/>
        <v>0</v>
      </c>
      <c r="VY39" s="130">
        <f t="shared" si="144"/>
        <v>0</v>
      </c>
      <c r="VZ39" s="130">
        <f t="shared" si="144"/>
        <v>0</v>
      </c>
      <c r="WA39" s="130">
        <f t="shared" si="144"/>
        <v>0</v>
      </c>
      <c r="WB39" s="130">
        <f t="shared" si="144"/>
        <v>0</v>
      </c>
      <c r="WC39" s="130">
        <f t="shared" si="144"/>
        <v>0</v>
      </c>
      <c r="WD39" s="130">
        <f t="shared" si="144"/>
        <v>0</v>
      </c>
      <c r="WE39" s="130">
        <f t="shared" si="144"/>
        <v>0</v>
      </c>
      <c r="WF39" s="130">
        <f t="shared" si="144"/>
        <v>0</v>
      </c>
      <c r="WG39" s="130">
        <f t="shared" si="144"/>
        <v>0</v>
      </c>
      <c r="WH39" s="130">
        <f t="shared" si="144"/>
        <v>0</v>
      </c>
      <c r="WI39" s="130">
        <f t="shared" si="144"/>
        <v>0</v>
      </c>
      <c r="WJ39" s="130">
        <f t="shared" si="144"/>
        <v>0</v>
      </c>
      <c r="WK39" s="130">
        <f t="shared" si="144"/>
        <v>0</v>
      </c>
      <c r="WL39" s="130">
        <f t="shared" si="144"/>
        <v>0</v>
      </c>
      <c r="WM39" s="130">
        <f t="shared" si="144"/>
        <v>0</v>
      </c>
      <c r="WN39" s="130">
        <f t="shared" si="144"/>
        <v>0</v>
      </c>
      <c r="WO39" s="130">
        <f t="shared" si="144"/>
        <v>0</v>
      </c>
      <c r="WP39" s="130">
        <f t="shared" si="144"/>
        <v>0</v>
      </c>
      <c r="WQ39" s="130">
        <f t="shared" si="144"/>
        <v>0</v>
      </c>
      <c r="WR39" s="130">
        <f t="shared" si="144"/>
        <v>0</v>
      </c>
      <c r="WS39" s="130">
        <f t="shared" si="144"/>
        <v>0</v>
      </c>
      <c r="WT39" s="130">
        <f t="shared" si="144"/>
        <v>0</v>
      </c>
      <c r="WU39" s="130">
        <f t="shared" si="144"/>
        <v>0</v>
      </c>
      <c r="WV39" s="130">
        <f t="shared" si="144"/>
        <v>0</v>
      </c>
      <c r="WW39" s="130">
        <f t="shared" si="144"/>
        <v>0</v>
      </c>
      <c r="WX39" s="130">
        <f t="shared" si="144"/>
        <v>0</v>
      </c>
      <c r="WY39" s="130">
        <f t="shared" si="144"/>
        <v>0</v>
      </c>
      <c r="WZ39" s="130">
        <f t="shared" si="144"/>
        <v>0</v>
      </c>
      <c r="XA39" s="130">
        <f t="shared" si="144"/>
        <v>0</v>
      </c>
      <c r="XB39" s="130">
        <f t="shared" si="144"/>
        <v>0</v>
      </c>
      <c r="XC39" s="130">
        <f t="shared" si="144"/>
        <v>0</v>
      </c>
      <c r="XD39" s="130">
        <f t="shared" si="144"/>
        <v>0</v>
      </c>
      <c r="XE39" s="130">
        <f t="shared" si="144"/>
        <v>0</v>
      </c>
      <c r="XF39" s="130">
        <f t="shared" si="144"/>
        <v>0</v>
      </c>
      <c r="XG39" s="130">
        <f t="shared" si="144"/>
        <v>0</v>
      </c>
      <c r="XH39" s="130">
        <f t="shared" si="144"/>
        <v>0</v>
      </c>
      <c r="XI39" s="130">
        <f t="shared" si="144"/>
        <v>0</v>
      </c>
      <c r="XJ39" s="130">
        <f t="shared" si="144"/>
        <v>0</v>
      </c>
      <c r="XK39" s="130">
        <f t="shared" si="144"/>
        <v>0</v>
      </c>
      <c r="XL39" s="130">
        <f t="shared" si="144"/>
        <v>0</v>
      </c>
      <c r="XM39" s="130">
        <f t="shared" si="144"/>
        <v>0</v>
      </c>
      <c r="XN39" s="130">
        <f t="shared" si="144"/>
        <v>0</v>
      </c>
      <c r="XO39" s="130">
        <f t="shared" si="144"/>
        <v>0</v>
      </c>
      <c r="XP39" s="130">
        <f t="shared" si="144"/>
        <v>0</v>
      </c>
      <c r="XQ39" s="130">
        <f t="shared" si="144"/>
        <v>0</v>
      </c>
      <c r="XR39" s="130">
        <f t="shared" si="144"/>
        <v>0</v>
      </c>
      <c r="XS39" s="130">
        <f t="shared" si="144"/>
        <v>0</v>
      </c>
      <c r="XT39" s="130">
        <f t="shared" si="144"/>
        <v>0</v>
      </c>
      <c r="XU39" s="130">
        <f t="shared" si="144"/>
        <v>0</v>
      </c>
      <c r="XV39" s="130">
        <f t="shared" si="144"/>
        <v>0</v>
      </c>
      <c r="XW39" s="130">
        <f t="shared" si="144"/>
        <v>0</v>
      </c>
      <c r="XX39" s="130">
        <f t="shared" si="144"/>
        <v>0</v>
      </c>
      <c r="XY39" s="130">
        <f t="shared" si="144"/>
        <v>0</v>
      </c>
      <c r="XZ39" s="130">
        <f t="shared" si="144"/>
        <v>0</v>
      </c>
      <c r="YA39" s="130">
        <f t="shared" si="144"/>
        <v>0</v>
      </c>
      <c r="YB39" s="130">
        <f t="shared" si="144"/>
        <v>0</v>
      </c>
      <c r="YC39" s="130">
        <f t="shared" si="144"/>
        <v>0</v>
      </c>
      <c r="YD39" s="130">
        <f t="shared" si="144"/>
        <v>0</v>
      </c>
      <c r="YE39" s="130">
        <f t="shared" ref="YE39:AAP39" si="145">ROUND(YE64,0)</f>
        <v>0</v>
      </c>
      <c r="YF39" s="130">
        <f t="shared" si="145"/>
        <v>0</v>
      </c>
      <c r="YG39" s="130">
        <f t="shared" si="145"/>
        <v>0</v>
      </c>
      <c r="YH39" s="130">
        <f t="shared" si="145"/>
        <v>0</v>
      </c>
      <c r="YI39" s="130">
        <f t="shared" si="145"/>
        <v>0</v>
      </c>
      <c r="YJ39" s="130">
        <f t="shared" si="145"/>
        <v>0</v>
      </c>
      <c r="YK39" s="130">
        <f t="shared" si="145"/>
        <v>0</v>
      </c>
      <c r="YL39" s="130">
        <f t="shared" si="145"/>
        <v>0</v>
      </c>
      <c r="YM39" s="130">
        <f t="shared" si="145"/>
        <v>0</v>
      </c>
      <c r="YN39" s="130">
        <f t="shared" si="145"/>
        <v>0</v>
      </c>
      <c r="YO39" s="130">
        <f t="shared" si="145"/>
        <v>0</v>
      </c>
      <c r="YP39" s="130">
        <f t="shared" si="145"/>
        <v>0</v>
      </c>
      <c r="YQ39" s="130">
        <f t="shared" si="145"/>
        <v>0</v>
      </c>
      <c r="YR39" s="130">
        <f t="shared" si="145"/>
        <v>0</v>
      </c>
      <c r="YS39" s="130">
        <f t="shared" si="145"/>
        <v>0</v>
      </c>
      <c r="YT39" s="130">
        <f t="shared" si="145"/>
        <v>0</v>
      </c>
      <c r="YU39" s="130">
        <f t="shared" si="145"/>
        <v>0</v>
      </c>
      <c r="YV39" s="130">
        <f t="shared" si="145"/>
        <v>0</v>
      </c>
      <c r="YW39" s="130">
        <f t="shared" si="145"/>
        <v>0</v>
      </c>
      <c r="YX39" s="130">
        <f t="shared" si="145"/>
        <v>0</v>
      </c>
      <c r="YY39" s="130">
        <f t="shared" si="145"/>
        <v>0</v>
      </c>
      <c r="YZ39" s="130">
        <f t="shared" si="145"/>
        <v>0</v>
      </c>
      <c r="ZA39" s="130">
        <f t="shared" si="145"/>
        <v>0</v>
      </c>
      <c r="ZB39" s="130">
        <f t="shared" si="145"/>
        <v>0</v>
      </c>
      <c r="ZC39" s="130">
        <f t="shared" si="145"/>
        <v>0</v>
      </c>
      <c r="ZD39" s="130">
        <f t="shared" si="145"/>
        <v>0</v>
      </c>
      <c r="ZE39" s="130">
        <f t="shared" si="145"/>
        <v>0</v>
      </c>
      <c r="ZF39" s="130">
        <f t="shared" si="145"/>
        <v>0</v>
      </c>
      <c r="ZG39" s="130">
        <f t="shared" si="145"/>
        <v>0</v>
      </c>
      <c r="ZH39" s="130">
        <f t="shared" si="145"/>
        <v>0</v>
      </c>
      <c r="ZI39" s="130">
        <f t="shared" si="145"/>
        <v>0</v>
      </c>
      <c r="ZJ39" s="130">
        <f t="shared" si="145"/>
        <v>0</v>
      </c>
      <c r="ZK39" s="130">
        <f t="shared" si="145"/>
        <v>0</v>
      </c>
      <c r="ZL39" s="130">
        <f t="shared" si="145"/>
        <v>0</v>
      </c>
      <c r="ZM39" s="130">
        <f t="shared" si="145"/>
        <v>0</v>
      </c>
      <c r="ZN39" s="130">
        <f t="shared" si="145"/>
        <v>0</v>
      </c>
      <c r="ZO39" s="130">
        <f t="shared" si="145"/>
        <v>0</v>
      </c>
      <c r="ZP39" s="130">
        <f t="shared" si="145"/>
        <v>0</v>
      </c>
      <c r="ZQ39" s="130">
        <f t="shared" si="145"/>
        <v>0</v>
      </c>
      <c r="ZR39" s="130">
        <f t="shared" si="145"/>
        <v>0</v>
      </c>
      <c r="ZS39" s="130">
        <f t="shared" si="145"/>
        <v>0</v>
      </c>
      <c r="ZT39" s="130">
        <f t="shared" si="145"/>
        <v>0</v>
      </c>
      <c r="ZU39" s="130">
        <f t="shared" si="145"/>
        <v>0</v>
      </c>
      <c r="ZV39" s="130">
        <f t="shared" si="145"/>
        <v>0</v>
      </c>
      <c r="ZW39" s="130">
        <f t="shared" si="145"/>
        <v>0</v>
      </c>
      <c r="ZX39" s="130">
        <f t="shared" si="145"/>
        <v>0</v>
      </c>
      <c r="ZY39" s="130">
        <f t="shared" si="145"/>
        <v>0</v>
      </c>
      <c r="ZZ39" s="130">
        <f t="shared" si="145"/>
        <v>0</v>
      </c>
      <c r="AAA39" s="130">
        <f t="shared" si="145"/>
        <v>0</v>
      </c>
      <c r="AAB39" s="130">
        <f t="shared" si="145"/>
        <v>0</v>
      </c>
      <c r="AAC39" s="130">
        <f t="shared" si="145"/>
        <v>0</v>
      </c>
      <c r="AAD39" s="130">
        <f t="shared" si="145"/>
        <v>0</v>
      </c>
      <c r="AAE39" s="130">
        <f t="shared" si="145"/>
        <v>0</v>
      </c>
      <c r="AAF39" s="130">
        <f t="shared" si="145"/>
        <v>0</v>
      </c>
      <c r="AAG39" s="130">
        <f t="shared" si="145"/>
        <v>0</v>
      </c>
      <c r="AAH39" s="130">
        <f t="shared" si="145"/>
        <v>0</v>
      </c>
      <c r="AAI39" s="130">
        <f t="shared" si="145"/>
        <v>0</v>
      </c>
      <c r="AAJ39" s="130">
        <f t="shared" si="145"/>
        <v>0</v>
      </c>
      <c r="AAK39" s="130">
        <f t="shared" si="145"/>
        <v>0</v>
      </c>
      <c r="AAL39" s="130">
        <f t="shared" si="145"/>
        <v>0</v>
      </c>
      <c r="AAM39" s="130">
        <f t="shared" si="145"/>
        <v>0</v>
      </c>
      <c r="AAN39" s="130">
        <f t="shared" si="145"/>
        <v>0</v>
      </c>
      <c r="AAO39" s="130">
        <f t="shared" si="145"/>
        <v>0</v>
      </c>
      <c r="AAP39" s="130">
        <f t="shared" si="145"/>
        <v>0</v>
      </c>
      <c r="AAQ39" s="130">
        <f t="shared" ref="AAQ39:ADB39" si="146">ROUND(AAQ64,0)</f>
        <v>0</v>
      </c>
      <c r="AAR39" s="130">
        <f t="shared" si="146"/>
        <v>0</v>
      </c>
      <c r="AAS39" s="130">
        <f t="shared" si="146"/>
        <v>0</v>
      </c>
      <c r="AAT39" s="130">
        <f t="shared" si="146"/>
        <v>0</v>
      </c>
      <c r="AAU39" s="130">
        <f t="shared" si="146"/>
        <v>0</v>
      </c>
      <c r="AAV39" s="130">
        <f t="shared" si="146"/>
        <v>0</v>
      </c>
      <c r="AAW39" s="130">
        <f t="shared" si="146"/>
        <v>0</v>
      </c>
      <c r="AAX39" s="130">
        <f t="shared" si="146"/>
        <v>0</v>
      </c>
      <c r="AAY39" s="130">
        <f t="shared" si="146"/>
        <v>0</v>
      </c>
      <c r="AAZ39" s="130">
        <f t="shared" si="146"/>
        <v>0</v>
      </c>
      <c r="ABA39" s="130">
        <f t="shared" si="146"/>
        <v>0</v>
      </c>
      <c r="ABB39" s="130">
        <f t="shared" si="146"/>
        <v>0</v>
      </c>
      <c r="ABC39" s="130">
        <f t="shared" si="146"/>
        <v>0</v>
      </c>
      <c r="ABD39" s="130">
        <f t="shared" si="146"/>
        <v>0</v>
      </c>
      <c r="ABE39" s="130">
        <f t="shared" si="146"/>
        <v>0</v>
      </c>
      <c r="ABF39" s="130">
        <f t="shared" si="146"/>
        <v>0</v>
      </c>
      <c r="ABG39" s="130">
        <f t="shared" si="146"/>
        <v>0</v>
      </c>
      <c r="ABH39" s="130">
        <f t="shared" si="146"/>
        <v>0</v>
      </c>
      <c r="ABI39" s="130">
        <f t="shared" si="146"/>
        <v>0</v>
      </c>
      <c r="ABJ39" s="130">
        <f t="shared" si="146"/>
        <v>0</v>
      </c>
      <c r="ABK39" s="130">
        <f t="shared" si="146"/>
        <v>0</v>
      </c>
      <c r="ABL39" s="130">
        <f t="shared" si="146"/>
        <v>0</v>
      </c>
      <c r="ABM39" s="130">
        <f t="shared" si="146"/>
        <v>0</v>
      </c>
      <c r="ABN39" s="130">
        <f t="shared" si="146"/>
        <v>0</v>
      </c>
      <c r="ABO39" s="130">
        <f t="shared" si="146"/>
        <v>0</v>
      </c>
      <c r="ABP39" s="130">
        <f t="shared" si="146"/>
        <v>0</v>
      </c>
      <c r="ABQ39" s="130">
        <f t="shared" si="146"/>
        <v>0</v>
      </c>
      <c r="ABR39" s="130">
        <f t="shared" si="146"/>
        <v>0</v>
      </c>
      <c r="ABS39" s="130">
        <f t="shared" si="146"/>
        <v>0</v>
      </c>
      <c r="ABT39" s="130">
        <f t="shared" si="146"/>
        <v>0</v>
      </c>
      <c r="ABU39" s="130">
        <f t="shared" si="146"/>
        <v>0</v>
      </c>
      <c r="ABV39" s="130">
        <f t="shared" si="146"/>
        <v>0</v>
      </c>
      <c r="ABW39" s="130">
        <f t="shared" si="146"/>
        <v>0</v>
      </c>
      <c r="ABX39" s="130">
        <f t="shared" si="146"/>
        <v>0</v>
      </c>
      <c r="ABY39" s="130">
        <f t="shared" si="146"/>
        <v>0</v>
      </c>
      <c r="ABZ39" s="130">
        <f t="shared" si="146"/>
        <v>0</v>
      </c>
      <c r="ACA39" s="130">
        <f t="shared" si="146"/>
        <v>0</v>
      </c>
      <c r="ACB39" s="130">
        <f t="shared" si="146"/>
        <v>0</v>
      </c>
      <c r="ACC39" s="130">
        <f t="shared" si="146"/>
        <v>0</v>
      </c>
      <c r="ACD39" s="130">
        <f t="shared" si="146"/>
        <v>0</v>
      </c>
      <c r="ACE39" s="130">
        <f t="shared" si="146"/>
        <v>0</v>
      </c>
      <c r="ACF39" s="130">
        <f t="shared" si="146"/>
        <v>0</v>
      </c>
      <c r="ACG39" s="130">
        <f t="shared" si="146"/>
        <v>0</v>
      </c>
      <c r="ACH39" s="130">
        <f t="shared" si="146"/>
        <v>0</v>
      </c>
      <c r="ACI39" s="130">
        <f t="shared" si="146"/>
        <v>0</v>
      </c>
      <c r="ACJ39" s="130">
        <f t="shared" si="146"/>
        <v>0</v>
      </c>
      <c r="ACK39" s="130">
        <f t="shared" si="146"/>
        <v>0</v>
      </c>
      <c r="ACL39" s="130">
        <f t="shared" si="146"/>
        <v>0</v>
      </c>
      <c r="ACM39" s="130">
        <f t="shared" si="146"/>
        <v>0</v>
      </c>
      <c r="ACN39" s="130">
        <f t="shared" si="146"/>
        <v>0</v>
      </c>
      <c r="ACO39" s="130">
        <f t="shared" si="146"/>
        <v>0</v>
      </c>
      <c r="ACP39" s="130">
        <f t="shared" si="146"/>
        <v>0</v>
      </c>
      <c r="ACQ39" s="130">
        <f t="shared" si="146"/>
        <v>0</v>
      </c>
      <c r="ACR39" s="130">
        <f t="shared" si="146"/>
        <v>0</v>
      </c>
      <c r="ACS39" s="130">
        <f t="shared" si="146"/>
        <v>0</v>
      </c>
      <c r="ACT39" s="130">
        <f t="shared" si="146"/>
        <v>0</v>
      </c>
      <c r="ACU39" s="130">
        <f t="shared" si="146"/>
        <v>0</v>
      </c>
      <c r="ACV39" s="130">
        <f t="shared" si="146"/>
        <v>0</v>
      </c>
      <c r="ACW39" s="130">
        <f t="shared" si="146"/>
        <v>0</v>
      </c>
      <c r="ACX39" s="130">
        <f t="shared" si="146"/>
        <v>0</v>
      </c>
      <c r="ACY39" s="130">
        <f t="shared" si="146"/>
        <v>0</v>
      </c>
      <c r="ACZ39" s="130">
        <f t="shared" si="146"/>
        <v>0</v>
      </c>
      <c r="ADA39" s="130">
        <f t="shared" si="146"/>
        <v>0</v>
      </c>
      <c r="ADB39" s="130">
        <f t="shared" si="146"/>
        <v>0</v>
      </c>
      <c r="ADC39" s="130">
        <f t="shared" ref="ADC39:AEW39" si="147">ROUND(ADC64,0)</f>
        <v>0</v>
      </c>
      <c r="ADD39" s="130">
        <f t="shared" si="147"/>
        <v>0</v>
      </c>
      <c r="ADE39" s="130">
        <f t="shared" si="147"/>
        <v>0</v>
      </c>
      <c r="ADF39" s="130">
        <f t="shared" si="147"/>
        <v>0</v>
      </c>
      <c r="ADG39" s="130">
        <f t="shared" si="147"/>
        <v>0</v>
      </c>
      <c r="ADH39" s="130">
        <f t="shared" si="147"/>
        <v>0</v>
      </c>
      <c r="ADI39" s="130">
        <f t="shared" si="147"/>
        <v>0</v>
      </c>
      <c r="ADJ39" s="130">
        <f t="shared" si="147"/>
        <v>0</v>
      </c>
      <c r="ADK39" s="130">
        <f t="shared" si="147"/>
        <v>0</v>
      </c>
      <c r="ADL39" s="130">
        <f t="shared" si="147"/>
        <v>0</v>
      </c>
      <c r="ADM39" s="130">
        <f t="shared" si="147"/>
        <v>0</v>
      </c>
      <c r="ADN39" s="130">
        <f t="shared" si="147"/>
        <v>0</v>
      </c>
      <c r="ADO39" s="130">
        <f t="shared" si="147"/>
        <v>0</v>
      </c>
      <c r="ADP39" s="130">
        <f t="shared" si="147"/>
        <v>0</v>
      </c>
      <c r="ADQ39" s="130">
        <f t="shared" si="147"/>
        <v>0</v>
      </c>
      <c r="ADR39" s="130">
        <f t="shared" si="147"/>
        <v>0</v>
      </c>
      <c r="ADS39" s="130">
        <f t="shared" si="147"/>
        <v>0</v>
      </c>
      <c r="ADT39" s="130">
        <f t="shared" si="147"/>
        <v>0</v>
      </c>
      <c r="ADU39" s="130">
        <f t="shared" si="147"/>
        <v>0</v>
      </c>
      <c r="ADV39" s="130">
        <f t="shared" si="147"/>
        <v>0</v>
      </c>
      <c r="ADW39" s="130">
        <f t="shared" si="147"/>
        <v>0</v>
      </c>
      <c r="ADX39" s="130">
        <f t="shared" si="147"/>
        <v>0</v>
      </c>
      <c r="ADY39" s="130">
        <f t="shared" si="147"/>
        <v>0</v>
      </c>
      <c r="ADZ39" s="130">
        <f t="shared" si="147"/>
        <v>0</v>
      </c>
      <c r="AEA39" s="130">
        <f t="shared" si="147"/>
        <v>0</v>
      </c>
      <c r="AEB39" s="130">
        <f t="shared" si="147"/>
        <v>0</v>
      </c>
      <c r="AEC39" s="130">
        <f t="shared" si="147"/>
        <v>0</v>
      </c>
      <c r="AED39" s="130">
        <f t="shared" si="147"/>
        <v>0</v>
      </c>
      <c r="AEE39" s="130">
        <f t="shared" si="147"/>
        <v>0</v>
      </c>
      <c r="AEF39" s="130">
        <f t="shared" si="147"/>
        <v>0</v>
      </c>
      <c r="AEG39" s="130">
        <f t="shared" si="147"/>
        <v>0</v>
      </c>
      <c r="AEH39" s="130">
        <f t="shared" si="147"/>
        <v>0</v>
      </c>
      <c r="AEI39" s="130">
        <f t="shared" si="147"/>
        <v>0</v>
      </c>
      <c r="AEJ39" s="130">
        <f t="shared" si="147"/>
        <v>0</v>
      </c>
      <c r="AEK39" s="130">
        <f t="shared" si="147"/>
        <v>0</v>
      </c>
      <c r="AEL39" s="130">
        <f t="shared" si="147"/>
        <v>0</v>
      </c>
      <c r="AEM39" s="130">
        <f t="shared" si="147"/>
        <v>0</v>
      </c>
      <c r="AEN39" s="130">
        <f t="shared" si="147"/>
        <v>0</v>
      </c>
      <c r="AEO39" s="130">
        <f t="shared" si="147"/>
        <v>0</v>
      </c>
      <c r="AEP39" s="130">
        <f t="shared" si="147"/>
        <v>0</v>
      </c>
      <c r="AEQ39" s="130">
        <f t="shared" si="147"/>
        <v>0</v>
      </c>
      <c r="AER39" s="130">
        <f t="shared" si="147"/>
        <v>0</v>
      </c>
      <c r="AES39" s="130">
        <f t="shared" si="147"/>
        <v>0</v>
      </c>
      <c r="AET39" s="130">
        <f t="shared" si="147"/>
        <v>0</v>
      </c>
      <c r="AEU39" s="130">
        <f t="shared" si="147"/>
        <v>0</v>
      </c>
      <c r="AEV39" s="130">
        <f t="shared" si="147"/>
        <v>0</v>
      </c>
      <c r="AEW39" s="130">
        <f t="shared" si="147"/>
        <v>0</v>
      </c>
      <c r="AEX39" s="144" t="s">
        <v>221</v>
      </c>
    </row>
    <row r="40" spans="1:830" ht="22.5" customHeight="1" x14ac:dyDescent="0.25">
      <c r="A40" s="36"/>
      <c r="B40" s="128" t="s">
        <v>612</v>
      </c>
      <c r="C40" s="160">
        <f>REKAP!$J$6</f>
        <v>0</v>
      </c>
      <c r="D40" s="124">
        <f>REKAP!$J$4</f>
        <v>0</v>
      </c>
      <c r="E40" s="159">
        <f>REKAP!$J$5</f>
        <v>0</v>
      </c>
      <c r="F40" s="36"/>
      <c r="G40" s="138" t="s">
        <v>219</v>
      </c>
      <c r="H40" s="4" t="s">
        <v>220</v>
      </c>
      <c r="I40" s="143"/>
      <c r="J40" s="288">
        <f t="shared" ref="J40" si="148">SUM(N40:AEW40)</f>
        <v>0</v>
      </c>
      <c r="K40" s="7"/>
      <c r="L40" s="7"/>
      <c r="M40" s="7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  <c r="BN40" s="130"/>
      <c r="BO40" s="130"/>
      <c r="BP40" s="130"/>
      <c r="BQ40" s="130"/>
      <c r="BR40" s="130"/>
      <c r="BS40" s="130"/>
      <c r="BT40" s="130"/>
      <c r="BU40" s="130"/>
      <c r="BV40" s="130"/>
      <c r="BW40" s="130"/>
      <c r="BX40" s="130"/>
      <c r="BY40" s="130"/>
      <c r="BZ40" s="130"/>
      <c r="CA40" s="130"/>
      <c r="CB40" s="130"/>
      <c r="CC40" s="130"/>
      <c r="CD40" s="130"/>
      <c r="CE40" s="130"/>
      <c r="CF40" s="130"/>
      <c r="CG40" s="130"/>
      <c r="CH40" s="130"/>
      <c r="CI40" s="130"/>
      <c r="CJ40" s="130"/>
      <c r="CK40" s="130"/>
      <c r="CL40" s="130"/>
      <c r="CM40" s="130"/>
      <c r="CN40" s="130"/>
      <c r="CO40" s="130"/>
      <c r="CP40" s="130"/>
      <c r="CQ40" s="130"/>
      <c r="CR40" s="130"/>
      <c r="CS40" s="130"/>
      <c r="CT40" s="130"/>
      <c r="CU40" s="130"/>
      <c r="CV40" s="130"/>
      <c r="CW40" s="130"/>
      <c r="CX40" s="130"/>
      <c r="CY40" s="130"/>
      <c r="CZ40" s="130"/>
      <c r="DA40" s="130"/>
      <c r="DB40" s="130"/>
      <c r="DC40" s="130"/>
      <c r="DD40" s="130"/>
      <c r="DE40" s="130"/>
      <c r="DF40" s="130"/>
      <c r="DG40" s="130"/>
      <c r="DH40" s="130"/>
      <c r="DI40" s="130"/>
      <c r="DJ40" s="130"/>
      <c r="DK40" s="130"/>
      <c r="DL40" s="130"/>
      <c r="DM40" s="130"/>
      <c r="DN40" s="130"/>
      <c r="DO40" s="130"/>
      <c r="DP40" s="130"/>
      <c r="DQ40" s="130"/>
      <c r="DR40" s="130"/>
      <c r="DS40" s="130"/>
      <c r="DT40" s="130"/>
      <c r="DU40" s="130"/>
      <c r="DV40" s="130"/>
      <c r="DW40" s="130"/>
      <c r="DX40" s="130"/>
      <c r="DY40" s="130"/>
      <c r="DZ40" s="130"/>
      <c r="EA40" s="130"/>
      <c r="EB40" s="130"/>
      <c r="EC40" s="130"/>
      <c r="ED40" s="130"/>
      <c r="EE40" s="130"/>
      <c r="EF40" s="130"/>
      <c r="EG40" s="130"/>
      <c r="EH40" s="130"/>
      <c r="EI40" s="130"/>
      <c r="EJ40" s="130"/>
      <c r="EK40" s="130"/>
      <c r="EL40" s="130"/>
      <c r="EM40" s="130"/>
      <c r="EN40" s="130"/>
      <c r="EO40" s="130"/>
      <c r="EP40" s="130"/>
      <c r="EQ40" s="130"/>
      <c r="ER40" s="130"/>
      <c r="ES40" s="130"/>
      <c r="ET40" s="130"/>
      <c r="EU40" s="130"/>
      <c r="EV40" s="130"/>
      <c r="EW40" s="130"/>
      <c r="EX40" s="130"/>
      <c r="EY40" s="130"/>
      <c r="EZ40" s="130"/>
      <c r="FA40" s="130"/>
      <c r="FB40" s="130"/>
      <c r="FC40" s="130"/>
      <c r="FD40" s="130"/>
      <c r="FE40" s="130"/>
      <c r="FF40" s="130"/>
      <c r="FG40" s="130"/>
      <c r="FH40" s="130"/>
      <c r="FI40" s="130"/>
      <c r="FJ40" s="130"/>
      <c r="FK40" s="130"/>
      <c r="FL40" s="130"/>
      <c r="FM40" s="130"/>
      <c r="FN40" s="130"/>
      <c r="FO40" s="130"/>
      <c r="FP40" s="130"/>
      <c r="FQ40" s="130"/>
      <c r="FR40" s="130"/>
      <c r="FS40" s="130"/>
      <c r="FT40" s="130"/>
      <c r="FU40" s="130"/>
      <c r="FV40" s="130"/>
      <c r="FW40" s="130"/>
      <c r="FX40" s="130"/>
      <c r="FY40" s="130"/>
      <c r="FZ40" s="130"/>
      <c r="GA40" s="130"/>
      <c r="GB40" s="130"/>
      <c r="GC40" s="130"/>
      <c r="GD40" s="130"/>
      <c r="GE40" s="130"/>
      <c r="GF40" s="130"/>
      <c r="GG40" s="130"/>
      <c r="GH40" s="130"/>
      <c r="GI40" s="130"/>
      <c r="GJ40" s="130"/>
      <c r="GK40" s="130"/>
      <c r="GL40" s="130"/>
      <c r="GM40" s="130"/>
      <c r="GN40" s="130"/>
      <c r="GO40" s="130"/>
      <c r="GP40" s="130"/>
      <c r="GQ40" s="130"/>
      <c r="GR40" s="130"/>
      <c r="GS40" s="130"/>
      <c r="GT40" s="130"/>
      <c r="GU40" s="130"/>
      <c r="GV40" s="130"/>
      <c r="GW40" s="130"/>
      <c r="GX40" s="130"/>
      <c r="GY40" s="130"/>
      <c r="GZ40" s="130"/>
      <c r="HA40" s="130"/>
      <c r="HB40" s="130"/>
      <c r="HC40" s="130"/>
      <c r="HD40" s="130"/>
      <c r="HE40" s="130"/>
      <c r="HF40" s="130"/>
      <c r="HG40" s="130"/>
      <c r="HH40" s="130"/>
      <c r="HI40" s="130"/>
      <c r="HJ40" s="130"/>
      <c r="HK40" s="130"/>
      <c r="HL40" s="130"/>
      <c r="HM40" s="130"/>
      <c r="HN40" s="130"/>
      <c r="HO40" s="130"/>
      <c r="HP40" s="130"/>
      <c r="HQ40" s="130"/>
      <c r="HR40" s="130"/>
      <c r="HS40" s="130"/>
      <c r="HT40" s="130"/>
      <c r="HU40" s="130"/>
      <c r="HV40" s="130"/>
      <c r="HW40" s="130"/>
      <c r="HX40" s="130"/>
      <c r="HY40" s="130"/>
      <c r="HZ40" s="130"/>
      <c r="IA40" s="130"/>
      <c r="IB40" s="130"/>
      <c r="IC40" s="130"/>
      <c r="ID40" s="130"/>
      <c r="IE40" s="130"/>
      <c r="IF40" s="130"/>
      <c r="IG40" s="130"/>
      <c r="IH40" s="130"/>
      <c r="II40" s="130"/>
      <c r="IJ40" s="130"/>
      <c r="IK40" s="130"/>
      <c r="IL40" s="130"/>
      <c r="IM40" s="130"/>
      <c r="IN40" s="130"/>
      <c r="IO40" s="130"/>
      <c r="IP40" s="130"/>
      <c r="IQ40" s="130"/>
      <c r="IR40" s="130"/>
      <c r="IS40" s="130"/>
      <c r="IT40" s="130"/>
      <c r="IU40" s="130"/>
      <c r="IV40" s="130"/>
      <c r="IW40" s="130"/>
      <c r="IX40" s="130"/>
      <c r="IY40" s="130"/>
      <c r="IZ40" s="130"/>
      <c r="JA40" s="130"/>
      <c r="JB40" s="130"/>
      <c r="JC40" s="130"/>
      <c r="JD40" s="130"/>
      <c r="JE40" s="130"/>
      <c r="JF40" s="130"/>
      <c r="JG40" s="130"/>
      <c r="JH40" s="130"/>
      <c r="JI40" s="130"/>
      <c r="JJ40" s="130"/>
      <c r="JK40" s="130"/>
      <c r="JL40" s="130"/>
      <c r="JM40" s="130"/>
      <c r="JN40" s="130"/>
      <c r="JO40" s="130"/>
      <c r="JP40" s="130"/>
      <c r="JQ40" s="130"/>
      <c r="JR40" s="130"/>
      <c r="JS40" s="130"/>
      <c r="JT40" s="130"/>
      <c r="JU40" s="130"/>
      <c r="JV40" s="130"/>
      <c r="JW40" s="130"/>
      <c r="JX40" s="130"/>
      <c r="JY40" s="130"/>
      <c r="JZ40" s="130"/>
      <c r="KA40" s="130"/>
      <c r="KB40" s="130"/>
      <c r="KC40" s="130"/>
      <c r="KD40" s="130"/>
      <c r="KE40" s="130"/>
      <c r="KF40" s="130"/>
      <c r="KG40" s="130"/>
      <c r="KH40" s="130"/>
      <c r="KI40" s="130"/>
      <c r="KJ40" s="130"/>
      <c r="KK40" s="130"/>
      <c r="KL40" s="130"/>
      <c r="KM40" s="130"/>
      <c r="KN40" s="130"/>
      <c r="KO40" s="130"/>
      <c r="KP40" s="130"/>
      <c r="KQ40" s="130"/>
      <c r="KR40" s="130"/>
      <c r="KS40" s="130"/>
      <c r="KT40" s="130"/>
      <c r="KU40" s="130"/>
      <c r="KV40" s="130"/>
      <c r="KW40" s="130"/>
      <c r="KX40" s="130"/>
      <c r="KY40" s="130"/>
      <c r="KZ40" s="130"/>
      <c r="LA40" s="130"/>
      <c r="LB40" s="130"/>
      <c r="LC40" s="130"/>
      <c r="LD40" s="130"/>
      <c r="LE40" s="130"/>
      <c r="LF40" s="130"/>
      <c r="LG40" s="130"/>
      <c r="LH40" s="130"/>
      <c r="LI40" s="130"/>
      <c r="LJ40" s="130"/>
      <c r="LK40" s="130"/>
      <c r="LL40" s="130"/>
      <c r="LM40" s="130"/>
      <c r="LN40" s="130"/>
      <c r="LO40" s="130"/>
      <c r="LP40" s="130"/>
      <c r="LQ40" s="130"/>
      <c r="LR40" s="130"/>
      <c r="LS40" s="130"/>
      <c r="LT40" s="130"/>
      <c r="LU40" s="130"/>
      <c r="LV40" s="130"/>
      <c r="LW40" s="130"/>
      <c r="LX40" s="130"/>
      <c r="LY40" s="130"/>
      <c r="LZ40" s="130"/>
      <c r="MA40" s="130"/>
      <c r="MB40" s="130"/>
      <c r="MC40" s="130"/>
      <c r="MD40" s="130"/>
      <c r="ME40" s="130"/>
      <c r="MF40" s="130"/>
      <c r="MG40" s="130"/>
      <c r="MH40" s="130"/>
      <c r="MI40" s="130"/>
      <c r="MJ40" s="130"/>
      <c r="MK40" s="130"/>
      <c r="ML40" s="130"/>
      <c r="MM40" s="130"/>
      <c r="MN40" s="130"/>
      <c r="MO40" s="130"/>
      <c r="MP40" s="130"/>
      <c r="MQ40" s="130"/>
      <c r="MR40" s="130"/>
      <c r="MS40" s="130"/>
      <c r="MT40" s="130"/>
      <c r="MU40" s="130"/>
      <c r="MV40" s="130"/>
      <c r="MW40" s="130"/>
      <c r="MX40" s="130"/>
      <c r="MY40" s="130"/>
      <c r="MZ40" s="130"/>
      <c r="NA40" s="130"/>
      <c r="NB40" s="130"/>
      <c r="NC40" s="130"/>
      <c r="ND40" s="130"/>
      <c r="NE40" s="130"/>
      <c r="NF40" s="130"/>
      <c r="NG40" s="130"/>
      <c r="NH40" s="130"/>
      <c r="NI40" s="130"/>
      <c r="NJ40" s="130"/>
      <c r="NK40" s="130"/>
      <c r="NL40" s="130"/>
      <c r="NM40" s="130"/>
      <c r="NN40" s="130"/>
      <c r="NO40" s="130"/>
      <c r="NP40" s="199"/>
      <c r="NQ40" s="130"/>
      <c r="NR40" s="201"/>
      <c r="NS40" s="130"/>
      <c r="NT40" s="130"/>
      <c r="NU40" s="130"/>
      <c r="NV40" s="130"/>
      <c r="NW40" s="130"/>
      <c r="NX40" s="130"/>
      <c r="NY40" s="130"/>
      <c r="NZ40" s="130"/>
      <c r="OA40" s="130"/>
      <c r="OB40" s="130"/>
      <c r="OC40" s="130"/>
      <c r="OD40" s="130"/>
      <c r="OE40" s="130"/>
      <c r="OF40" s="130"/>
      <c r="OG40" s="130"/>
      <c r="OH40" s="130"/>
      <c r="OI40" s="130"/>
      <c r="OJ40" s="130"/>
      <c r="OK40" s="130"/>
      <c r="OL40" s="130"/>
      <c r="OM40" s="130"/>
      <c r="ON40" s="130"/>
      <c r="OO40" s="130"/>
      <c r="OP40" s="130"/>
      <c r="OQ40" s="130"/>
      <c r="OR40" s="130"/>
      <c r="OS40" s="130"/>
      <c r="OT40" s="130"/>
      <c r="OU40" s="130"/>
      <c r="OV40" s="130"/>
      <c r="OW40" s="130"/>
      <c r="OX40" s="130"/>
      <c r="OY40" s="130"/>
      <c r="OZ40" s="130"/>
      <c r="PA40" s="130"/>
      <c r="PB40" s="130"/>
      <c r="PC40" s="130"/>
      <c r="PD40" s="130"/>
      <c r="PE40" s="130"/>
      <c r="PF40" s="130"/>
      <c r="PG40" s="130"/>
      <c r="PH40" s="130"/>
      <c r="PI40" s="130"/>
      <c r="PJ40" s="130"/>
      <c r="PK40" s="130"/>
      <c r="PL40" s="130"/>
      <c r="PM40" s="130"/>
      <c r="PN40" s="130"/>
      <c r="PO40" s="130"/>
      <c r="PP40" s="130"/>
      <c r="PQ40" s="130"/>
      <c r="PR40" s="130"/>
      <c r="PS40" s="130"/>
      <c r="PT40" s="130"/>
      <c r="PU40" s="130"/>
      <c r="PV40" s="130"/>
      <c r="PW40" s="130"/>
      <c r="PX40" s="130"/>
      <c r="PY40" s="130"/>
      <c r="PZ40" s="130"/>
      <c r="QA40" s="130"/>
      <c r="QB40" s="130"/>
      <c r="QC40" s="130"/>
      <c r="QD40" s="130"/>
      <c r="QE40" s="130"/>
      <c r="QF40" s="130"/>
      <c r="QG40" s="130"/>
      <c r="QH40" s="130"/>
      <c r="QI40" s="130"/>
      <c r="QJ40" s="130"/>
      <c r="QK40" s="130"/>
      <c r="QL40" s="130"/>
      <c r="QM40" s="130"/>
      <c r="QN40" s="130"/>
      <c r="QO40" s="130"/>
      <c r="QP40" s="130"/>
      <c r="QQ40" s="130"/>
      <c r="QR40" s="130"/>
      <c r="QS40" s="130"/>
      <c r="QT40" s="130"/>
      <c r="QU40" s="130"/>
      <c r="QV40" s="130"/>
      <c r="QW40" s="130"/>
      <c r="QX40" s="130"/>
      <c r="QY40" s="130"/>
      <c r="QZ40" s="130"/>
      <c r="RA40" s="130"/>
      <c r="RB40" s="130"/>
      <c r="RC40" s="130"/>
      <c r="RD40" s="130"/>
      <c r="RE40" s="130"/>
      <c r="RF40" s="130"/>
      <c r="RG40" s="130"/>
      <c r="RH40" s="130"/>
      <c r="RI40" s="130"/>
      <c r="RJ40" s="130"/>
      <c r="RK40" s="130"/>
      <c r="RL40" s="130"/>
      <c r="RM40" s="130"/>
      <c r="RN40" s="130"/>
      <c r="RO40" s="130"/>
      <c r="RP40" s="130"/>
      <c r="RQ40" s="130"/>
      <c r="RR40" s="130"/>
      <c r="RS40" s="130"/>
      <c r="RT40" s="130"/>
      <c r="RU40" s="130"/>
      <c r="RV40" s="130"/>
      <c r="RW40" s="130"/>
      <c r="RX40" s="130"/>
      <c r="RY40" s="130"/>
      <c r="RZ40" s="130"/>
      <c r="SA40" s="130"/>
      <c r="SB40" s="130"/>
      <c r="SC40" s="130"/>
      <c r="SD40" s="130"/>
      <c r="SE40" s="130"/>
      <c r="SF40" s="130"/>
      <c r="SG40" s="130"/>
      <c r="SH40" s="130"/>
      <c r="SI40" s="130"/>
      <c r="SJ40" s="130"/>
      <c r="SK40" s="130"/>
      <c r="SL40" s="130"/>
      <c r="SM40" s="130"/>
      <c r="SN40" s="130"/>
      <c r="SO40" s="130"/>
      <c r="SP40" s="130"/>
      <c r="SQ40" s="130"/>
      <c r="SR40" s="130"/>
      <c r="SS40" s="130"/>
      <c r="ST40" s="130"/>
      <c r="SU40" s="130"/>
      <c r="SV40" s="48">
        <f>'ASAJ UM'!$H$5</f>
        <v>0</v>
      </c>
      <c r="SW40" s="48">
        <f>'ASAJ UM'!$H$6</f>
        <v>0</v>
      </c>
      <c r="SX40" s="48">
        <f>'ASAJ UM'!$H$7</f>
        <v>0</v>
      </c>
      <c r="SY40" s="48">
        <f>'ASAJ UM'!$H$8</f>
        <v>0</v>
      </c>
      <c r="SZ40" s="48">
        <f>'ASAJ UM'!$H$9</f>
        <v>0</v>
      </c>
      <c r="TA40" s="48">
        <f>'ASAJ UM'!$H$10</f>
        <v>0</v>
      </c>
      <c r="TB40" s="48">
        <f>'ASAJ UM'!$H$11</f>
        <v>0</v>
      </c>
      <c r="TC40" s="48">
        <f>'ASAJ UM'!$H$12</f>
        <v>0</v>
      </c>
      <c r="TD40" s="48">
        <f>'ASAJ UM'!$H$13</f>
        <v>0</v>
      </c>
      <c r="TE40" s="48">
        <f>'ASAJ UM'!$H$14</f>
        <v>0</v>
      </c>
      <c r="TF40" s="48">
        <f>'ASAJ UM'!$H$15</f>
        <v>0</v>
      </c>
      <c r="TG40" s="48">
        <f>'ASAJ UM'!$H$16</f>
        <v>0</v>
      </c>
      <c r="TH40" s="48">
        <f>'ASAJ UM'!$H$17</f>
        <v>0</v>
      </c>
      <c r="TI40" s="48">
        <f>'ASAJ UM'!$H$18</f>
        <v>0</v>
      </c>
      <c r="TJ40" s="48">
        <f>'ASAJ UM'!$H$19</f>
        <v>0</v>
      </c>
      <c r="TK40" s="48">
        <f>'ASAJ UM'!$H$20</f>
        <v>0</v>
      </c>
      <c r="TL40" s="48">
        <f>'ASAJ UM'!$H$21</f>
        <v>0</v>
      </c>
      <c r="TM40" s="48">
        <f>'ASAJ UM'!$H$22</f>
        <v>0</v>
      </c>
      <c r="TN40" s="48">
        <f>'ASAJ UM'!$H$23</f>
        <v>0</v>
      </c>
      <c r="TO40" s="48">
        <f>'ASAJ UM'!$H$24</f>
        <v>0</v>
      </c>
      <c r="TP40" s="48">
        <f>'ASAJ UM'!$H$25</f>
        <v>0</v>
      </c>
      <c r="TQ40" s="48">
        <f>'ASAJ UM'!$H$26</f>
        <v>0</v>
      </c>
      <c r="TR40" s="48">
        <f>'ASAJ UM'!$H$27</f>
        <v>0</v>
      </c>
      <c r="TS40" s="130"/>
      <c r="TT40" s="130"/>
      <c r="TU40" s="130"/>
      <c r="TV40" s="130"/>
      <c r="TW40" s="130"/>
      <c r="TX40" s="130"/>
      <c r="TY40" s="130"/>
      <c r="TZ40" s="130"/>
      <c r="UA40" s="130"/>
      <c r="UB40" s="130"/>
      <c r="UC40" s="130"/>
      <c r="UD40" s="130"/>
      <c r="UE40" s="130"/>
      <c r="UF40" s="130"/>
      <c r="UG40" s="130"/>
      <c r="UH40" s="130"/>
      <c r="UI40" s="130"/>
      <c r="UJ40" s="130"/>
      <c r="UK40" s="130"/>
      <c r="UL40" s="130"/>
      <c r="UM40" s="130"/>
      <c r="UN40" s="130"/>
      <c r="UO40" s="130"/>
      <c r="UP40" s="130"/>
      <c r="UQ40" s="130"/>
      <c r="UR40" s="130"/>
      <c r="US40" s="130"/>
      <c r="UT40" s="130"/>
      <c r="UU40" s="130"/>
      <c r="UV40" s="130"/>
      <c r="UW40" s="130"/>
      <c r="UX40" s="130"/>
      <c r="UY40" s="130"/>
      <c r="UZ40" s="130"/>
      <c r="VA40" s="130"/>
      <c r="VB40" s="130"/>
      <c r="VC40" s="130"/>
      <c r="VD40" s="130"/>
      <c r="VE40" s="130"/>
      <c r="VF40" s="130"/>
      <c r="VG40" s="130"/>
      <c r="VH40" s="130"/>
      <c r="VI40" s="130"/>
      <c r="VJ40" s="130"/>
      <c r="VK40" s="130"/>
      <c r="VL40" s="130"/>
      <c r="VM40" s="130"/>
      <c r="VN40" s="130"/>
      <c r="VO40" s="130"/>
      <c r="VP40" s="130"/>
      <c r="VQ40" s="130"/>
      <c r="VR40" s="130"/>
      <c r="VS40" s="130"/>
      <c r="VT40" s="130"/>
      <c r="VU40" s="130"/>
      <c r="VV40" s="130"/>
      <c r="VW40" s="130"/>
      <c r="VX40" s="130"/>
      <c r="VY40" s="130"/>
      <c r="VZ40" s="130"/>
      <c r="WA40" s="130"/>
      <c r="WB40" s="130"/>
      <c r="WC40" s="130"/>
      <c r="WD40" s="130"/>
      <c r="WE40" s="130"/>
      <c r="WF40" s="130"/>
      <c r="WG40" s="130"/>
      <c r="WH40" s="130"/>
      <c r="WI40" s="130"/>
      <c r="WJ40" s="130"/>
      <c r="WK40" s="130"/>
      <c r="WL40" s="130"/>
      <c r="WM40" s="130"/>
      <c r="WN40" s="130"/>
      <c r="WO40" s="130"/>
      <c r="WP40" s="130"/>
      <c r="WQ40" s="130"/>
      <c r="WR40" s="130"/>
      <c r="WS40" s="130"/>
      <c r="WT40" s="130"/>
      <c r="WU40" s="130"/>
      <c r="WV40" s="130"/>
      <c r="WW40" s="130"/>
      <c r="WX40" s="130"/>
      <c r="WY40" s="130"/>
      <c r="WZ40" s="130"/>
      <c r="XA40" s="130"/>
      <c r="XB40" s="130"/>
      <c r="XC40" s="130"/>
      <c r="XD40" s="130"/>
      <c r="XE40" s="130"/>
      <c r="XF40" s="130"/>
      <c r="XG40" s="130"/>
      <c r="XH40" s="130"/>
      <c r="XI40" s="130"/>
      <c r="XJ40" s="130"/>
      <c r="XK40" s="130"/>
      <c r="XL40" s="130"/>
      <c r="XM40" s="130"/>
      <c r="XN40" s="130"/>
      <c r="XO40" s="130"/>
      <c r="XP40" s="130"/>
      <c r="XQ40" s="130"/>
      <c r="XR40" s="130"/>
      <c r="XS40" s="130"/>
      <c r="XT40" s="130"/>
      <c r="XU40" s="130"/>
      <c r="XV40" s="130"/>
      <c r="XW40" s="130"/>
      <c r="XX40" s="130"/>
      <c r="XY40" s="130"/>
      <c r="XZ40" s="130"/>
      <c r="YA40" s="130"/>
      <c r="YB40" s="130"/>
      <c r="YC40" s="130"/>
      <c r="YD40" s="130"/>
      <c r="YE40" s="130"/>
      <c r="YF40" s="130"/>
      <c r="YG40" s="130"/>
      <c r="YH40" s="130"/>
      <c r="YI40" s="130"/>
      <c r="YJ40" s="130"/>
      <c r="YK40" s="130"/>
      <c r="YL40" s="130"/>
      <c r="YM40" s="130"/>
      <c r="YN40" s="130"/>
      <c r="YO40" s="130"/>
      <c r="YP40" s="130"/>
      <c r="YQ40" s="130"/>
      <c r="YR40" s="130"/>
      <c r="YS40" s="130"/>
      <c r="YT40" s="130"/>
      <c r="YU40" s="130"/>
      <c r="YV40" s="130"/>
      <c r="YW40" s="130"/>
      <c r="YX40" s="130"/>
      <c r="YY40" s="130"/>
      <c r="YZ40" s="130"/>
      <c r="ZA40" s="130"/>
      <c r="ZB40" s="130"/>
      <c r="ZC40" s="130"/>
      <c r="ZD40" s="130"/>
      <c r="ZE40" s="130"/>
      <c r="ZF40" s="130"/>
      <c r="ZG40" s="130"/>
      <c r="ZH40" s="130"/>
      <c r="ZI40" s="130"/>
      <c r="ZJ40" s="130"/>
      <c r="ZK40" s="130"/>
      <c r="ZL40" s="130"/>
      <c r="ZM40" s="130"/>
      <c r="ZN40" s="130"/>
      <c r="ZO40" s="130"/>
      <c r="ZP40" s="130"/>
      <c r="ZQ40" s="130"/>
      <c r="ZR40" s="130"/>
      <c r="ZS40" s="130"/>
      <c r="ZT40" s="130"/>
      <c r="ZU40" s="130"/>
      <c r="ZV40" s="130"/>
      <c r="ZW40" s="130"/>
      <c r="ZX40" s="130"/>
      <c r="ZY40" s="130"/>
      <c r="ZZ40" s="130"/>
      <c r="AAA40" s="130"/>
      <c r="AAB40" s="130"/>
      <c r="AAC40" s="130"/>
      <c r="AAD40" s="130"/>
      <c r="AAE40" s="130"/>
      <c r="AAF40" s="130"/>
      <c r="AAG40" s="130"/>
      <c r="AAH40" s="130"/>
      <c r="AAI40" s="130"/>
      <c r="AAJ40" s="130"/>
      <c r="AAK40" s="130"/>
      <c r="AAL40" s="130"/>
      <c r="AAM40" s="130"/>
      <c r="AAN40" s="130"/>
      <c r="AAO40" s="130"/>
      <c r="AAP40" s="130"/>
      <c r="AAQ40" s="130"/>
      <c r="AAR40" s="130"/>
      <c r="AAS40" s="130"/>
      <c r="AAT40" s="130"/>
      <c r="AAU40" s="130"/>
      <c r="AAV40" s="130"/>
      <c r="AAW40" s="130"/>
      <c r="AAX40" s="130"/>
      <c r="AAY40" s="130"/>
      <c r="AAZ40" s="130"/>
      <c r="ABA40" s="130"/>
      <c r="ABB40" s="130"/>
      <c r="ABC40" s="130"/>
      <c r="ABD40" s="130"/>
      <c r="ABE40" s="130"/>
      <c r="ABF40" s="130"/>
      <c r="ABG40" s="130"/>
      <c r="ABH40" s="130"/>
      <c r="ABI40" s="130"/>
      <c r="ABJ40" s="130"/>
      <c r="ABK40" s="130"/>
      <c r="ABL40" s="130"/>
      <c r="ABM40" s="130"/>
      <c r="ABN40" s="130"/>
      <c r="ABO40" s="130"/>
      <c r="ABP40" s="130"/>
      <c r="ABQ40" s="130"/>
      <c r="ABR40" s="130"/>
      <c r="ABS40" s="130"/>
      <c r="ABT40" s="130"/>
      <c r="ABU40" s="130"/>
      <c r="ABV40" s="130"/>
      <c r="ABW40" s="130"/>
      <c r="ABX40" s="130"/>
      <c r="ABY40" s="130"/>
      <c r="ABZ40" s="130"/>
      <c r="ACA40" s="130"/>
      <c r="ACB40" s="130"/>
      <c r="ACC40" s="130"/>
      <c r="ACD40" s="130"/>
      <c r="ACE40" s="130"/>
      <c r="ACF40" s="130"/>
      <c r="ACG40" s="130"/>
      <c r="ACH40" s="130"/>
      <c r="ACI40" s="130"/>
      <c r="ACJ40" s="130"/>
      <c r="ACK40" s="130"/>
      <c r="ACL40" s="130"/>
      <c r="ACM40" s="130"/>
      <c r="ACN40" s="130"/>
      <c r="ACO40" s="130"/>
      <c r="ACP40" s="130"/>
      <c r="ACQ40" s="130"/>
      <c r="ACR40" s="130"/>
      <c r="ACS40" s="130"/>
      <c r="ACT40" s="130"/>
      <c r="ACU40" s="130"/>
      <c r="ACV40" s="130"/>
      <c r="ACW40" s="130"/>
      <c r="ACX40" s="130"/>
      <c r="ACY40" s="130"/>
      <c r="ACZ40" s="130"/>
      <c r="ADA40" s="130"/>
      <c r="ADB40" s="130"/>
      <c r="ADC40" s="130"/>
      <c r="ADD40" s="130"/>
      <c r="ADE40" s="130"/>
      <c r="ADF40" s="130"/>
      <c r="ADG40" s="130"/>
      <c r="ADH40" s="130"/>
      <c r="ADI40" s="130"/>
      <c r="ADJ40" s="130"/>
      <c r="ADK40" s="130"/>
      <c r="ADL40" s="130"/>
      <c r="ADM40" s="130"/>
      <c r="ADN40" s="130"/>
      <c r="ADO40" s="130"/>
      <c r="ADP40" s="130"/>
      <c r="ADQ40" s="130"/>
      <c r="ADR40" s="130"/>
      <c r="ADS40" s="130"/>
      <c r="ADT40" s="130"/>
      <c r="ADU40" s="130"/>
      <c r="ADV40" s="130"/>
      <c r="ADW40" s="130"/>
      <c r="ADX40" s="130"/>
      <c r="ADY40" s="130"/>
      <c r="ADZ40" s="130"/>
      <c r="AEA40" s="130"/>
      <c r="AEB40" s="130"/>
      <c r="AEC40" s="130"/>
      <c r="AED40" s="130"/>
      <c r="AEE40" s="130"/>
      <c r="AEF40" s="130"/>
      <c r="AEG40" s="130"/>
      <c r="AEH40" s="130"/>
      <c r="AEI40" s="130"/>
      <c r="AEJ40" s="130"/>
      <c r="AEK40" s="130"/>
      <c r="AEL40" s="130"/>
      <c r="AEM40" s="130"/>
      <c r="AEN40" s="130"/>
      <c r="AEO40" s="130"/>
      <c r="AEP40" s="130"/>
      <c r="AEQ40" s="130"/>
      <c r="AER40" s="130"/>
      <c r="AES40" s="130"/>
      <c r="AET40" s="130"/>
      <c r="AEU40" s="130"/>
      <c r="AEV40" s="130"/>
      <c r="AEW40" s="130"/>
    </row>
    <row r="41" spans="1:830" ht="22.5" customHeight="1" x14ac:dyDescent="0.25">
      <c r="A41" s="36"/>
      <c r="B41" s="128" t="s">
        <v>611</v>
      </c>
      <c r="C41" s="160">
        <f>REKAP!$J$6</f>
        <v>0</v>
      </c>
      <c r="D41" s="124">
        <f>REKAP!$J$4</f>
        <v>0</v>
      </c>
      <c r="E41" s="159">
        <f>REKAP!$J$5</f>
        <v>0</v>
      </c>
      <c r="F41" s="36"/>
      <c r="G41" s="138" t="s">
        <v>218</v>
      </c>
      <c r="H41" s="4" t="s">
        <v>220</v>
      </c>
      <c r="I41" s="143"/>
      <c r="J41" s="141">
        <f>SUM(TS41:UC41)</f>
        <v>0</v>
      </c>
      <c r="K41" s="7"/>
      <c r="L41" s="7"/>
      <c r="M41" s="7"/>
      <c r="N41" s="130"/>
      <c r="O41" s="7"/>
      <c r="P41" s="7"/>
      <c r="Q41" s="7"/>
      <c r="R41" s="7"/>
      <c r="S41" s="7"/>
      <c r="T41" s="130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130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130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140"/>
      <c r="CA41" s="7"/>
      <c r="CB41" s="7"/>
      <c r="CC41" s="7"/>
      <c r="CD41" s="7"/>
      <c r="CE41" s="7"/>
      <c r="CF41" s="7"/>
      <c r="CG41" s="7"/>
      <c r="CH41" s="7"/>
      <c r="CI41" s="7"/>
      <c r="CJ41" s="129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130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140"/>
      <c r="HC41" s="140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140"/>
      <c r="HU41" s="4"/>
      <c r="HV41" s="4"/>
      <c r="HW41" s="7"/>
      <c r="HX41" s="130"/>
      <c r="HY41" s="130"/>
      <c r="HZ41" s="130"/>
      <c r="IA41" s="130"/>
      <c r="IB41" s="130"/>
      <c r="IC41" s="130"/>
      <c r="ID41" s="7"/>
      <c r="IE41" s="7"/>
      <c r="IF41" s="7"/>
      <c r="IG41" s="7"/>
      <c r="IH41" s="7"/>
      <c r="II41" s="7"/>
      <c r="IJ41" s="7"/>
      <c r="IK41" s="7"/>
      <c r="IL41" s="140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140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140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140"/>
      <c r="KA41" s="7"/>
      <c r="KB41" s="7"/>
      <c r="KC41" s="7"/>
      <c r="KD41" s="7"/>
      <c r="KE41" s="7"/>
      <c r="KF41" s="140"/>
      <c r="KG41" s="140"/>
      <c r="KH41" s="140"/>
      <c r="KI41" s="140"/>
      <c r="KJ41" s="140"/>
      <c r="KK41" s="4"/>
      <c r="KL41" s="7"/>
      <c r="KM41" s="7"/>
      <c r="KN41" s="7"/>
      <c r="KO41" s="7"/>
      <c r="KP41" s="7"/>
      <c r="KQ41" s="7"/>
      <c r="KR41" s="140"/>
      <c r="KS41" s="7"/>
      <c r="KT41" s="7"/>
      <c r="KU41" s="7"/>
      <c r="KV41" s="7"/>
      <c r="KW41" s="7"/>
      <c r="KX41" s="7"/>
      <c r="KY41" s="7"/>
      <c r="KZ41" s="7"/>
      <c r="LA41" s="7"/>
      <c r="LB41" s="7"/>
      <c r="LC41" s="7"/>
      <c r="LD41" s="140"/>
      <c r="LE41" s="7"/>
      <c r="LF41" s="7"/>
      <c r="LG41" s="140"/>
      <c r="LH41" s="7"/>
      <c r="LI41" s="7"/>
      <c r="LJ41" s="7"/>
      <c r="LK41" s="7"/>
      <c r="LL41" s="7"/>
      <c r="LM41" s="7"/>
      <c r="LN41" s="7"/>
      <c r="LO41" s="7"/>
      <c r="LP41" s="7"/>
      <c r="LQ41" s="7"/>
      <c r="LR41" s="7"/>
      <c r="LS41" s="7"/>
      <c r="LT41" s="7"/>
      <c r="LU41" s="7"/>
      <c r="LV41" s="7"/>
      <c r="LW41" s="7"/>
      <c r="LX41" s="7"/>
      <c r="LY41" s="7"/>
      <c r="LZ41" s="7"/>
      <c r="MA41" s="140"/>
      <c r="MB41" s="7"/>
      <c r="MC41" s="7"/>
      <c r="MD41" s="7"/>
      <c r="ME41" s="7"/>
      <c r="MF41" s="7"/>
      <c r="MG41" s="140"/>
      <c r="MH41" s="7"/>
      <c r="MI41" s="7"/>
      <c r="MJ41" s="7"/>
      <c r="MK41" s="7"/>
      <c r="ML41" s="7"/>
      <c r="MM41" s="7"/>
      <c r="MN41" s="7"/>
      <c r="MO41" s="7"/>
      <c r="MP41" s="7"/>
      <c r="MQ41" s="7"/>
      <c r="MR41" s="7"/>
      <c r="MS41" s="7"/>
      <c r="MT41" s="7"/>
      <c r="MU41" s="7"/>
      <c r="MV41" s="7"/>
      <c r="MW41" s="7"/>
      <c r="MX41" s="7"/>
      <c r="MY41" s="7"/>
      <c r="MZ41" s="7"/>
      <c r="NA41" s="7"/>
      <c r="NB41" s="7"/>
      <c r="NC41" s="7"/>
      <c r="ND41" s="140"/>
      <c r="NE41" s="7"/>
      <c r="NF41" s="7"/>
      <c r="NG41" s="7"/>
      <c r="NH41" s="7"/>
      <c r="NI41" s="7"/>
      <c r="NJ41" s="7"/>
      <c r="NK41" s="7"/>
      <c r="NL41" s="7"/>
      <c r="NM41" s="7"/>
      <c r="NN41" s="7"/>
      <c r="NO41" s="7"/>
      <c r="NP41" s="198"/>
      <c r="NQ41" s="140"/>
      <c r="NR41" s="202"/>
      <c r="NS41" s="140"/>
      <c r="NT41" s="140"/>
      <c r="NU41" s="140"/>
      <c r="NV41" s="140"/>
      <c r="NW41" s="140"/>
      <c r="NX41" s="140"/>
      <c r="NY41" s="140"/>
      <c r="NZ41" s="140"/>
      <c r="OA41" s="140"/>
      <c r="OB41" s="140"/>
      <c r="OC41" s="140"/>
      <c r="OD41" s="140"/>
      <c r="OE41" s="140"/>
      <c r="OF41" s="140"/>
      <c r="OG41" s="140"/>
      <c r="OH41" s="140"/>
      <c r="OI41" s="140"/>
      <c r="OJ41" s="140"/>
      <c r="OK41" s="140"/>
      <c r="OL41" s="140"/>
      <c r="OM41" s="140"/>
      <c r="ON41" s="140"/>
      <c r="OO41" s="140"/>
      <c r="OP41" s="140"/>
      <c r="OQ41" s="140"/>
      <c r="OR41" s="140"/>
      <c r="OS41" s="140"/>
      <c r="OT41" s="140"/>
      <c r="OU41" s="140"/>
      <c r="OV41" s="140"/>
      <c r="OW41" s="140"/>
      <c r="OX41" s="140"/>
      <c r="OY41" s="140"/>
      <c r="OZ41" s="140"/>
      <c r="PA41" s="140"/>
      <c r="PB41" s="140"/>
      <c r="PC41" s="140"/>
      <c r="PD41" s="140"/>
      <c r="PE41" s="140"/>
      <c r="PF41" s="140"/>
      <c r="PG41" s="140"/>
      <c r="PH41" s="140"/>
      <c r="PI41" s="140"/>
      <c r="PJ41" s="140"/>
      <c r="PK41" s="140"/>
      <c r="PL41" s="140"/>
      <c r="PM41" s="140"/>
      <c r="PN41" s="140"/>
      <c r="PO41" s="140"/>
      <c r="PP41" s="140"/>
      <c r="PQ41" s="140"/>
      <c r="PR41" s="140"/>
      <c r="PS41" s="140"/>
      <c r="PT41" s="140"/>
      <c r="PU41" s="140"/>
      <c r="PV41" s="140"/>
      <c r="PW41" s="140"/>
      <c r="PX41" s="140"/>
      <c r="PY41" s="140"/>
      <c r="PZ41" s="140"/>
      <c r="QA41" s="140"/>
      <c r="QB41" s="140"/>
      <c r="QC41" s="140"/>
      <c r="QD41" s="140"/>
      <c r="QE41" s="140"/>
      <c r="QF41" s="140"/>
      <c r="QG41" s="140"/>
      <c r="QH41" s="140"/>
      <c r="QI41" s="140"/>
      <c r="QJ41" s="140"/>
      <c r="QK41" s="140"/>
      <c r="QL41" s="140"/>
      <c r="QM41" s="140"/>
      <c r="QN41" s="140"/>
      <c r="QO41" s="7"/>
      <c r="QP41" s="7"/>
      <c r="QQ41" s="140"/>
      <c r="QR41" s="140"/>
      <c r="QS41" s="140"/>
      <c r="QT41" s="140"/>
      <c r="QU41" s="140"/>
      <c r="QV41" s="140"/>
      <c r="QW41" s="140"/>
      <c r="QX41" s="140"/>
      <c r="QY41" s="140"/>
      <c r="QZ41" s="140"/>
      <c r="RA41" s="140"/>
      <c r="RB41" s="140"/>
      <c r="RC41" s="140"/>
      <c r="RD41" s="140"/>
      <c r="RE41" s="140"/>
      <c r="RF41" s="140"/>
      <c r="RG41" s="7"/>
      <c r="RH41" s="7"/>
      <c r="RI41" s="7"/>
      <c r="RJ41" s="7"/>
      <c r="RK41" s="7"/>
      <c r="RL41" s="7"/>
      <c r="RM41" s="7"/>
      <c r="RN41" s="7"/>
      <c r="RO41" s="36"/>
      <c r="RP41" s="7"/>
      <c r="RQ41" s="7"/>
      <c r="RR41" s="7"/>
      <c r="RS41" s="7"/>
      <c r="RT41" s="7"/>
      <c r="RU41" s="7"/>
      <c r="RV41" s="7"/>
      <c r="RW41" s="7"/>
      <c r="RX41" s="7"/>
      <c r="RY41" s="7"/>
      <c r="RZ41" s="7"/>
      <c r="SA41" s="7"/>
      <c r="SB41" s="36"/>
      <c r="SC41" s="7"/>
      <c r="SD41" s="7"/>
      <c r="SE41" s="7"/>
      <c r="SF41" s="7"/>
      <c r="SG41" s="7"/>
      <c r="SH41" s="7"/>
      <c r="SI41" s="7"/>
      <c r="SJ41" s="7"/>
      <c r="SK41" s="7"/>
      <c r="SL41" s="7"/>
      <c r="SM41" s="7"/>
      <c r="SN41" s="7"/>
      <c r="SO41" s="7"/>
      <c r="SP41" s="7"/>
      <c r="SQ41" s="7"/>
      <c r="SR41" s="7"/>
      <c r="SS41" s="7"/>
      <c r="ST41" s="7"/>
      <c r="SU41" s="7"/>
      <c r="SV41" s="7"/>
      <c r="SW41" s="7"/>
      <c r="SX41" s="7"/>
      <c r="SY41" s="7"/>
      <c r="SZ41" s="7"/>
      <c r="TA41" s="7"/>
      <c r="TB41" s="7"/>
      <c r="TC41" s="7"/>
      <c r="TD41" s="36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8">
        <f>'ASAJ UM'!$F$28</f>
        <v>0</v>
      </c>
      <c r="TT41" s="48">
        <f>'ASAJ UM'!$F$29</f>
        <v>0</v>
      </c>
      <c r="TU41" s="48">
        <f>'ASAJ UM'!$F$30</f>
        <v>0</v>
      </c>
      <c r="TV41" s="48">
        <f>'ASAJ UM'!$F$31</f>
        <v>0</v>
      </c>
      <c r="TW41" s="48">
        <f>'ASAJ UM'!$F$32</f>
        <v>0</v>
      </c>
      <c r="TX41" s="48">
        <f>'ASAJ UM'!$F$33</f>
        <v>0</v>
      </c>
      <c r="TY41" s="48">
        <f>'ASAJ UM'!$F$34</f>
        <v>0</v>
      </c>
      <c r="TZ41" s="48">
        <f>'ASAJ UM'!$F$35</f>
        <v>0</v>
      </c>
      <c r="UA41" s="48">
        <f>'ASAJ UM'!$F$36</f>
        <v>0</v>
      </c>
      <c r="UB41" s="48">
        <f>'ASAJ UM'!$F$37</f>
        <v>0</v>
      </c>
      <c r="UC41" s="48">
        <f>'ASAJ UM'!$F$38</f>
        <v>0</v>
      </c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7"/>
      <c r="YG41" s="7"/>
      <c r="YH41" s="7"/>
      <c r="YI41" s="7"/>
      <c r="YJ41" s="7"/>
      <c r="YK41" s="7"/>
      <c r="YL41" s="7"/>
      <c r="YM41" s="7"/>
      <c r="YN41" s="7"/>
      <c r="YO41" s="7"/>
      <c r="YP41" s="7"/>
      <c r="YQ41" s="7"/>
      <c r="YR41" s="7"/>
      <c r="YS41" s="7"/>
      <c r="YT41" s="7"/>
      <c r="YU41" s="7"/>
      <c r="YV41" s="7"/>
      <c r="YW41" s="7"/>
      <c r="YX41" s="7"/>
      <c r="YY41" s="7"/>
      <c r="YZ41" s="7"/>
      <c r="ZA41" s="7"/>
      <c r="ZB41" s="7"/>
      <c r="ZC41" s="7"/>
      <c r="ZD41" s="7"/>
      <c r="ZE41" s="7"/>
      <c r="ZF41" s="7"/>
      <c r="ZG41" s="7"/>
      <c r="ZH41" s="7"/>
      <c r="ZI41" s="7"/>
      <c r="ZJ41" s="7"/>
      <c r="ZK41" s="7"/>
      <c r="ZL41" s="7"/>
      <c r="ZM41" s="7"/>
      <c r="ZN41" s="7"/>
      <c r="ZO41" s="7"/>
      <c r="ZP41" s="7"/>
      <c r="ZQ41" s="7"/>
      <c r="ZR41" s="7"/>
      <c r="ZS41" s="7"/>
      <c r="ZT41" s="7"/>
      <c r="ZU41" s="7"/>
      <c r="ZV41" s="4"/>
      <c r="ZW41" s="7"/>
      <c r="ZX41" s="7"/>
      <c r="ZY41" s="7"/>
      <c r="ZZ41" s="7"/>
      <c r="AAA41" s="7"/>
      <c r="AAB41" s="7"/>
      <c r="AAC41" s="7"/>
      <c r="AAD41" s="7"/>
      <c r="AAE41" s="7"/>
      <c r="AAF41" s="36"/>
      <c r="AAG41" s="7"/>
      <c r="AAH41" s="7"/>
      <c r="AAI41" s="7"/>
      <c r="AAJ41" s="7"/>
      <c r="AAK41" s="7"/>
      <c r="AAL41" s="7"/>
      <c r="AAM41" s="7"/>
      <c r="AAN41" s="7"/>
      <c r="AAO41" s="7"/>
      <c r="AAP41" s="7"/>
      <c r="AAQ41" s="7"/>
      <c r="AAR41" s="7"/>
      <c r="AAS41" s="7"/>
      <c r="AAT41" s="7"/>
      <c r="AAU41" s="7"/>
      <c r="AAV41" s="7"/>
      <c r="AAW41" s="7"/>
      <c r="AAX41" s="7"/>
      <c r="AAY41" s="7"/>
      <c r="AAZ41" s="4"/>
      <c r="ABA41" s="7"/>
      <c r="ABB41" s="7"/>
      <c r="ABC41" s="7"/>
      <c r="ABD41" s="7"/>
      <c r="ABE41" s="7"/>
      <c r="ABF41" s="7"/>
      <c r="ABG41" s="7"/>
      <c r="ABH41" s="7"/>
      <c r="ABI41" s="7"/>
      <c r="ABJ41" s="7"/>
      <c r="ABK41" s="7"/>
      <c r="ABL41" s="7"/>
      <c r="ABM41" s="7"/>
      <c r="ABN41" s="7"/>
      <c r="ABO41" s="7"/>
      <c r="ABP41" s="7"/>
      <c r="ABQ41" s="7"/>
      <c r="ABR41" s="7"/>
      <c r="ABS41" s="7"/>
      <c r="ABT41" s="7"/>
      <c r="ABU41" s="7"/>
      <c r="ABV41" s="7"/>
      <c r="ABW41" s="7"/>
      <c r="ABX41" s="7"/>
      <c r="ABY41" s="7"/>
      <c r="ABZ41" s="7"/>
      <c r="ACA41" s="7"/>
      <c r="ACB41" s="7"/>
      <c r="ACC41" s="7"/>
      <c r="ACD41" s="7"/>
      <c r="ACE41" s="7"/>
      <c r="ACF41" s="7"/>
      <c r="ACG41" s="7"/>
      <c r="ACH41" s="7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144" t="s">
        <v>221</v>
      </c>
    </row>
    <row r="42" spans="1:830" ht="22.5" customHeight="1" x14ac:dyDescent="0.25">
      <c r="A42" s="36"/>
      <c r="B42" s="128" t="s">
        <v>613</v>
      </c>
      <c r="C42" s="160">
        <f>REKAP!$J$6</f>
        <v>0</v>
      </c>
      <c r="D42" s="124">
        <f>REKAP!$J$4</f>
        <v>0</v>
      </c>
      <c r="E42" s="159">
        <f>REKAP!$J$5</f>
        <v>0</v>
      </c>
      <c r="F42" s="36"/>
      <c r="G42" s="138" t="s">
        <v>219</v>
      </c>
      <c r="H42" s="4" t="s">
        <v>193</v>
      </c>
      <c r="I42" s="143"/>
      <c r="J42" s="141">
        <f>SUM(TS42:UC42)</f>
        <v>0</v>
      </c>
      <c r="K42" s="7"/>
      <c r="L42" s="7"/>
      <c r="M42" s="7"/>
      <c r="N42" s="130">
        <f>ROUND(N65,0)</f>
        <v>0</v>
      </c>
      <c r="O42" s="130">
        <f t="shared" ref="O42:BZ42" si="149">ROUND(O65,0)</f>
        <v>0</v>
      </c>
      <c r="P42" s="130">
        <f t="shared" si="149"/>
        <v>0</v>
      </c>
      <c r="Q42" s="130">
        <f t="shared" si="149"/>
        <v>0</v>
      </c>
      <c r="R42" s="130">
        <f t="shared" si="149"/>
        <v>0</v>
      </c>
      <c r="S42" s="130">
        <f t="shared" si="149"/>
        <v>0</v>
      </c>
      <c r="T42" s="130">
        <f t="shared" si="149"/>
        <v>0</v>
      </c>
      <c r="U42" s="130">
        <f t="shared" si="149"/>
        <v>0</v>
      </c>
      <c r="V42" s="130">
        <f t="shared" si="149"/>
        <v>0</v>
      </c>
      <c r="W42" s="130">
        <f t="shared" si="149"/>
        <v>0</v>
      </c>
      <c r="X42" s="130">
        <f t="shared" si="149"/>
        <v>0</v>
      </c>
      <c r="Y42" s="130">
        <f t="shared" si="149"/>
        <v>0</v>
      </c>
      <c r="Z42" s="130">
        <f t="shared" si="149"/>
        <v>0</v>
      </c>
      <c r="AA42" s="130">
        <f t="shared" si="149"/>
        <v>0</v>
      </c>
      <c r="AB42" s="130">
        <f t="shared" si="149"/>
        <v>0</v>
      </c>
      <c r="AC42" s="130">
        <f t="shared" si="149"/>
        <v>0</v>
      </c>
      <c r="AD42" s="130">
        <f t="shared" si="149"/>
        <v>0</v>
      </c>
      <c r="AE42" s="130">
        <f t="shared" si="149"/>
        <v>0</v>
      </c>
      <c r="AF42" s="130">
        <f t="shared" si="149"/>
        <v>0</v>
      </c>
      <c r="AG42" s="130">
        <f t="shared" si="149"/>
        <v>0</v>
      </c>
      <c r="AH42" s="130">
        <f t="shared" si="149"/>
        <v>0</v>
      </c>
      <c r="AI42" s="130">
        <f t="shared" si="149"/>
        <v>0</v>
      </c>
      <c r="AJ42" s="130">
        <f t="shared" si="149"/>
        <v>0</v>
      </c>
      <c r="AK42" s="130">
        <f t="shared" si="149"/>
        <v>0</v>
      </c>
      <c r="AL42" s="130">
        <f t="shared" si="149"/>
        <v>0</v>
      </c>
      <c r="AM42" s="130">
        <f t="shared" si="149"/>
        <v>0</v>
      </c>
      <c r="AN42" s="130">
        <f t="shared" si="149"/>
        <v>0</v>
      </c>
      <c r="AO42" s="130">
        <f t="shared" si="149"/>
        <v>0</v>
      </c>
      <c r="AP42" s="130">
        <f t="shared" si="149"/>
        <v>0</v>
      </c>
      <c r="AQ42" s="130">
        <f t="shared" si="149"/>
        <v>0</v>
      </c>
      <c r="AR42" s="130">
        <f t="shared" si="149"/>
        <v>0</v>
      </c>
      <c r="AS42" s="130">
        <f t="shared" si="149"/>
        <v>0</v>
      </c>
      <c r="AT42" s="130">
        <f t="shared" si="149"/>
        <v>0</v>
      </c>
      <c r="AU42" s="130">
        <f t="shared" si="149"/>
        <v>0</v>
      </c>
      <c r="AV42" s="130">
        <f t="shared" si="149"/>
        <v>0</v>
      </c>
      <c r="AW42" s="130">
        <f t="shared" si="149"/>
        <v>0</v>
      </c>
      <c r="AX42" s="130">
        <f t="shared" si="149"/>
        <v>0</v>
      </c>
      <c r="AY42" s="130">
        <f t="shared" si="149"/>
        <v>0</v>
      </c>
      <c r="AZ42" s="130">
        <f t="shared" si="149"/>
        <v>0</v>
      </c>
      <c r="BA42" s="130">
        <f t="shared" si="149"/>
        <v>0</v>
      </c>
      <c r="BB42" s="130">
        <f t="shared" si="149"/>
        <v>0</v>
      </c>
      <c r="BC42" s="130">
        <f t="shared" si="149"/>
        <v>0</v>
      </c>
      <c r="BD42" s="130">
        <f t="shared" si="149"/>
        <v>0</v>
      </c>
      <c r="BE42" s="130">
        <f t="shared" si="149"/>
        <v>0</v>
      </c>
      <c r="BF42" s="130">
        <f t="shared" si="149"/>
        <v>0</v>
      </c>
      <c r="BG42" s="130">
        <f t="shared" si="149"/>
        <v>0</v>
      </c>
      <c r="BH42" s="130">
        <f t="shared" si="149"/>
        <v>0</v>
      </c>
      <c r="BI42" s="130">
        <f t="shared" si="149"/>
        <v>0</v>
      </c>
      <c r="BJ42" s="130">
        <f t="shared" si="149"/>
        <v>0</v>
      </c>
      <c r="BK42" s="130">
        <f t="shared" si="149"/>
        <v>0</v>
      </c>
      <c r="BL42" s="130">
        <f t="shared" si="149"/>
        <v>0</v>
      </c>
      <c r="BM42" s="130">
        <f t="shared" si="149"/>
        <v>0</v>
      </c>
      <c r="BN42" s="130">
        <f t="shared" si="149"/>
        <v>0</v>
      </c>
      <c r="BO42" s="130">
        <f t="shared" si="149"/>
        <v>0</v>
      </c>
      <c r="BP42" s="130">
        <f t="shared" si="149"/>
        <v>0</v>
      </c>
      <c r="BQ42" s="130">
        <f t="shared" si="149"/>
        <v>0</v>
      </c>
      <c r="BR42" s="130">
        <f t="shared" si="149"/>
        <v>0</v>
      </c>
      <c r="BS42" s="130">
        <f t="shared" si="149"/>
        <v>0</v>
      </c>
      <c r="BT42" s="130">
        <f t="shared" si="149"/>
        <v>0</v>
      </c>
      <c r="BU42" s="130">
        <f t="shared" si="149"/>
        <v>0</v>
      </c>
      <c r="BV42" s="130">
        <f t="shared" si="149"/>
        <v>0</v>
      </c>
      <c r="BW42" s="130">
        <f t="shared" si="149"/>
        <v>0</v>
      </c>
      <c r="BX42" s="130">
        <f t="shared" si="149"/>
        <v>0</v>
      </c>
      <c r="BY42" s="130">
        <f t="shared" si="149"/>
        <v>0</v>
      </c>
      <c r="BZ42" s="130">
        <f t="shared" si="149"/>
        <v>0</v>
      </c>
      <c r="CA42" s="130">
        <f t="shared" ref="CA42:EL42" si="150">ROUND(CA65,0)</f>
        <v>0</v>
      </c>
      <c r="CB42" s="130">
        <f t="shared" si="150"/>
        <v>0</v>
      </c>
      <c r="CC42" s="130">
        <f t="shared" si="150"/>
        <v>0</v>
      </c>
      <c r="CD42" s="130">
        <f t="shared" si="150"/>
        <v>0</v>
      </c>
      <c r="CE42" s="130">
        <f t="shared" si="150"/>
        <v>0</v>
      </c>
      <c r="CF42" s="130">
        <f t="shared" si="150"/>
        <v>0</v>
      </c>
      <c r="CG42" s="130">
        <f t="shared" si="150"/>
        <v>0</v>
      </c>
      <c r="CH42" s="130">
        <f t="shared" si="150"/>
        <v>0</v>
      </c>
      <c r="CI42" s="130">
        <f t="shared" si="150"/>
        <v>0</v>
      </c>
      <c r="CJ42" s="130">
        <f t="shared" si="150"/>
        <v>0</v>
      </c>
      <c r="CK42" s="130">
        <f t="shared" si="150"/>
        <v>0</v>
      </c>
      <c r="CL42" s="130">
        <f t="shared" si="150"/>
        <v>0</v>
      </c>
      <c r="CM42" s="130">
        <f t="shared" si="150"/>
        <v>0</v>
      </c>
      <c r="CN42" s="130">
        <f t="shared" si="150"/>
        <v>0</v>
      </c>
      <c r="CO42" s="130">
        <f t="shared" si="150"/>
        <v>0</v>
      </c>
      <c r="CP42" s="130">
        <f t="shared" si="150"/>
        <v>0</v>
      </c>
      <c r="CQ42" s="130">
        <f t="shared" si="150"/>
        <v>0</v>
      </c>
      <c r="CR42" s="130">
        <f t="shared" si="150"/>
        <v>0</v>
      </c>
      <c r="CS42" s="130">
        <f t="shared" si="150"/>
        <v>0</v>
      </c>
      <c r="CT42" s="130">
        <f t="shared" si="150"/>
        <v>0</v>
      </c>
      <c r="CU42" s="130">
        <f t="shared" si="150"/>
        <v>0</v>
      </c>
      <c r="CV42" s="130">
        <f t="shared" si="150"/>
        <v>0</v>
      </c>
      <c r="CW42" s="130">
        <f t="shared" si="150"/>
        <v>0</v>
      </c>
      <c r="CX42" s="130">
        <f t="shared" si="150"/>
        <v>0</v>
      </c>
      <c r="CY42" s="130">
        <f t="shared" si="150"/>
        <v>0</v>
      </c>
      <c r="CZ42" s="130">
        <f t="shared" si="150"/>
        <v>0</v>
      </c>
      <c r="DA42" s="130">
        <f t="shared" si="150"/>
        <v>0</v>
      </c>
      <c r="DB42" s="130">
        <f t="shared" si="150"/>
        <v>0</v>
      </c>
      <c r="DC42" s="130">
        <f t="shared" si="150"/>
        <v>0</v>
      </c>
      <c r="DD42" s="130">
        <f t="shared" si="150"/>
        <v>0</v>
      </c>
      <c r="DE42" s="130">
        <f t="shared" si="150"/>
        <v>0</v>
      </c>
      <c r="DF42" s="130">
        <f t="shared" si="150"/>
        <v>0</v>
      </c>
      <c r="DG42" s="130">
        <f t="shared" si="150"/>
        <v>0</v>
      </c>
      <c r="DH42" s="130">
        <f t="shared" si="150"/>
        <v>0</v>
      </c>
      <c r="DI42" s="130">
        <f t="shared" si="150"/>
        <v>0</v>
      </c>
      <c r="DJ42" s="130">
        <f t="shared" si="150"/>
        <v>0</v>
      </c>
      <c r="DK42" s="130">
        <f t="shared" si="150"/>
        <v>0</v>
      </c>
      <c r="DL42" s="130">
        <f t="shared" si="150"/>
        <v>0</v>
      </c>
      <c r="DM42" s="130">
        <f t="shared" si="150"/>
        <v>0</v>
      </c>
      <c r="DN42" s="130">
        <f t="shared" si="150"/>
        <v>0</v>
      </c>
      <c r="DO42" s="130">
        <f t="shared" si="150"/>
        <v>0</v>
      </c>
      <c r="DP42" s="130">
        <f t="shared" si="150"/>
        <v>0</v>
      </c>
      <c r="DQ42" s="130">
        <f t="shared" si="150"/>
        <v>0</v>
      </c>
      <c r="DR42" s="130">
        <f t="shared" si="150"/>
        <v>0</v>
      </c>
      <c r="DS42" s="130">
        <f t="shared" si="150"/>
        <v>0</v>
      </c>
      <c r="DT42" s="130">
        <f t="shared" si="150"/>
        <v>0</v>
      </c>
      <c r="DU42" s="130">
        <f t="shared" si="150"/>
        <v>0</v>
      </c>
      <c r="DV42" s="130">
        <f t="shared" si="150"/>
        <v>0</v>
      </c>
      <c r="DW42" s="130">
        <f t="shared" si="150"/>
        <v>0</v>
      </c>
      <c r="DX42" s="130">
        <f t="shared" si="150"/>
        <v>0</v>
      </c>
      <c r="DY42" s="130">
        <f t="shared" si="150"/>
        <v>0</v>
      </c>
      <c r="DZ42" s="130">
        <f t="shared" si="150"/>
        <v>0</v>
      </c>
      <c r="EA42" s="130">
        <f t="shared" si="150"/>
        <v>0</v>
      </c>
      <c r="EB42" s="130">
        <f t="shared" si="150"/>
        <v>0</v>
      </c>
      <c r="EC42" s="130">
        <f t="shared" si="150"/>
        <v>0</v>
      </c>
      <c r="ED42" s="130">
        <f t="shared" si="150"/>
        <v>0</v>
      </c>
      <c r="EE42" s="130">
        <f t="shared" si="150"/>
        <v>0</v>
      </c>
      <c r="EF42" s="130">
        <f t="shared" si="150"/>
        <v>0</v>
      </c>
      <c r="EG42" s="130">
        <f t="shared" si="150"/>
        <v>0</v>
      </c>
      <c r="EH42" s="130">
        <f t="shared" si="150"/>
        <v>0</v>
      </c>
      <c r="EI42" s="130">
        <f t="shared" si="150"/>
        <v>0</v>
      </c>
      <c r="EJ42" s="130">
        <f t="shared" si="150"/>
        <v>0</v>
      </c>
      <c r="EK42" s="130">
        <f t="shared" si="150"/>
        <v>0</v>
      </c>
      <c r="EL42" s="130">
        <f t="shared" si="150"/>
        <v>0</v>
      </c>
      <c r="EM42" s="130">
        <f t="shared" ref="EM42:GX42" si="151">ROUND(EM65,0)</f>
        <v>0</v>
      </c>
      <c r="EN42" s="130">
        <f t="shared" si="151"/>
        <v>0</v>
      </c>
      <c r="EO42" s="130">
        <f t="shared" si="151"/>
        <v>0</v>
      </c>
      <c r="EP42" s="130">
        <f t="shared" si="151"/>
        <v>0</v>
      </c>
      <c r="EQ42" s="130">
        <f t="shared" si="151"/>
        <v>0</v>
      </c>
      <c r="ER42" s="130">
        <f t="shared" si="151"/>
        <v>0</v>
      </c>
      <c r="ES42" s="130">
        <f t="shared" si="151"/>
        <v>0</v>
      </c>
      <c r="ET42" s="130">
        <f t="shared" si="151"/>
        <v>0</v>
      </c>
      <c r="EU42" s="130">
        <f t="shared" si="151"/>
        <v>0</v>
      </c>
      <c r="EV42" s="130">
        <f t="shared" si="151"/>
        <v>0</v>
      </c>
      <c r="EW42" s="130">
        <f t="shared" si="151"/>
        <v>0</v>
      </c>
      <c r="EX42" s="130">
        <f t="shared" si="151"/>
        <v>0</v>
      </c>
      <c r="EY42" s="130">
        <f t="shared" si="151"/>
        <v>0</v>
      </c>
      <c r="EZ42" s="130">
        <f t="shared" si="151"/>
        <v>0</v>
      </c>
      <c r="FA42" s="130">
        <f t="shared" si="151"/>
        <v>0</v>
      </c>
      <c r="FB42" s="130">
        <f t="shared" si="151"/>
        <v>0</v>
      </c>
      <c r="FC42" s="130">
        <f t="shared" si="151"/>
        <v>0</v>
      </c>
      <c r="FD42" s="130">
        <f t="shared" si="151"/>
        <v>0</v>
      </c>
      <c r="FE42" s="130">
        <f t="shared" si="151"/>
        <v>0</v>
      </c>
      <c r="FF42" s="130">
        <f t="shared" si="151"/>
        <v>0</v>
      </c>
      <c r="FG42" s="130">
        <f t="shared" si="151"/>
        <v>0</v>
      </c>
      <c r="FH42" s="130">
        <f t="shared" si="151"/>
        <v>0</v>
      </c>
      <c r="FI42" s="130">
        <f t="shared" si="151"/>
        <v>0</v>
      </c>
      <c r="FJ42" s="130">
        <f t="shared" si="151"/>
        <v>0</v>
      </c>
      <c r="FK42" s="130">
        <f t="shared" si="151"/>
        <v>0</v>
      </c>
      <c r="FL42" s="130">
        <f t="shared" si="151"/>
        <v>0</v>
      </c>
      <c r="FM42" s="130">
        <f t="shared" si="151"/>
        <v>0</v>
      </c>
      <c r="FN42" s="130">
        <f t="shared" si="151"/>
        <v>0</v>
      </c>
      <c r="FO42" s="130">
        <f t="shared" si="151"/>
        <v>0</v>
      </c>
      <c r="FP42" s="130">
        <f t="shared" si="151"/>
        <v>0</v>
      </c>
      <c r="FQ42" s="130">
        <f t="shared" si="151"/>
        <v>0</v>
      </c>
      <c r="FR42" s="130">
        <f t="shared" si="151"/>
        <v>0</v>
      </c>
      <c r="FS42" s="130">
        <f t="shared" si="151"/>
        <v>0</v>
      </c>
      <c r="FT42" s="130">
        <f t="shared" si="151"/>
        <v>0</v>
      </c>
      <c r="FU42" s="130">
        <f t="shared" si="151"/>
        <v>0</v>
      </c>
      <c r="FV42" s="130">
        <f t="shared" si="151"/>
        <v>0</v>
      </c>
      <c r="FW42" s="130">
        <f t="shared" si="151"/>
        <v>0</v>
      </c>
      <c r="FX42" s="130">
        <f t="shared" si="151"/>
        <v>0</v>
      </c>
      <c r="FY42" s="130">
        <f t="shared" si="151"/>
        <v>0</v>
      </c>
      <c r="FZ42" s="130">
        <f t="shared" si="151"/>
        <v>0</v>
      </c>
      <c r="GA42" s="130">
        <f t="shared" si="151"/>
        <v>0</v>
      </c>
      <c r="GB42" s="130">
        <f t="shared" si="151"/>
        <v>0</v>
      </c>
      <c r="GC42" s="130">
        <f t="shared" si="151"/>
        <v>0</v>
      </c>
      <c r="GD42" s="130">
        <f t="shared" si="151"/>
        <v>0</v>
      </c>
      <c r="GE42" s="130">
        <f t="shared" si="151"/>
        <v>0</v>
      </c>
      <c r="GF42" s="130">
        <f t="shared" si="151"/>
        <v>0</v>
      </c>
      <c r="GG42" s="130">
        <f t="shared" si="151"/>
        <v>0</v>
      </c>
      <c r="GH42" s="130">
        <f t="shared" si="151"/>
        <v>0</v>
      </c>
      <c r="GI42" s="130">
        <f t="shared" si="151"/>
        <v>0</v>
      </c>
      <c r="GJ42" s="130">
        <f t="shared" si="151"/>
        <v>0</v>
      </c>
      <c r="GK42" s="130">
        <f t="shared" si="151"/>
        <v>0</v>
      </c>
      <c r="GL42" s="130">
        <f t="shared" si="151"/>
        <v>0</v>
      </c>
      <c r="GM42" s="130">
        <f t="shared" si="151"/>
        <v>0</v>
      </c>
      <c r="GN42" s="130">
        <f t="shared" si="151"/>
        <v>0</v>
      </c>
      <c r="GO42" s="130">
        <f t="shared" si="151"/>
        <v>0</v>
      </c>
      <c r="GP42" s="130">
        <f t="shared" si="151"/>
        <v>0</v>
      </c>
      <c r="GQ42" s="130">
        <f t="shared" si="151"/>
        <v>0</v>
      </c>
      <c r="GR42" s="130">
        <f t="shared" si="151"/>
        <v>0</v>
      </c>
      <c r="GS42" s="130">
        <f t="shared" si="151"/>
        <v>0</v>
      </c>
      <c r="GT42" s="130">
        <f t="shared" si="151"/>
        <v>0</v>
      </c>
      <c r="GU42" s="130">
        <f t="shared" si="151"/>
        <v>0</v>
      </c>
      <c r="GV42" s="130">
        <f t="shared" si="151"/>
        <v>0</v>
      </c>
      <c r="GW42" s="130">
        <f t="shared" si="151"/>
        <v>0</v>
      </c>
      <c r="GX42" s="130">
        <f t="shared" si="151"/>
        <v>0</v>
      </c>
      <c r="GY42" s="130">
        <f t="shared" ref="GY42:JJ42" si="152">ROUND(GY65,0)</f>
        <v>0</v>
      </c>
      <c r="GZ42" s="130">
        <f t="shared" si="152"/>
        <v>0</v>
      </c>
      <c r="HA42" s="130">
        <f t="shared" si="152"/>
        <v>0</v>
      </c>
      <c r="HB42" s="130">
        <f t="shared" si="152"/>
        <v>0</v>
      </c>
      <c r="HC42" s="130">
        <f t="shared" si="152"/>
        <v>0</v>
      </c>
      <c r="HD42" s="130">
        <f t="shared" si="152"/>
        <v>0</v>
      </c>
      <c r="HE42" s="130">
        <f t="shared" si="152"/>
        <v>0</v>
      </c>
      <c r="HF42" s="130">
        <f t="shared" si="152"/>
        <v>0</v>
      </c>
      <c r="HG42" s="130">
        <f t="shared" si="152"/>
        <v>0</v>
      </c>
      <c r="HH42" s="130">
        <f t="shared" si="152"/>
        <v>0</v>
      </c>
      <c r="HI42" s="130">
        <f t="shared" si="152"/>
        <v>0</v>
      </c>
      <c r="HJ42" s="130">
        <f t="shared" si="152"/>
        <v>0</v>
      </c>
      <c r="HK42" s="130">
        <f t="shared" si="152"/>
        <v>0</v>
      </c>
      <c r="HL42" s="130">
        <f t="shared" si="152"/>
        <v>0</v>
      </c>
      <c r="HM42" s="130">
        <f t="shared" si="152"/>
        <v>0</v>
      </c>
      <c r="HN42" s="130">
        <f t="shared" si="152"/>
        <v>0</v>
      </c>
      <c r="HO42" s="130">
        <f t="shared" si="152"/>
        <v>0</v>
      </c>
      <c r="HP42" s="130">
        <f t="shared" si="152"/>
        <v>0</v>
      </c>
      <c r="HQ42" s="130">
        <f t="shared" si="152"/>
        <v>0</v>
      </c>
      <c r="HR42" s="130">
        <f t="shared" si="152"/>
        <v>0</v>
      </c>
      <c r="HS42" s="130">
        <f t="shared" si="152"/>
        <v>0</v>
      </c>
      <c r="HT42" s="130">
        <f t="shared" si="152"/>
        <v>0</v>
      </c>
      <c r="HU42" s="130">
        <f t="shared" si="152"/>
        <v>0</v>
      </c>
      <c r="HV42" s="130">
        <f t="shared" si="152"/>
        <v>0</v>
      </c>
      <c r="HW42" s="130">
        <f t="shared" si="152"/>
        <v>0</v>
      </c>
      <c r="HX42" s="130">
        <f t="shared" si="152"/>
        <v>0</v>
      </c>
      <c r="HY42" s="130">
        <f t="shared" si="152"/>
        <v>0</v>
      </c>
      <c r="HZ42" s="130">
        <f t="shared" si="152"/>
        <v>0</v>
      </c>
      <c r="IA42" s="130">
        <f t="shared" si="152"/>
        <v>0</v>
      </c>
      <c r="IB42" s="130">
        <f t="shared" si="152"/>
        <v>0</v>
      </c>
      <c r="IC42" s="130">
        <f t="shared" si="152"/>
        <v>0</v>
      </c>
      <c r="ID42" s="130">
        <f t="shared" si="152"/>
        <v>0</v>
      </c>
      <c r="IE42" s="130">
        <f t="shared" si="152"/>
        <v>0</v>
      </c>
      <c r="IF42" s="130">
        <f t="shared" si="152"/>
        <v>0</v>
      </c>
      <c r="IG42" s="130">
        <f t="shared" si="152"/>
        <v>0</v>
      </c>
      <c r="IH42" s="130">
        <f t="shared" si="152"/>
        <v>0</v>
      </c>
      <c r="II42" s="130">
        <f t="shared" si="152"/>
        <v>0</v>
      </c>
      <c r="IJ42" s="130">
        <f t="shared" si="152"/>
        <v>0</v>
      </c>
      <c r="IK42" s="130">
        <f t="shared" si="152"/>
        <v>0</v>
      </c>
      <c r="IL42" s="130">
        <f t="shared" si="152"/>
        <v>0</v>
      </c>
      <c r="IM42" s="130">
        <f t="shared" si="152"/>
        <v>0</v>
      </c>
      <c r="IN42" s="130">
        <f t="shared" si="152"/>
        <v>0</v>
      </c>
      <c r="IO42" s="130">
        <f t="shared" si="152"/>
        <v>0</v>
      </c>
      <c r="IP42" s="130">
        <f t="shared" si="152"/>
        <v>0</v>
      </c>
      <c r="IQ42" s="130">
        <f t="shared" si="152"/>
        <v>0</v>
      </c>
      <c r="IR42" s="130">
        <f t="shared" si="152"/>
        <v>0</v>
      </c>
      <c r="IS42" s="130">
        <f t="shared" si="152"/>
        <v>0</v>
      </c>
      <c r="IT42" s="130">
        <f t="shared" si="152"/>
        <v>0</v>
      </c>
      <c r="IU42" s="130">
        <f t="shared" si="152"/>
        <v>0</v>
      </c>
      <c r="IV42" s="130">
        <f t="shared" si="152"/>
        <v>0</v>
      </c>
      <c r="IW42" s="130">
        <f t="shared" si="152"/>
        <v>0</v>
      </c>
      <c r="IX42" s="130">
        <f t="shared" si="152"/>
        <v>0</v>
      </c>
      <c r="IY42" s="130">
        <f t="shared" si="152"/>
        <v>0</v>
      </c>
      <c r="IZ42" s="130">
        <f t="shared" si="152"/>
        <v>0</v>
      </c>
      <c r="JA42" s="130">
        <f t="shared" si="152"/>
        <v>0</v>
      </c>
      <c r="JB42" s="130">
        <f t="shared" si="152"/>
        <v>0</v>
      </c>
      <c r="JC42" s="130">
        <f t="shared" si="152"/>
        <v>0</v>
      </c>
      <c r="JD42" s="130">
        <f t="shared" si="152"/>
        <v>0</v>
      </c>
      <c r="JE42" s="130">
        <f t="shared" si="152"/>
        <v>0</v>
      </c>
      <c r="JF42" s="130">
        <f t="shared" si="152"/>
        <v>0</v>
      </c>
      <c r="JG42" s="130">
        <f t="shared" si="152"/>
        <v>0</v>
      </c>
      <c r="JH42" s="130">
        <f t="shared" si="152"/>
        <v>0</v>
      </c>
      <c r="JI42" s="130">
        <f t="shared" si="152"/>
        <v>0</v>
      </c>
      <c r="JJ42" s="130">
        <f t="shared" si="152"/>
        <v>0</v>
      </c>
      <c r="JK42" s="130">
        <f t="shared" ref="JK42:LV42" si="153">ROUND(JK65,0)</f>
        <v>0</v>
      </c>
      <c r="JL42" s="130">
        <f t="shared" si="153"/>
        <v>0</v>
      </c>
      <c r="JM42" s="130">
        <f t="shared" si="153"/>
        <v>0</v>
      </c>
      <c r="JN42" s="130">
        <f t="shared" si="153"/>
        <v>0</v>
      </c>
      <c r="JO42" s="130">
        <f t="shared" si="153"/>
        <v>0</v>
      </c>
      <c r="JP42" s="130">
        <f t="shared" si="153"/>
        <v>0</v>
      </c>
      <c r="JQ42" s="130">
        <f t="shared" si="153"/>
        <v>0</v>
      </c>
      <c r="JR42" s="130">
        <f t="shared" si="153"/>
        <v>0</v>
      </c>
      <c r="JS42" s="130">
        <f t="shared" si="153"/>
        <v>0</v>
      </c>
      <c r="JT42" s="130">
        <f t="shared" si="153"/>
        <v>0</v>
      </c>
      <c r="JU42" s="130">
        <f t="shared" si="153"/>
        <v>0</v>
      </c>
      <c r="JV42" s="130">
        <f t="shared" si="153"/>
        <v>0</v>
      </c>
      <c r="JW42" s="130">
        <f t="shared" si="153"/>
        <v>0</v>
      </c>
      <c r="JX42" s="130">
        <f t="shared" si="153"/>
        <v>0</v>
      </c>
      <c r="JY42" s="130">
        <f t="shared" si="153"/>
        <v>0</v>
      </c>
      <c r="JZ42" s="130">
        <f t="shared" si="153"/>
        <v>0</v>
      </c>
      <c r="KA42" s="130">
        <f t="shared" si="153"/>
        <v>0</v>
      </c>
      <c r="KB42" s="130">
        <f t="shared" si="153"/>
        <v>0</v>
      </c>
      <c r="KC42" s="130">
        <f t="shared" si="153"/>
        <v>0</v>
      </c>
      <c r="KD42" s="130">
        <f t="shared" si="153"/>
        <v>0</v>
      </c>
      <c r="KE42" s="130">
        <f t="shared" si="153"/>
        <v>0</v>
      </c>
      <c r="KF42" s="130">
        <f t="shared" si="153"/>
        <v>0</v>
      </c>
      <c r="KG42" s="130">
        <f t="shared" si="153"/>
        <v>0</v>
      </c>
      <c r="KH42" s="130">
        <f t="shared" si="153"/>
        <v>0</v>
      </c>
      <c r="KI42" s="130">
        <f t="shared" si="153"/>
        <v>0</v>
      </c>
      <c r="KJ42" s="130">
        <f t="shared" si="153"/>
        <v>0</v>
      </c>
      <c r="KK42" s="130">
        <f t="shared" si="153"/>
        <v>0</v>
      </c>
      <c r="KL42" s="130">
        <f t="shared" si="153"/>
        <v>0</v>
      </c>
      <c r="KM42" s="130">
        <f t="shared" si="153"/>
        <v>0</v>
      </c>
      <c r="KN42" s="130">
        <f t="shared" si="153"/>
        <v>0</v>
      </c>
      <c r="KO42" s="130">
        <f t="shared" si="153"/>
        <v>0</v>
      </c>
      <c r="KP42" s="130">
        <f t="shared" si="153"/>
        <v>0</v>
      </c>
      <c r="KQ42" s="130">
        <f t="shared" si="153"/>
        <v>0</v>
      </c>
      <c r="KR42" s="130">
        <f t="shared" si="153"/>
        <v>0</v>
      </c>
      <c r="KS42" s="130">
        <f t="shared" si="153"/>
        <v>0</v>
      </c>
      <c r="KT42" s="130">
        <f t="shared" si="153"/>
        <v>0</v>
      </c>
      <c r="KU42" s="130">
        <f t="shared" si="153"/>
        <v>0</v>
      </c>
      <c r="KV42" s="130">
        <f t="shared" si="153"/>
        <v>0</v>
      </c>
      <c r="KW42" s="130">
        <f t="shared" si="153"/>
        <v>0</v>
      </c>
      <c r="KX42" s="130">
        <f t="shared" si="153"/>
        <v>0</v>
      </c>
      <c r="KY42" s="130">
        <f t="shared" si="153"/>
        <v>0</v>
      </c>
      <c r="KZ42" s="130">
        <f t="shared" si="153"/>
        <v>0</v>
      </c>
      <c r="LA42" s="130">
        <f t="shared" si="153"/>
        <v>0</v>
      </c>
      <c r="LB42" s="130">
        <f t="shared" si="153"/>
        <v>0</v>
      </c>
      <c r="LC42" s="130">
        <f t="shared" si="153"/>
        <v>0</v>
      </c>
      <c r="LD42" s="130">
        <f t="shared" si="153"/>
        <v>0</v>
      </c>
      <c r="LE42" s="130">
        <f t="shared" si="153"/>
        <v>0</v>
      </c>
      <c r="LF42" s="130">
        <f t="shared" si="153"/>
        <v>0</v>
      </c>
      <c r="LG42" s="130">
        <f t="shared" si="153"/>
        <v>0</v>
      </c>
      <c r="LH42" s="130">
        <f t="shared" si="153"/>
        <v>0</v>
      </c>
      <c r="LI42" s="130">
        <f t="shared" si="153"/>
        <v>0</v>
      </c>
      <c r="LJ42" s="130">
        <f t="shared" si="153"/>
        <v>0</v>
      </c>
      <c r="LK42" s="130">
        <f t="shared" si="153"/>
        <v>0</v>
      </c>
      <c r="LL42" s="130">
        <f t="shared" si="153"/>
        <v>0</v>
      </c>
      <c r="LM42" s="130">
        <f t="shared" si="153"/>
        <v>0</v>
      </c>
      <c r="LN42" s="130">
        <f t="shared" si="153"/>
        <v>0</v>
      </c>
      <c r="LO42" s="130">
        <f t="shared" si="153"/>
        <v>0</v>
      </c>
      <c r="LP42" s="130">
        <f t="shared" si="153"/>
        <v>0</v>
      </c>
      <c r="LQ42" s="130">
        <f t="shared" si="153"/>
        <v>0</v>
      </c>
      <c r="LR42" s="130">
        <f t="shared" si="153"/>
        <v>0</v>
      </c>
      <c r="LS42" s="130">
        <f t="shared" si="153"/>
        <v>0</v>
      </c>
      <c r="LT42" s="130">
        <f t="shared" si="153"/>
        <v>0</v>
      </c>
      <c r="LU42" s="130">
        <f t="shared" si="153"/>
        <v>0</v>
      </c>
      <c r="LV42" s="130">
        <f t="shared" si="153"/>
        <v>0</v>
      </c>
      <c r="LW42" s="130">
        <f t="shared" ref="LW42:OH42" si="154">ROUND(LW65,0)</f>
        <v>0</v>
      </c>
      <c r="LX42" s="130">
        <f t="shared" si="154"/>
        <v>0</v>
      </c>
      <c r="LY42" s="130">
        <f t="shared" si="154"/>
        <v>0</v>
      </c>
      <c r="LZ42" s="130">
        <f t="shared" si="154"/>
        <v>0</v>
      </c>
      <c r="MA42" s="130">
        <f t="shared" si="154"/>
        <v>0</v>
      </c>
      <c r="MB42" s="130">
        <f t="shared" si="154"/>
        <v>0</v>
      </c>
      <c r="MC42" s="130">
        <f t="shared" si="154"/>
        <v>0</v>
      </c>
      <c r="MD42" s="130">
        <f t="shared" si="154"/>
        <v>0</v>
      </c>
      <c r="ME42" s="130">
        <f t="shared" si="154"/>
        <v>0</v>
      </c>
      <c r="MF42" s="130">
        <f t="shared" si="154"/>
        <v>0</v>
      </c>
      <c r="MG42" s="130">
        <f t="shared" si="154"/>
        <v>0</v>
      </c>
      <c r="MH42" s="130">
        <f t="shared" si="154"/>
        <v>0</v>
      </c>
      <c r="MI42" s="130">
        <f t="shared" si="154"/>
        <v>0</v>
      </c>
      <c r="MJ42" s="130">
        <f t="shared" si="154"/>
        <v>0</v>
      </c>
      <c r="MK42" s="130">
        <f t="shared" si="154"/>
        <v>0</v>
      </c>
      <c r="ML42" s="130">
        <f t="shared" si="154"/>
        <v>0</v>
      </c>
      <c r="MM42" s="130">
        <f t="shared" si="154"/>
        <v>0</v>
      </c>
      <c r="MN42" s="130">
        <f t="shared" si="154"/>
        <v>0</v>
      </c>
      <c r="MO42" s="130">
        <f t="shared" si="154"/>
        <v>0</v>
      </c>
      <c r="MP42" s="130">
        <f t="shared" si="154"/>
        <v>0</v>
      </c>
      <c r="MQ42" s="130">
        <f t="shared" si="154"/>
        <v>0</v>
      </c>
      <c r="MR42" s="130">
        <f t="shared" si="154"/>
        <v>0</v>
      </c>
      <c r="MS42" s="130">
        <f t="shared" si="154"/>
        <v>0</v>
      </c>
      <c r="MT42" s="130">
        <f t="shared" si="154"/>
        <v>0</v>
      </c>
      <c r="MU42" s="130">
        <f t="shared" si="154"/>
        <v>0</v>
      </c>
      <c r="MV42" s="130">
        <f t="shared" si="154"/>
        <v>0</v>
      </c>
      <c r="MW42" s="130">
        <f t="shared" si="154"/>
        <v>0</v>
      </c>
      <c r="MX42" s="130">
        <f t="shared" si="154"/>
        <v>0</v>
      </c>
      <c r="MY42" s="130">
        <f t="shared" si="154"/>
        <v>0</v>
      </c>
      <c r="MZ42" s="130">
        <f t="shared" si="154"/>
        <v>0</v>
      </c>
      <c r="NA42" s="130">
        <f t="shared" si="154"/>
        <v>0</v>
      </c>
      <c r="NB42" s="130">
        <f t="shared" si="154"/>
        <v>0</v>
      </c>
      <c r="NC42" s="130">
        <f t="shared" si="154"/>
        <v>0</v>
      </c>
      <c r="ND42" s="130">
        <f t="shared" si="154"/>
        <v>0</v>
      </c>
      <c r="NE42" s="130">
        <f t="shared" si="154"/>
        <v>0</v>
      </c>
      <c r="NF42" s="130">
        <f t="shared" si="154"/>
        <v>0</v>
      </c>
      <c r="NG42" s="130">
        <f t="shared" si="154"/>
        <v>0</v>
      </c>
      <c r="NH42" s="130">
        <f t="shared" si="154"/>
        <v>0</v>
      </c>
      <c r="NI42" s="130">
        <f t="shared" si="154"/>
        <v>0</v>
      </c>
      <c r="NJ42" s="130">
        <f t="shared" si="154"/>
        <v>0</v>
      </c>
      <c r="NK42" s="130">
        <f t="shared" si="154"/>
        <v>0</v>
      </c>
      <c r="NL42" s="130">
        <f t="shared" si="154"/>
        <v>0</v>
      </c>
      <c r="NM42" s="130">
        <f t="shared" si="154"/>
        <v>0</v>
      </c>
      <c r="NN42" s="130">
        <f t="shared" si="154"/>
        <v>0</v>
      </c>
      <c r="NO42" s="130">
        <f t="shared" si="154"/>
        <v>0</v>
      </c>
      <c r="NP42" s="130">
        <f t="shared" si="154"/>
        <v>0</v>
      </c>
      <c r="NQ42" s="130">
        <f t="shared" si="154"/>
        <v>0</v>
      </c>
      <c r="NR42" s="130">
        <f t="shared" si="154"/>
        <v>0</v>
      </c>
      <c r="NS42" s="130">
        <f t="shared" si="154"/>
        <v>0</v>
      </c>
      <c r="NT42" s="130">
        <f t="shared" si="154"/>
        <v>0</v>
      </c>
      <c r="NU42" s="130">
        <f t="shared" si="154"/>
        <v>0</v>
      </c>
      <c r="NV42" s="130">
        <f t="shared" si="154"/>
        <v>0</v>
      </c>
      <c r="NW42" s="130">
        <f t="shared" si="154"/>
        <v>0</v>
      </c>
      <c r="NX42" s="130">
        <f t="shared" si="154"/>
        <v>0</v>
      </c>
      <c r="NY42" s="130">
        <f t="shared" si="154"/>
        <v>0</v>
      </c>
      <c r="NZ42" s="130">
        <f t="shared" si="154"/>
        <v>0</v>
      </c>
      <c r="OA42" s="130">
        <f t="shared" si="154"/>
        <v>0</v>
      </c>
      <c r="OB42" s="130">
        <f t="shared" si="154"/>
        <v>0</v>
      </c>
      <c r="OC42" s="130">
        <f t="shared" si="154"/>
        <v>0</v>
      </c>
      <c r="OD42" s="130">
        <f t="shared" si="154"/>
        <v>0</v>
      </c>
      <c r="OE42" s="130">
        <f t="shared" si="154"/>
        <v>0</v>
      </c>
      <c r="OF42" s="130">
        <f t="shared" si="154"/>
        <v>0</v>
      </c>
      <c r="OG42" s="130">
        <f t="shared" si="154"/>
        <v>0</v>
      </c>
      <c r="OH42" s="130">
        <f t="shared" si="154"/>
        <v>0</v>
      </c>
      <c r="OI42" s="130">
        <f t="shared" ref="OI42:QT42" si="155">ROUND(OI65,0)</f>
        <v>0</v>
      </c>
      <c r="OJ42" s="130">
        <f t="shared" si="155"/>
        <v>0</v>
      </c>
      <c r="OK42" s="130">
        <f t="shared" si="155"/>
        <v>0</v>
      </c>
      <c r="OL42" s="130">
        <f t="shared" si="155"/>
        <v>0</v>
      </c>
      <c r="OM42" s="130">
        <f t="shared" si="155"/>
        <v>0</v>
      </c>
      <c r="ON42" s="130">
        <f t="shared" si="155"/>
        <v>0</v>
      </c>
      <c r="OO42" s="130">
        <f t="shared" si="155"/>
        <v>0</v>
      </c>
      <c r="OP42" s="130">
        <f t="shared" si="155"/>
        <v>0</v>
      </c>
      <c r="OQ42" s="130">
        <f t="shared" si="155"/>
        <v>0</v>
      </c>
      <c r="OR42" s="130">
        <f t="shared" si="155"/>
        <v>0</v>
      </c>
      <c r="OS42" s="130">
        <f t="shared" si="155"/>
        <v>0</v>
      </c>
      <c r="OT42" s="130">
        <f t="shared" si="155"/>
        <v>0</v>
      </c>
      <c r="OU42" s="130">
        <f t="shared" si="155"/>
        <v>0</v>
      </c>
      <c r="OV42" s="130">
        <f t="shared" si="155"/>
        <v>0</v>
      </c>
      <c r="OW42" s="130">
        <f t="shared" si="155"/>
        <v>0</v>
      </c>
      <c r="OX42" s="130">
        <f t="shared" si="155"/>
        <v>0</v>
      </c>
      <c r="OY42" s="130">
        <f t="shared" si="155"/>
        <v>0</v>
      </c>
      <c r="OZ42" s="130">
        <f t="shared" si="155"/>
        <v>0</v>
      </c>
      <c r="PA42" s="130">
        <f t="shared" si="155"/>
        <v>0</v>
      </c>
      <c r="PB42" s="130">
        <f t="shared" si="155"/>
        <v>0</v>
      </c>
      <c r="PC42" s="130">
        <f t="shared" si="155"/>
        <v>0</v>
      </c>
      <c r="PD42" s="130">
        <f t="shared" si="155"/>
        <v>0</v>
      </c>
      <c r="PE42" s="130">
        <f t="shared" si="155"/>
        <v>0</v>
      </c>
      <c r="PF42" s="130">
        <f t="shared" si="155"/>
        <v>0</v>
      </c>
      <c r="PG42" s="130">
        <f t="shared" si="155"/>
        <v>0</v>
      </c>
      <c r="PH42" s="130">
        <f t="shared" si="155"/>
        <v>0</v>
      </c>
      <c r="PI42" s="130">
        <f t="shared" si="155"/>
        <v>0</v>
      </c>
      <c r="PJ42" s="130">
        <f t="shared" si="155"/>
        <v>0</v>
      </c>
      <c r="PK42" s="130">
        <f t="shared" si="155"/>
        <v>0</v>
      </c>
      <c r="PL42" s="130">
        <f t="shared" si="155"/>
        <v>0</v>
      </c>
      <c r="PM42" s="130">
        <f t="shared" si="155"/>
        <v>0</v>
      </c>
      <c r="PN42" s="130">
        <f t="shared" si="155"/>
        <v>0</v>
      </c>
      <c r="PO42" s="130">
        <f t="shared" si="155"/>
        <v>0</v>
      </c>
      <c r="PP42" s="130">
        <f t="shared" si="155"/>
        <v>0</v>
      </c>
      <c r="PQ42" s="130">
        <f t="shared" si="155"/>
        <v>0</v>
      </c>
      <c r="PR42" s="130">
        <f t="shared" si="155"/>
        <v>0</v>
      </c>
      <c r="PS42" s="130">
        <f t="shared" si="155"/>
        <v>0</v>
      </c>
      <c r="PT42" s="130">
        <f t="shared" si="155"/>
        <v>0</v>
      </c>
      <c r="PU42" s="130">
        <f t="shared" si="155"/>
        <v>0</v>
      </c>
      <c r="PV42" s="130">
        <f t="shared" si="155"/>
        <v>0</v>
      </c>
      <c r="PW42" s="130">
        <f t="shared" si="155"/>
        <v>0</v>
      </c>
      <c r="PX42" s="130">
        <f t="shared" si="155"/>
        <v>0</v>
      </c>
      <c r="PY42" s="130">
        <f t="shared" si="155"/>
        <v>0</v>
      </c>
      <c r="PZ42" s="130">
        <f t="shared" si="155"/>
        <v>0</v>
      </c>
      <c r="QA42" s="130">
        <f t="shared" si="155"/>
        <v>0</v>
      </c>
      <c r="QB42" s="130">
        <f t="shared" si="155"/>
        <v>0</v>
      </c>
      <c r="QC42" s="130">
        <f t="shared" si="155"/>
        <v>0</v>
      </c>
      <c r="QD42" s="130">
        <f t="shared" si="155"/>
        <v>0</v>
      </c>
      <c r="QE42" s="130">
        <f t="shared" si="155"/>
        <v>0</v>
      </c>
      <c r="QF42" s="130">
        <f t="shared" si="155"/>
        <v>0</v>
      </c>
      <c r="QG42" s="130">
        <f t="shared" si="155"/>
        <v>0</v>
      </c>
      <c r="QH42" s="130">
        <f t="shared" si="155"/>
        <v>0</v>
      </c>
      <c r="QI42" s="130">
        <f t="shared" si="155"/>
        <v>0</v>
      </c>
      <c r="QJ42" s="130">
        <f t="shared" si="155"/>
        <v>0</v>
      </c>
      <c r="QK42" s="130">
        <f t="shared" si="155"/>
        <v>0</v>
      </c>
      <c r="QL42" s="130">
        <f t="shared" si="155"/>
        <v>0</v>
      </c>
      <c r="QM42" s="130">
        <f t="shared" si="155"/>
        <v>0</v>
      </c>
      <c r="QN42" s="130">
        <f t="shared" si="155"/>
        <v>0</v>
      </c>
      <c r="QO42" s="130">
        <f t="shared" si="155"/>
        <v>0</v>
      </c>
      <c r="QP42" s="130">
        <f t="shared" si="155"/>
        <v>0</v>
      </c>
      <c r="QQ42" s="130">
        <f t="shared" si="155"/>
        <v>0</v>
      </c>
      <c r="QR42" s="130">
        <f t="shared" si="155"/>
        <v>0</v>
      </c>
      <c r="QS42" s="130">
        <f t="shared" si="155"/>
        <v>0</v>
      </c>
      <c r="QT42" s="130">
        <f t="shared" si="155"/>
        <v>0</v>
      </c>
      <c r="QU42" s="130">
        <f t="shared" ref="QU42:TF42" si="156">ROUND(QU65,0)</f>
        <v>0</v>
      </c>
      <c r="QV42" s="130">
        <f t="shared" si="156"/>
        <v>0</v>
      </c>
      <c r="QW42" s="130">
        <f t="shared" si="156"/>
        <v>0</v>
      </c>
      <c r="QX42" s="130">
        <f t="shared" si="156"/>
        <v>0</v>
      </c>
      <c r="QY42" s="130">
        <f t="shared" si="156"/>
        <v>0</v>
      </c>
      <c r="QZ42" s="130">
        <f t="shared" si="156"/>
        <v>0</v>
      </c>
      <c r="RA42" s="130">
        <f t="shared" si="156"/>
        <v>0</v>
      </c>
      <c r="RB42" s="130">
        <f t="shared" si="156"/>
        <v>0</v>
      </c>
      <c r="RC42" s="130">
        <f t="shared" si="156"/>
        <v>0</v>
      </c>
      <c r="RD42" s="130">
        <f t="shared" si="156"/>
        <v>0</v>
      </c>
      <c r="RE42" s="130">
        <f t="shared" si="156"/>
        <v>0</v>
      </c>
      <c r="RF42" s="130">
        <f t="shared" si="156"/>
        <v>0</v>
      </c>
      <c r="RG42" s="130">
        <f t="shared" si="156"/>
        <v>0</v>
      </c>
      <c r="RH42" s="130">
        <f t="shared" si="156"/>
        <v>0</v>
      </c>
      <c r="RI42" s="130">
        <f t="shared" si="156"/>
        <v>0</v>
      </c>
      <c r="RJ42" s="130">
        <f t="shared" si="156"/>
        <v>0</v>
      </c>
      <c r="RK42" s="130">
        <f t="shared" si="156"/>
        <v>0</v>
      </c>
      <c r="RL42" s="130">
        <f t="shared" si="156"/>
        <v>0</v>
      </c>
      <c r="RM42" s="130">
        <f t="shared" si="156"/>
        <v>0</v>
      </c>
      <c r="RN42" s="130">
        <f t="shared" si="156"/>
        <v>0</v>
      </c>
      <c r="RO42" s="130">
        <f t="shared" si="156"/>
        <v>0</v>
      </c>
      <c r="RP42" s="130">
        <f t="shared" si="156"/>
        <v>0</v>
      </c>
      <c r="RQ42" s="130">
        <f t="shared" si="156"/>
        <v>0</v>
      </c>
      <c r="RR42" s="130">
        <f t="shared" si="156"/>
        <v>0</v>
      </c>
      <c r="RS42" s="130">
        <f t="shared" si="156"/>
        <v>0</v>
      </c>
      <c r="RT42" s="130">
        <f t="shared" si="156"/>
        <v>0</v>
      </c>
      <c r="RU42" s="130">
        <f t="shared" si="156"/>
        <v>0</v>
      </c>
      <c r="RV42" s="130">
        <f t="shared" si="156"/>
        <v>0</v>
      </c>
      <c r="RW42" s="130">
        <f t="shared" si="156"/>
        <v>0</v>
      </c>
      <c r="RX42" s="130">
        <f t="shared" si="156"/>
        <v>0</v>
      </c>
      <c r="RY42" s="130">
        <f t="shared" si="156"/>
        <v>0</v>
      </c>
      <c r="RZ42" s="130">
        <f t="shared" si="156"/>
        <v>0</v>
      </c>
      <c r="SA42" s="130">
        <f t="shared" si="156"/>
        <v>0</v>
      </c>
      <c r="SB42" s="130">
        <f t="shared" si="156"/>
        <v>0</v>
      </c>
      <c r="SC42" s="130">
        <f t="shared" si="156"/>
        <v>0</v>
      </c>
      <c r="SD42" s="130">
        <f t="shared" si="156"/>
        <v>0</v>
      </c>
      <c r="SE42" s="130">
        <f t="shared" si="156"/>
        <v>0</v>
      </c>
      <c r="SF42" s="130">
        <f t="shared" si="156"/>
        <v>0</v>
      </c>
      <c r="SG42" s="130">
        <f t="shared" si="156"/>
        <v>0</v>
      </c>
      <c r="SH42" s="130">
        <f t="shared" si="156"/>
        <v>0</v>
      </c>
      <c r="SI42" s="130">
        <f t="shared" si="156"/>
        <v>0</v>
      </c>
      <c r="SJ42" s="130">
        <f t="shared" si="156"/>
        <v>0</v>
      </c>
      <c r="SK42" s="130">
        <f t="shared" si="156"/>
        <v>0</v>
      </c>
      <c r="SL42" s="130">
        <f t="shared" si="156"/>
        <v>0</v>
      </c>
      <c r="SM42" s="130">
        <f t="shared" si="156"/>
        <v>0</v>
      </c>
      <c r="SN42" s="130">
        <f t="shared" si="156"/>
        <v>0</v>
      </c>
      <c r="SO42" s="130">
        <f t="shared" si="156"/>
        <v>0</v>
      </c>
      <c r="SP42" s="130">
        <f t="shared" si="156"/>
        <v>0</v>
      </c>
      <c r="SQ42" s="130">
        <f t="shared" si="156"/>
        <v>0</v>
      </c>
      <c r="SR42" s="130">
        <f t="shared" si="156"/>
        <v>0</v>
      </c>
      <c r="SS42" s="130">
        <f t="shared" si="156"/>
        <v>0</v>
      </c>
      <c r="ST42" s="130">
        <f t="shared" si="156"/>
        <v>0</v>
      </c>
      <c r="SU42" s="130">
        <f t="shared" si="156"/>
        <v>0</v>
      </c>
      <c r="SV42" s="130">
        <f t="shared" si="156"/>
        <v>0</v>
      </c>
      <c r="SW42" s="130">
        <f t="shared" si="156"/>
        <v>0</v>
      </c>
      <c r="SX42" s="130">
        <f t="shared" si="156"/>
        <v>0</v>
      </c>
      <c r="SY42" s="130">
        <f t="shared" si="156"/>
        <v>0</v>
      </c>
      <c r="SZ42" s="130">
        <f t="shared" si="156"/>
        <v>0</v>
      </c>
      <c r="TA42" s="130">
        <f t="shared" si="156"/>
        <v>0</v>
      </c>
      <c r="TB42" s="130">
        <f t="shared" si="156"/>
        <v>0</v>
      </c>
      <c r="TC42" s="130">
        <f t="shared" si="156"/>
        <v>0</v>
      </c>
      <c r="TD42" s="130">
        <f t="shared" si="156"/>
        <v>0</v>
      </c>
      <c r="TE42" s="130">
        <f t="shared" si="156"/>
        <v>0</v>
      </c>
      <c r="TF42" s="130">
        <f t="shared" si="156"/>
        <v>0</v>
      </c>
      <c r="TG42" s="130">
        <f t="shared" ref="TG42:VR42" si="157">ROUND(TG65,0)</f>
        <v>0</v>
      </c>
      <c r="TH42" s="130">
        <f t="shared" si="157"/>
        <v>0</v>
      </c>
      <c r="TI42" s="130">
        <f t="shared" si="157"/>
        <v>0</v>
      </c>
      <c r="TJ42" s="130">
        <f t="shared" si="157"/>
        <v>0</v>
      </c>
      <c r="TK42" s="130">
        <f t="shared" si="157"/>
        <v>0</v>
      </c>
      <c r="TL42" s="130">
        <f t="shared" si="157"/>
        <v>0</v>
      </c>
      <c r="TM42" s="130">
        <f t="shared" si="157"/>
        <v>0</v>
      </c>
      <c r="TN42" s="130">
        <f t="shared" si="157"/>
        <v>0</v>
      </c>
      <c r="TO42" s="130">
        <f t="shared" si="157"/>
        <v>0</v>
      </c>
      <c r="TP42" s="130">
        <f t="shared" si="157"/>
        <v>0</v>
      </c>
      <c r="TQ42" s="130">
        <f t="shared" si="157"/>
        <v>0</v>
      </c>
      <c r="TR42" s="130">
        <f t="shared" si="157"/>
        <v>0</v>
      </c>
      <c r="TS42" s="130">
        <f t="shared" si="157"/>
        <v>0</v>
      </c>
      <c r="TT42" s="130">
        <f t="shared" si="157"/>
        <v>0</v>
      </c>
      <c r="TU42" s="130">
        <f t="shared" si="157"/>
        <v>0</v>
      </c>
      <c r="TV42" s="130">
        <f t="shared" si="157"/>
        <v>0</v>
      </c>
      <c r="TW42" s="130">
        <f t="shared" si="157"/>
        <v>0</v>
      </c>
      <c r="TX42" s="130">
        <f t="shared" si="157"/>
        <v>0</v>
      </c>
      <c r="TY42" s="130">
        <f t="shared" si="157"/>
        <v>0</v>
      </c>
      <c r="TZ42" s="130">
        <f t="shared" si="157"/>
        <v>0</v>
      </c>
      <c r="UA42" s="130">
        <f t="shared" si="157"/>
        <v>0</v>
      </c>
      <c r="UB42" s="130">
        <f t="shared" si="157"/>
        <v>0</v>
      </c>
      <c r="UC42" s="130">
        <f t="shared" si="157"/>
        <v>0</v>
      </c>
      <c r="UD42" s="130">
        <f t="shared" si="157"/>
        <v>0</v>
      </c>
      <c r="UE42" s="130">
        <f t="shared" si="157"/>
        <v>0</v>
      </c>
      <c r="UF42" s="130">
        <f t="shared" si="157"/>
        <v>0</v>
      </c>
      <c r="UG42" s="130">
        <f t="shared" si="157"/>
        <v>0</v>
      </c>
      <c r="UH42" s="130">
        <f t="shared" si="157"/>
        <v>0</v>
      </c>
      <c r="UI42" s="130">
        <f t="shared" si="157"/>
        <v>0</v>
      </c>
      <c r="UJ42" s="130">
        <f t="shared" si="157"/>
        <v>0</v>
      </c>
      <c r="UK42" s="130">
        <f t="shared" si="157"/>
        <v>0</v>
      </c>
      <c r="UL42" s="130">
        <f t="shared" si="157"/>
        <v>0</v>
      </c>
      <c r="UM42" s="130">
        <f t="shared" si="157"/>
        <v>0</v>
      </c>
      <c r="UN42" s="130">
        <f t="shared" si="157"/>
        <v>0</v>
      </c>
      <c r="UO42" s="130">
        <f t="shared" si="157"/>
        <v>0</v>
      </c>
      <c r="UP42" s="130">
        <f t="shared" si="157"/>
        <v>0</v>
      </c>
      <c r="UQ42" s="130">
        <f t="shared" si="157"/>
        <v>0</v>
      </c>
      <c r="UR42" s="130">
        <f t="shared" si="157"/>
        <v>0</v>
      </c>
      <c r="US42" s="130">
        <f t="shared" si="157"/>
        <v>0</v>
      </c>
      <c r="UT42" s="130">
        <f t="shared" si="157"/>
        <v>0</v>
      </c>
      <c r="UU42" s="130">
        <f t="shared" si="157"/>
        <v>0</v>
      </c>
      <c r="UV42" s="130">
        <f t="shared" si="157"/>
        <v>0</v>
      </c>
      <c r="UW42" s="130">
        <f t="shared" si="157"/>
        <v>0</v>
      </c>
      <c r="UX42" s="130">
        <f t="shared" si="157"/>
        <v>0</v>
      </c>
      <c r="UY42" s="130">
        <f t="shared" si="157"/>
        <v>0</v>
      </c>
      <c r="UZ42" s="130">
        <f t="shared" si="157"/>
        <v>0</v>
      </c>
      <c r="VA42" s="130">
        <f t="shared" si="157"/>
        <v>0</v>
      </c>
      <c r="VB42" s="130">
        <f t="shared" si="157"/>
        <v>0</v>
      </c>
      <c r="VC42" s="130">
        <f t="shared" si="157"/>
        <v>0</v>
      </c>
      <c r="VD42" s="130">
        <f t="shared" si="157"/>
        <v>0</v>
      </c>
      <c r="VE42" s="130">
        <f t="shared" si="157"/>
        <v>0</v>
      </c>
      <c r="VF42" s="130">
        <f t="shared" si="157"/>
        <v>0</v>
      </c>
      <c r="VG42" s="130">
        <f t="shared" si="157"/>
        <v>0</v>
      </c>
      <c r="VH42" s="130">
        <f t="shared" si="157"/>
        <v>0</v>
      </c>
      <c r="VI42" s="130">
        <f t="shared" si="157"/>
        <v>0</v>
      </c>
      <c r="VJ42" s="130">
        <f t="shared" si="157"/>
        <v>0</v>
      </c>
      <c r="VK42" s="130">
        <f t="shared" si="157"/>
        <v>0</v>
      </c>
      <c r="VL42" s="130">
        <f t="shared" si="157"/>
        <v>0</v>
      </c>
      <c r="VM42" s="130">
        <f t="shared" si="157"/>
        <v>0</v>
      </c>
      <c r="VN42" s="130">
        <f t="shared" si="157"/>
        <v>0</v>
      </c>
      <c r="VO42" s="130">
        <f t="shared" si="157"/>
        <v>0</v>
      </c>
      <c r="VP42" s="130">
        <f t="shared" si="157"/>
        <v>0</v>
      </c>
      <c r="VQ42" s="130">
        <f t="shared" si="157"/>
        <v>0</v>
      </c>
      <c r="VR42" s="130">
        <f t="shared" si="157"/>
        <v>0</v>
      </c>
      <c r="VS42" s="130">
        <f t="shared" ref="VS42:YD42" si="158">ROUND(VS65,0)</f>
        <v>0</v>
      </c>
      <c r="VT42" s="130">
        <f t="shared" si="158"/>
        <v>0</v>
      </c>
      <c r="VU42" s="130">
        <f t="shared" si="158"/>
        <v>0</v>
      </c>
      <c r="VV42" s="130">
        <f t="shared" si="158"/>
        <v>0</v>
      </c>
      <c r="VW42" s="130">
        <f t="shared" si="158"/>
        <v>0</v>
      </c>
      <c r="VX42" s="130">
        <f t="shared" si="158"/>
        <v>0</v>
      </c>
      <c r="VY42" s="130">
        <f t="shared" si="158"/>
        <v>0</v>
      </c>
      <c r="VZ42" s="130">
        <f t="shared" si="158"/>
        <v>0</v>
      </c>
      <c r="WA42" s="130">
        <f t="shared" si="158"/>
        <v>0</v>
      </c>
      <c r="WB42" s="130">
        <f t="shared" si="158"/>
        <v>0</v>
      </c>
      <c r="WC42" s="130">
        <f t="shared" si="158"/>
        <v>0</v>
      </c>
      <c r="WD42" s="130">
        <f t="shared" si="158"/>
        <v>0</v>
      </c>
      <c r="WE42" s="130">
        <f t="shared" si="158"/>
        <v>0</v>
      </c>
      <c r="WF42" s="130">
        <f t="shared" si="158"/>
        <v>0</v>
      </c>
      <c r="WG42" s="130">
        <f t="shared" si="158"/>
        <v>0</v>
      </c>
      <c r="WH42" s="130">
        <f t="shared" si="158"/>
        <v>0</v>
      </c>
      <c r="WI42" s="130">
        <f t="shared" si="158"/>
        <v>0</v>
      </c>
      <c r="WJ42" s="130">
        <f t="shared" si="158"/>
        <v>0</v>
      </c>
      <c r="WK42" s="130">
        <f t="shared" si="158"/>
        <v>0</v>
      </c>
      <c r="WL42" s="130">
        <f t="shared" si="158"/>
        <v>0</v>
      </c>
      <c r="WM42" s="130">
        <f t="shared" si="158"/>
        <v>0</v>
      </c>
      <c r="WN42" s="130">
        <f t="shared" si="158"/>
        <v>0</v>
      </c>
      <c r="WO42" s="130">
        <f t="shared" si="158"/>
        <v>0</v>
      </c>
      <c r="WP42" s="130">
        <f t="shared" si="158"/>
        <v>0</v>
      </c>
      <c r="WQ42" s="130">
        <f t="shared" si="158"/>
        <v>0</v>
      </c>
      <c r="WR42" s="130">
        <f t="shared" si="158"/>
        <v>0</v>
      </c>
      <c r="WS42" s="130">
        <f t="shared" si="158"/>
        <v>0</v>
      </c>
      <c r="WT42" s="130">
        <f t="shared" si="158"/>
        <v>0</v>
      </c>
      <c r="WU42" s="130">
        <f t="shared" si="158"/>
        <v>0</v>
      </c>
      <c r="WV42" s="130">
        <f t="shared" si="158"/>
        <v>0</v>
      </c>
      <c r="WW42" s="130">
        <f t="shared" si="158"/>
        <v>0</v>
      </c>
      <c r="WX42" s="130">
        <f t="shared" si="158"/>
        <v>0</v>
      </c>
      <c r="WY42" s="130">
        <f t="shared" si="158"/>
        <v>0</v>
      </c>
      <c r="WZ42" s="130">
        <f t="shared" si="158"/>
        <v>0</v>
      </c>
      <c r="XA42" s="130">
        <f t="shared" si="158"/>
        <v>0</v>
      </c>
      <c r="XB42" s="130">
        <f t="shared" si="158"/>
        <v>0</v>
      </c>
      <c r="XC42" s="130">
        <f t="shared" si="158"/>
        <v>0</v>
      </c>
      <c r="XD42" s="130">
        <f t="shared" si="158"/>
        <v>0</v>
      </c>
      <c r="XE42" s="130">
        <f t="shared" si="158"/>
        <v>0</v>
      </c>
      <c r="XF42" s="130">
        <f t="shared" si="158"/>
        <v>0</v>
      </c>
      <c r="XG42" s="130">
        <f t="shared" si="158"/>
        <v>0</v>
      </c>
      <c r="XH42" s="130">
        <f t="shared" si="158"/>
        <v>0</v>
      </c>
      <c r="XI42" s="130">
        <f t="shared" si="158"/>
        <v>0</v>
      </c>
      <c r="XJ42" s="130">
        <f t="shared" si="158"/>
        <v>0</v>
      </c>
      <c r="XK42" s="130">
        <f t="shared" si="158"/>
        <v>0</v>
      </c>
      <c r="XL42" s="130">
        <f t="shared" si="158"/>
        <v>0</v>
      </c>
      <c r="XM42" s="130">
        <f t="shared" si="158"/>
        <v>0</v>
      </c>
      <c r="XN42" s="130">
        <f t="shared" si="158"/>
        <v>0</v>
      </c>
      <c r="XO42" s="130">
        <f t="shared" si="158"/>
        <v>0</v>
      </c>
      <c r="XP42" s="130">
        <f t="shared" si="158"/>
        <v>0</v>
      </c>
      <c r="XQ42" s="130">
        <f t="shared" si="158"/>
        <v>0</v>
      </c>
      <c r="XR42" s="130">
        <f t="shared" si="158"/>
        <v>0</v>
      </c>
      <c r="XS42" s="130">
        <f t="shared" si="158"/>
        <v>0</v>
      </c>
      <c r="XT42" s="130">
        <f t="shared" si="158"/>
        <v>0</v>
      </c>
      <c r="XU42" s="130">
        <f t="shared" si="158"/>
        <v>0</v>
      </c>
      <c r="XV42" s="130">
        <f t="shared" si="158"/>
        <v>0</v>
      </c>
      <c r="XW42" s="130">
        <f t="shared" si="158"/>
        <v>0</v>
      </c>
      <c r="XX42" s="130">
        <f t="shared" si="158"/>
        <v>0</v>
      </c>
      <c r="XY42" s="130">
        <f t="shared" si="158"/>
        <v>0</v>
      </c>
      <c r="XZ42" s="130">
        <f t="shared" si="158"/>
        <v>0</v>
      </c>
      <c r="YA42" s="130">
        <f t="shared" si="158"/>
        <v>0</v>
      </c>
      <c r="YB42" s="130">
        <f t="shared" si="158"/>
        <v>0</v>
      </c>
      <c r="YC42" s="130">
        <f t="shared" si="158"/>
        <v>0</v>
      </c>
      <c r="YD42" s="130">
        <f t="shared" si="158"/>
        <v>0</v>
      </c>
      <c r="YE42" s="130">
        <f t="shared" ref="YE42:AAP42" si="159">ROUND(YE65,0)</f>
        <v>0</v>
      </c>
      <c r="YF42" s="130">
        <f t="shared" si="159"/>
        <v>0</v>
      </c>
      <c r="YG42" s="130">
        <f t="shared" si="159"/>
        <v>0</v>
      </c>
      <c r="YH42" s="130">
        <f t="shared" si="159"/>
        <v>0</v>
      </c>
      <c r="YI42" s="130">
        <f t="shared" si="159"/>
        <v>0</v>
      </c>
      <c r="YJ42" s="130">
        <f t="shared" si="159"/>
        <v>0</v>
      </c>
      <c r="YK42" s="130">
        <f t="shared" si="159"/>
        <v>0</v>
      </c>
      <c r="YL42" s="130">
        <f t="shared" si="159"/>
        <v>0</v>
      </c>
      <c r="YM42" s="130">
        <f t="shared" si="159"/>
        <v>0</v>
      </c>
      <c r="YN42" s="130">
        <f t="shared" si="159"/>
        <v>0</v>
      </c>
      <c r="YO42" s="130">
        <f t="shared" si="159"/>
        <v>0</v>
      </c>
      <c r="YP42" s="130">
        <f t="shared" si="159"/>
        <v>0</v>
      </c>
      <c r="YQ42" s="130">
        <f t="shared" si="159"/>
        <v>0</v>
      </c>
      <c r="YR42" s="130">
        <f t="shared" si="159"/>
        <v>0</v>
      </c>
      <c r="YS42" s="130">
        <f t="shared" si="159"/>
        <v>0</v>
      </c>
      <c r="YT42" s="130">
        <f t="shared" si="159"/>
        <v>0</v>
      </c>
      <c r="YU42" s="130">
        <f t="shared" si="159"/>
        <v>0</v>
      </c>
      <c r="YV42" s="130">
        <f t="shared" si="159"/>
        <v>0</v>
      </c>
      <c r="YW42" s="130">
        <f t="shared" si="159"/>
        <v>0</v>
      </c>
      <c r="YX42" s="130">
        <f t="shared" si="159"/>
        <v>0</v>
      </c>
      <c r="YY42" s="130">
        <f t="shared" si="159"/>
        <v>0</v>
      </c>
      <c r="YZ42" s="130">
        <f t="shared" si="159"/>
        <v>0</v>
      </c>
      <c r="ZA42" s="130">
        <f t="shared" si="159"/>
        <v>0</v>
      </c>
      <c r="ZB42" s="130">
        <f t="shared" si="159"/>
        <v>0</v>
      </c>
      <c r="ZC42" s="130">
        <f t="shared" si="159"/>
        <v>0</v>
      </c>
      <c r="ZD42" s="130">
        <f t="shared" si="159"/>
        <v>0</v>
      </c>
      <c r="ZE42" s="130">
        <f t="shared" si="159"/>
        <v>0</v>
      </c>
      <c r="ZF42" s="130">
        <f t="shared" si="159"/>
        <v>0</v>
      </c>
      <c r="ZG42" s="130">
        <f t="shared" si="159"/>
        <v>0</v>
      </c>
      <c r="ZH42" s="130">
        <f t="shared" si="159"/>
        <v>0</v>
      </c>
      <c r="ZI42" s="130">
        <f t="shared" si="159"/>
        <v>0</v>
      </c>
      <c r="ZJ42" s="130">
        <f t="shared" si="159"/>
        <v>0</v>
      </c>
      <c r="ZK42" s="130">
        <f t="shared" si="159"/>
        <v>0</v>
      </c>
      <c r="ZL42" s="130">
        <f t="shared" si="159"/>
        <v>0</v>
      </c>
      <c r="ZM42" s="130">
        <f t="shared" si="159"/>
        <v>0</v>
      </c>
      <c r="ZN42" s="130">
        <f t="shared" si="159"/>
        <v>0</v>
      </c>
      <c r="ZO42" s="130">
        <f t="shared" si="159"/>
        <v>0</v>
      </c>
      <c r="ZP42" s="130">
        <f t="shared" si="159"/>
        <v>0</v>
      </c>
      <c r="ZQ42" s="130">
        <f t="shared" si="159"/>
        <v>0</v>
      </c>
      <c r="ZR42" s="130">
        <f t="shared" si="159"/>
        <v>0</v>
      </c>
      <c r="ZS42" s="130">
        <f t="shared" si="159"/>
        <v>0</v>
      </c>
      <c r="ZT42" s="130">
        <f t="shared" si="159"/>
        <v>0</v>
      </c>
      <c r="ZU42" s="130">
        <f t="shared" si="159"/>
        <v>0</v>
      </c>
      <c r="ZV42" s="130">
        <f t="shared" si="159"/>
        <v>0</v>
      </c>
      <c r="ZW42" s="130">
        <f t="shared" si="159"/>
        <v>0</v>
      </c>
      <c r="ZX42" s="130">
        <f t="shared" si="159"/>
        <v>0</v>
      </c>
      <c r="ZY42" s="130">
        <f t="shared" si="159"/>
        <v>0</v>
      </c>
      <c r="ZZ42" s="130">
        <f t="shared" si="159"/>
        <v>0</v>
      </c>
      <c r="AAA42" s="130">
        <f t="shared" si="159"/>
        <v>0</v>
      </c>
      <c r="AAB42" s="130">
        <f t="shared" si="159"/>
        <v>0</v>
      </c>
      <c r="AAC42" s="130">
        <f t="shared" si="159"/>
        <v>0</v>
      </c>
      <c r="AAD42" s="130">
        <f t="shared" si="159"/>
        <v>0</v>
      </c>
      <c r="AAE42" s="130">
        <f t="shared" si="159"/>
        <v>0</v>
      </c>
      <c r="AAF42" s="130">
        <f t="shared" si="159"/>
        <v>0</v>
      </c>
      <c r="AAG42" s="130">
        <f t="shared" si="159"/>
        <v>0</v>
      </c>
      <c r="AAH42" s="130">
        <f t="shared" si="159"/>
        <v>0</v>
      </c>
      <c r="AAI42" s="130">
        <f t="shared" si="159"/>
        <v>0</v>
      </c>
      <c r="AAJ42" s="130">
        <f t="shared" si="159"/>
        <v>0</v>
      </c>
      <c r="AAK42" s="130">
        <f t="shared" si="159"/>
        <v>0</v>
      </c>
      <c r="AAL42" s="130">
        <f t="shared" si="159"/>
        <v>0</v>
      </c>
      <c r="AAM42" s="130">
        <f t="shared" si="159"/>
        <v>0</v>
      </c>
      <c r="AAN42" s="130">
        <f t="shared" si="159"/>
        <v>0</v>
      </c>
      <c r="AAO42" s="130">
        <f t="shared" si="159"/>
        <v>0</v>
      </c>
      <c r="AAP42" s="130">
        <f t="shared" si="159"/>
        <v>0</v>
      </c>
      <c r="AAQ42" s="130">
        <f t="shared" ref="AAQ42:ADB42" si="160">ROUND(AAQ65,0)</f>
        <v>0</v>
      </c>
      <c r="AAR42" s="130">
        <f t="shared" si="160"/>
        <v>0</v>
      </c>
      <c r="AAS42" s="130">
        <f t="shared" si="160"/>
        <v>0</v>
      </c>
      <c r="AAT42" s="130">
        <f t="shared" si="160"/>
        <v>0</v>
      </c>
      <c r="AAU42" s="130">
        <f t="shared" si="160"/>
        <v>0</v>
      </c>
      <c r="AAV42" s="130">
        <f t="shared" si="160"/>
        <v>0</v>
      </c>
      <c r="AAW42" s="130">
        <f t="shared" si="160"/>
        <v>0</v>
      </c>
      <c r="AAX42" s="130">
        <f t="shared" si="160"/>
        <v>0</v>
      </c>
      <c r="AAY42" s="130">
        <f t="shared" si="160"/>
        <v>0</v>
      </c>
      <c r="AAZ42" s="130">
        <f t="shared" si="160"/>
        <v>0</v>
      </c>
      <c r="ABA42" s="130">
        <f t="shared" si="160"/>
        <v>0</v>
      </c>
      <c r="ABB42" s="130">
        <f t="shared" si="160"/>
        <v>0</v>
      </c>
      <c r="ABC42" s="130">
        <f t="shared" si="160"/>
        <v>0</v>
      </c>
      <c r="ABD42" s="130">
        <f t="shared" si="160"/>
        <v>0</v>
      </c>
      <c r="ABE42" s="130">
        <f t="shared" si="160"/>
        <v>0</v>
      </c>
      <c r="ABF42" s="130">
        <f t="shared" si="160"/>
        <v>0</v>
      </c>
      <c r="ABG42" s="130">
        <f t="shared" si="160"/>
        <v>0</v>
      </c>
      <c r="ABH42" s="130">
        <f t="shared" si="160"/>
        <v>0</v>
      </c>
      <c r="ABI42" s="130">
        <f t="shared" si="160"/>
        <v>0</v>
      </c>
      <c r="ABJ42" s="130">
        <f t="shared" si="160"/>
        <v>0</v>
      </c>
      <c r="ABK42" s="130">
        <f t="shared" si="160"/>
        <v>0</v>
      </c>
      <c r="ABL42" s="130">
        <f t="shared" si="160"/>
        <v>0</v>
      </c>
      <c r="ABM42" s="130">
        <f t="shared" si="160"/>
        <v>0</v>
      </c>
      <c r="ABN42" s="130">
        <f t="shared" si="160"/>
        <v>0</v>
      </c>
      <c r="ABO42" s="130">
        <f t="shared" si="160"/>
        <v>0</v>
      </c>
      <c r="ABP42" s="130">
        <f t="shared" si="160"/>
        <v>0</v>
      </c>
      <c r="ABQ42" s="130">
        <f t="shared" si="160"/>
        <v>0</v>
      </c>
      <c r="ABR42" s="130">
        <f t="shared" si="160"/>
        <v>0</v>
      </c>
      <c r="ABS42" s="130">
        <f t="shared" si="160"/>
        <v>0</v>
      </c>
      <c r="ABT42" s="130">
        <f t="shared" si="160"/>
        <v>0</v>
      </c>
      <c r="ABU42" s="130">
        <f t="shared" si="160"/>
        <v>0</v>
      </c>
      <c r="ABV42" s="130">
        <f t="shared" si="160"/>
        <v>0</v>
      </c>
      <c r="ABW42" s="130">
        <f t="shared" si="160"/>
        <v>0</v>
      </c>
      <c r="ABX42" s="130">
        <f t="shared" si="160"/>
        <v>0</v>
      </c>
      <c r="ABY42" s="130">
        <f t="shared" si="160"/>
        <v>0</v>
      </c>
      <c r="ABZ42" s="130">
        <f t="shared" si="160"/>
        <v>0</v>
      </c>
      <c r="ACA42" s="130">
        <f t="shared" si="160"/>
        <v>0</v>
      </c>
      <c r="ACB42" s="130">
        <f t="shared" si="160"/>
        <v>0</v>
      </c>
      <c r="ACC42" s="130">
        <f t="shared" si="160"/>
        <v>0</v>
      </c>
      <c r="ACD42" s="130">
        <f t="shared" si="160"/>
        <v>0</v>
      </c>
      <c r="ACE42" s="130">
        <f t="shared" si="160"/>
        <v>0</v>
      </c>
      <c r="ACF42" s="130">
        <f t="shared" si="160"/>
        <v>0</v>
      </c>
      <c r="ACG42" s="130">
        <f t="shared" si="160"/>
        <v>0</v>
      </c>
      <c r="ACH42" s="130">
        <f t="shared" si="160"/>
        <v>0</v>
      </c>
      <c r="ACI42" s="130">
        <f t="shared" si="160"/>
        <v>0</v>
      </c>
      <c r="ACJ42" s="130">
        <f t="shared" si="160"/>
        <v>0</v>
      </c>
      <c r="ACK42" s="130">
        <f t="shared" si="160"/>
        <v>0</v>
      </c>
      <c r="ACL42" s="130">
        <f t="shared" si="160"/>
        <v>0</v>
      </c>
      <c r="ACM42" s="130">
        <f t="shared" si="160"/>
        <v>0</v>
      </c>
      <c r="ACN42" s="130">
        <f t="shared" si="160"/>
        <v>0</v>
      </c>
      <c r="ACO42" s="130">
        <f t="shared" si="160"/>
        <v>0</v>
      </c>
      <c r="ACP42" s="130">
        <f t="shared" si="160"/>
        <v>0</v>
      </c>
      <c r="ACQ42" s="130">
        <f t="shared" si="160"/>
        <v>0</v>
      </c>
      <c r="ACR42" s="130">
        <f t="shared" si="160"/>
        <v>0</v>
      </c>
      <c r="ACS42" s="130">
        <f t="shared" si="160"/>
        <v>0</v>
      </c>
      <c r="ACT42" s="130">
        <f t="shared" si="160"/>
        <v>0</v>
      </c>
      <c r="ACU42" s="130">
        <f t="shared" si="160"/>
        <v>0</v>
      </c>
      <c r="ACV42" s="130">
        <f t="shared" si="160"/>
        <v>0</v>
      </c>
      <c r="ACW42" s="130">
        <f t="shared" si="160"/>
        <v>0</v>
      </c>
      <c r="ACX42" s="130">
        <f t="shared" si="160"/>
        <v>0</v>
      </c>
      <c r="ACY42" s="130">
        <f t="shared" si="160"/>
        <v>0</v>
      </c>
      <c r="ACZ42" s="130">
        <f t="shared" si="160"/>
        <v>0</v>
      </c>
      <c r="ADA42" s="130">
        <f t="shared" si="160"/>
        <v>0</v>
      </c>
      <c r="ADB42" s="130">
        <f t="shared" si="160"/>
        <v>0</v>
      </c>
      <c r="ADC42" s="130">
        <f t="shared" ref="ADC42:AEW42" si="161">ROUND(ADC65,0)</f>
        <v>0</v>
      </c>
      <c r="ADD42" s="130">
        <f t="shared" si="161"/>
        <v>0</v>
      </c>
      <c r="ADE42" s="130">
        <f t="shared" si="161"/>
        <v>0</v>
      </c>
      <c r="ADF42" s="130">
        <f t="shared" si="161"/>
        <v>0</v>
      </c>
      <c r="ADG42" s="130">
        <f t="shared" si="161"/>
        <v>0</v>
      </c>
      <c r="ADH42" s="130">
        <f t="shared" si="161"/>
        <v>0</v>
      </c>
      <c r="ADI42" s="130">
        <f t="shared" si="161"/>
        <v>0</v>
      </c>
      <c r="ADJ42" s="130">
        <f t="shared" si="161"/>
        <v>0</v>
      </c>
      <c r="ADK42" s="130">
        <f t="shared" si="161"/>
        <v>0</v>
      </c>
      <c r="ADL42" s="130">
        <f t="shared" si="161"/>
        <v>0</v>
      </c>
      <c r="ADM42" s="130">
        <f t="shared" si="161"/>
        <v>0</v>
      </c>
      <c r="ADN42" s="130">
        <f t="shared" si="161"/>
        <v>0</v>
      </c>
      <c r="ADO42" s="130">
        <f t="shared" si="161"/>
        <v>0</v>
      </c>
      <c r="ADP42" s="130">
        <f t="shared" si="161"/>
        <v>0</v>
      </c>
      <c r="ADQ42" s="130">
        <f t="shared" si="161"/>
        <v>0</v>
      </c>
      <c r="ADR42" s="130">
        <f t="shared" si="161"/>
        <v>0</v>
      </c>
      <c r="ADS42" s="130">
        <f t="shared" si="161"/>
        <v>0</v>
      </c>
      <c r="ADT42" s="130">
        <f t="shared" si="161"/>
        <v>0</v>
      </c>
      <c r="ADU42" s="130">
        <f t="shared" si="161"/>
        <v>0</v>
      </c>
      <c r="ADV42" s="130">
        <f t="shared" si="161"/>
        <v>0</v>
      </c>
      <c r="ADW42" s="130">
        <f t="shared" si="161"/>
        <v>0</v>
      </c>
      <c r="ADX42" s="130">
        <f t="shared" si="161"/>
        <v>0</v>
      </c>
      <c r="ADY42" s="130">
        <f t="shared" si="161"/>
        <v>0</v>
      </c>
      <c r="ADZ42" s="130">
        <f t="shared" si="161"/>
        <v>0</v>
      </c>
      <c r="AEA42" s="130">
        <f t="shared" si="161"/>
        <v>0</v>
      </c>
      <c r="AEB42" s="130">
        <f t="shared" si="161"/>
        <v>0</v>
      </c>
      <c r="AEC42" s="130">
        <f t="shared" si="161"/>
        <v>0</v>
      </c>
      <c r="AED42" s="130">
        <f t="shared" si="161"/>
        <v>0</v>
      </c>
      <c r="AEE42" s="130">
        <f t="shared" si="161"/>
        <v>0</v>
      </c>
      <c r="AEF42" s="130">
        <f t="shared" si="161"/>
        <v>0</v>
      </c>
      <c r="AEG42" s="130">
        <f t="shared" si="161"/>
        <v>0</v>
      </c>
      <c r="AEH42" s="130">
        <f t="shared" si="161"/>
        <v>0</v>
      </c>
      <c r="AEI42" s="130">
        <f t="shared" si="161"/>
        <v>0</v>
      </c>
      <c r="AEJ42" s="130">
        <f t="shared" si="161"/>
        <v>0</v>
      </c>
      <c r="AEK42" s="130">
        <f t="shared" si="161"/>
        <v>0</v>
      </c>
      <c r="AEL42" s="130">
        <f t="shared" si="161"/>
        <v>0</v>
      </c>
      <c r="AEM42" s="130">
        <f t="shared" si="161"/>
        <v>0</v>
      </c>
      <c r="AEN42" s="130">
        <f t="shared" si="161"/>
        <v>0</v>
      </c>
      <c r="AEO42" s="130">
        <f t="shared" si="161"/>
        <v>0</v>
      </c>
      <c r="AEP42" s="130">
        <f t="shared" si="161"/>
        <v>0</v>
      </c>
      <c r="AEQ42" s="130">
        <f t="shared" si="161"/>
        <v>0</v>
      </c>
      <c r="AER42" s="130">
        <f t="shared" si="161"/>
        <v>0</v>
      </c>
      <c r="AES42" s="130">
        <f t="shared" si="161"/>
        <v>0</v>
      </c>
      <c r="AET42" s="130">
        <f t="shared" si="161"/>
        <v>0</v>
      </c>
      <c r="AEU42" s="130">
        <f t="shared" si="161"/>
        <v>0</v>
      </c>
      <c r="AEV42" s="130">
        <f t="shared" si="161"/>
        <v>0</v>
      </c>
      <c r="AEW42" s="130">
        <f t="shared" si="161"/>
        <v>0</v>
      </c>
      <c r="AEX42" s="144" t="s">
        <v>221</v>
      </c>
    </row>
    <row r="43" spans="1:830" ht="22.5" customHeight="1" x14ac:dyDescent="0.25">
      <c r="A43" s="36"/>
      <c r="B43" s="128" t="s">
        <v>613</v>
      </c>
      <c r="C43" s="160">
        <f>REKAP!$J$6</f>
        <v>0</v>
      </c>
      <c r="D43" s="124">
        <f>REKAP!$J$4</f>
        <v>0</v>
      </c>
      <c r="E43" s="159">
        <f>REKAP!$J$5</f>
        <v>0</v>
      </c>
      <c r="F43" s="36"/>
      <c r="G43" s="138" t="s">
        <v>219</v>
      </c>
      <c r="H43" s="4" t="s">
        <v>220</v>
      </c>
      <c r="I43" s="143"/>
      <c r="J43" s="288">
        <f>SUM(TS43:UC43)</f>
        <v>0</v>
      </c>
      <c r="K43" s="7"/>
      <c r="L43" s="7"/>
      <c r="M43" s="7"/>
      <c r="N43" s="130"/>
      <c r="O43" s="130"/>
      <c r="P43" s="130"/>
      <c r="Q43" s="130"/>
      <c r="R43" s="130"/>
      <c r="S43" s="130"/>
      <c r="T43" s="130"/>
      <c r="U43" s="130"/>
      <c r="V43" s="130"/>
      <c r="W43" s="130"/>
      <c r="X43" s="130"/>
      <c r="Y43" s="130"/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30"/>
      <c r="AS43" s="130"/>
      <c r="AT43" s="130"/>
      <c r="AU43" s="130"/>
      <c r="AV43" s="130"/>
      <c r="AW43" s="130"/>
      <c r="AX43" s="130"/>
      <c r="AY43" s="130"/>
      <c r="AZ43" s="130"/>
      <c r="BA43" s="130"/>
      <c r="BB43" s="130"/>
      <c r="BC43" s="130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  <c r="BN43" s="130"/>
      <c r="BO43" s="130"/>
      <c r="BP43" s="130"/>
      <c r="BQ43" s="130"/>
      <c r="BR43" s="130"/>
      <c r="BS43" s="130"/>
      <c r="BT43" s="130"/>
      <c r="BU43" s="130"/>
      <c r="BV43" s="130"/>
      <c r="BW43" s="130"/>
      <c r="BX43" s="130"/>
      <c r="BY43" s="130"/>
      <c r="BZ43" s="130"/>
      <c r="CA43" s="130"/>
      <c r="CB43" s="130"/>
      <c r="CC43" s="130"/>
      <c r="CD43" s="130"/>
      <c r="CE43" s="130"/>
      <c r="CF43" s="130"/>
      <c r="CG43" s="130"/>
      <c r="CH43" s="130"/>
      <c r="CI43" s="130"/>
      <c r="CJ43" s="130"/>
      <c r="CK43" s="130"/>
      <c r="CL43" s="130"/>
      <c r="CM43" s="130"/>
      <c r="CN43" s="130"/>
      <c r="CO43" s="130"/>
      <c r="CP43" s="130"/>
      <c r="CQ43" s="130"/>
      <c r="CR43" s="130"/>
      <c r="CS43" s="130"/>
      <c r="CT43" s="130"/>
      <c r="CU43" s="130"/>
      <c r="CV43" s="130"/>
      <c r="CW43" s="130"/>
      <c r="CX43" s="130"/>
      <c r="CY43" s="130"/>
      <c r="CZ43" s="130"/>
      <c r="DA43" s="130"/>
      <c r="DB43" s="130"/>
      <c r="DC43" s="130"/>
      <c r="DD43" s="130"/>
      <c r="DE43" s="130"/>
      <c r="DF43" s="130"/>
      <c r="DG43" s="130"/>
      <c r="DH43" s="130"/>
      <c r="DI43" s="130"/>
      <c r="DJ43" s="130"/>
      <c r="DK43" s="130"/>
      <c r="DL43" s="130"/>
      <c r="DM43" s="130"/>
      <c r="DN43" s="130"/>
      <c r="DO43" s="130"/>
      <c r="DP43" s="130"/>
      <c r="DQ43" s="130"/>
      <c r="DR43" s="130"/>
      <c r="DS43" s="130"/>
      <c r="DT43" s="130"/>
      <c r="DU43" s="130"/>
      <c r="DV43" s="130"/>
      <c r="DW43" s="130"/>
      <c r="DX43" s="130"/>
      <c r="DY43" s="130"/>
      <c r="DZ43" s="130"/>
      <c r="EA43" s="130"/>
      <c r="EB43" s="130"/>
      <c r="EC43" s="130"/>
      <c r="ED43" s="130"/>
      <c r="EE43" s="130"/>
      <c r="EF43" s="130"/>
      <c r="EG43" s="130"/>
      <c r="EH43" s="130"/>
      <c r="EI43" s="130"/>
      <c r="EJ43" s="130"/>
      <c r="EK43" s="130"/>
      <c r="EL43" s="130"/>
      <c r="EM43" s="130"/>
      <c r="EN43" s="130"/>
      <c r="EO43" s="130"/>
      <c r="EP43" s="130"/>
      <c r="EQ43" s="130"/>
      <c r="ER43" s="130"/>
      <c r="ES43" s="130"/>
      <c r="ET43" s="130"/>
      <c r="EU43" s="130"/>
      <c r="EV43" s="130"/>
      <c r="EW43" s="130"/>
      <c r="EX43" s="130"/>
      <c r="EY43" s="130"/>
      <c r="EZ43" s="130"/>
      <c r="FA43" s="130"/>
      <c r="FB43" s="130"/>
      <c r="FC43" s="130"/>
      <c r="FD43" s="130"/>
      <c r="FE43" s="130"/>
      <c r="FF43" s="130"/>
      <c r="FG43" s="130"/>
      <c r="FH43" s="130"/>
      <c r="FI43" s="130"/>
      <c r="FJ43" s="130"/>
      <c r="FK43" s="130"/>
      <c r="FL43" s="130"/>
      <c r="FM43" s="130"/>
      <c r="FN43" s="130"/>
      <c r="FO43" s="130"/>
      <c r="FP43" s="130"/>
      <c r="FQ43" s="130"/>
      <c r="FR43" s="130"/>
      <c r="FS43" s="130"/>
      <c r="FT43" s="130"/>
      <c r="FU43" s="130"/>
      <c r="FV43" s="130"/>
      <c r="FW43" s="130"/>
      <c r="FX43" s="130"/>
      <c r="FY43" s="130"/>
      <c r="FZ43" s="130"/>
      <c r="GA43" s="130"/>
      <c r="GB43" s="130"/>
      <c r="GC43" s="130"/>
      <c r="GD43" s="130"/>
      <c r="GE43" s="130"/>
      <c r="GF43" s="130"/>
      <c r="GG43" s="130"/>
      <c r="GH43" s="130"/>
      <c r="GI43" s="130"/>
      <c r="GJ43" s="130"/>
      <c r="GK43" s="130"/>
      <c r="GL43" s="130"/>
      <c r="GM43" s="130"/>
      <c r="GN43" s="130"/>
      <c r="GO43" s="130"/>
      <c r="GP43" s="130"/>
      <c r="GQ43" s="130"/>
      <c r="GR43" s="130"/>
      <c r="GS43" s="130"/>
      <c r="GT43" s="130"/>
      <c r="GU43" s="130"/>
      <c r="GV43" s="130"/>
      <c r="GW43" s="130"/>
      <c r="GX43" s="130"/>
      <c r="GY43" s="130"/>
      <c r="GZ43" s="130"/>
      <c r="HA43" s="130"/>
      <c r="HB43" s="130"/>
      <c r="HC43" s="130"/>
      <c r="HD43" s="130"/>
      <c r="HE43" s="130"/>
      <c r="HF43" s="130"/>
      <c r="HG43" s="130"/>
      <c r="HH43" s="130"/>
      <c r="HI43" s="130"/>
      <c r="HJ43" s="130"/>
      <c r="HK43" s="130"/>
      <c r="HL43" s="130"/>
      <c r="HM43" s="130"/>
      <c r="HN43" s="130"/>
      <c r="HO43" s="130"/>
      <c r="HP43" s="130"/>
      <c r="HQ43" s="130"/>
      <c r="HR43" s="130"/>
      <c r="HS43" s="130"/>
      <c r="HT43" s="130"/>
      <c r="HU43" s="130"/>
      <c r="HV43" s="130"/>
      <c r="HW43" s="130"/>
      <c r="HX43" s="130"/>
      <c r="HY43" s="130"/>
      <c r="HZ43" s="130"/>
      <c r="IA43" s="130"/>
      <c r="IB43" s="130"/>
      <c r="IC43" s="130"/>
      <c r="ID43" s="130"/>
      <c r="IE43" s="130"/>
      <c r="IF43" s="130"/>
      <c r="IG43" s="130"/>
      <c r="IH43" s="130"/>
      <c r="II43" s="130"/>
      <c r="IJ43" s="130"/>
      <c r="IK43" s="130"/>
      <c r="IL43" s="130"/>
      <c r="IM43" s="130"/>
      <c r="IN43" s="130"/>
      <c r="IO43" s="130"/>
      <c r="IP43" s="130"/>
      <c r="IQ43" s="130"/>
      <c r="IR43" s="130"/>
      <c r="IS43" s="130"/>
      <c r="IT43" s="130"/>
      <c r="IU43" s="130"/>
      <c r="IV43" s="130"/>
      <c r="IW43" s="130"/>
      <c r="IX43" s="130"/>
      <c r="IY43" s="130"/>
      <c r="IZ43" s="130"/>
      <c r="JA43" s="130"/>
      <c r="JB43" s="130"/>
      <c r="JC43" s="130"/>
      <c r="JD43" s="130"/>
      <c r="JE43" s="130"/>
      <c r="JF43" s="130"/>
      <c r="JG43" s="130"/>
      <c r="JH43" s="130"/>
      <c r="JI43" s="130"/>
      <c r="JJ43" s="130"/>
      <c r="JK43" s="130"/>
      <c r="JL43" s="130"/>
      <c r="JM43" s="130"/>
      <c r="JN43" s="130"/>
      <c r="JO43" s="130"/>
      <c r="JP43" s="130"/>
      <c r="JQ43" s="130"/>
      <c r="JR43" s="130"/>
      <c r="JS43" s="130"/>
      <c r="JT43" s="130"/>
      <c r="JU43" s="130"/>
      <c r="JV43" s="130"/>
      <c r="JW43" s="130"/>
      <c r="JX43" s="130"/>
      <c r="JY43" s="130"/>
      <c r="JZ43" s="130"/>
      <c r="KA43" s="130"/>
      <c r="KB43" s="130"/>
      <c r="KC43" s="130"/>
      <c r="KD43" s="130"/>
      <c r="KE43" s="130"/>
      <c r="KF43" s="130"/>
      <c r="KG43" s="130"/>
      <c r="KH43" s="130"/>
      <c r="KI43" s="130"/>
      <c r="KJ43" s="130"/>
      <c r="KK43" s="130"/>
      <c r="KL43" s="130"/>
      <c r="KM43" s="130"/>
      <c r="KN43" s="130"/>
      <c r="KO43" s="130"/>
      <c r="KP43" s="130"/>
      <c r="KQ43" s="130"/>
      <c r="KR43" s="130"/>
      <c r="KS43" s="130"/>
      <c r="KT43" s="130"/>
      <c r="KU43" s="130"/>
      <c r="KV43" s="130"/>
      <c r="KW43" s="130"/>
      <c r="KX43" s="130"/>
      <c r="KY43" s="130"/>
      <c r="KZ43" s="130"/>
      <c r="LA43" s="130"/>
      <c r="LB43" s="130"/>
      <c r="LC43" s="130"/>
      <c r="LD43" s="130"/>
      <c r="LE43" s="130"/>
      <c r="LF43" s="130"/>
      <c r="LG43" s="130"/>
      <c r="LH43" s="130"/>
      <c r="LI43" s="130"/>
      <c r="LJ43" s="130"/>
      <c r="LK43" s="130"/>
      <c r="LL43" s="130"/>
      <c r="LM43" s="130"/>
      <c r="LN43" s="130"/>
      <c r="LO43" s="130"/>
      <c r="LP43" s="130"/>
      <c r="LQ43" s="130"/>
      <c r="LR43" s="130"/>
      <c r="LS43" s="130"/>
      <c r="LT43" s="130"/>
      <c r="LU43" s="130"/>
      <c r="LV43" s="130"/>
      <c r="LW43" s="130"/>
      <c r="LX43" s="130"/>
      <c r="LY43" s="130"/>
      <c r="LZ43" s="130"/>
      <c r="MA43" s="130"/>
      <c r="MB43" s="130"/>
      <c r="MC43" s="130"/>
      <c r="MD43" s="130"/>
      <c r="ME43" s="130"/>
      <c r="MF43" s="130"/>
      <c r="MG43" s="130"/>
      <c r="MH43" s="130"/>
      <c r="MI43" s="130"/>
      <c r="MJ43" s="130"/>
      <c r="MK43" s="130"/>
      <c r="ML43" s="130"/>
      <c r="MM43" s="130"/>
      <c r="MN43" s="130"/>
      <c r="MO43" s="130"/>
      <c r="MP43" s="130"/>
      <c r="MQ43" s="130"/>
      <c r="MR43" s="130"/>
      <c r="MS43" s="130"/>
      <c r="MT43" s="130"/>
      <c r="MU43" s="130"/>
      <c r="MV43" s="130"/>
      <c r="MW43" s="130"/>
      <c r="MX43" s="130"/>
      <c r="MY43" s="130"/>
      <c r="MZ43" s="130"/>
      <c r="NA43" s="130"/>
      <c r="NB43" s="130"/>
      <c r="NC43" s="130"/>
      <c r="ND43" s="130"/>
      <c r="NE43" s="130"/>
      <c r="NF43" s="130"/>
      <c r="NG43" s="130"/>
      <c r="NH43" s="130"/>
      <c r="NI43" s="130"/>
      <c r="NJ43" s="130"/>
      <c r="NK43" s="130"/>
      <c r="NL43" s="130"/>
      <c r="NM43" s="130"/>
      <c r="NN43" s="130"/>
      <c r="NO43" s="130"/>
      <c r="NP43" s="199"/>
      <c r="NQ43" s="130"/>
      <c r="NR43" s="201"/>
      <c r="NS43" s="130"/>
      <c r="NT43" s="130"/>
      <c r="NU43" s="130"/>
      <c r="NV43" s="130"/>
      <c r="NW43" s="130"/>
      <c r="NX43" s="130"/>
      <c r="NY43" s="130"/>
      <c r="NZ43" s="130"/>
      <c r="OA43" s="130"/>
      <c r="OB43" s="130"/>
      <c r="OC43" s="130"/>
      <c r="OD43" s="130"/>
      <c r="OE43" s="130"/>
      <c r="OF43" s="130"/>
      <c r="OG43" s="130"/>
      <c r="OH43" s="130"/>
      <c r="OI43" s="130"/>
      <c r="OJ43" s="130"/>
      <c r="OK43" s="130"/>
      <c r="OL43" s="130"/>
      <c r="OM43" s="130"/>
      <c r="ON43" s="130"/>
      <c r="OO43" s="130"/>
      <c r="OP43" s="130"/>
      <c r="OQ43" s="130"/>
      <c r="OR43" s="130"/>
      <c r="OS43" s="130"/>
      <c r="OT43" s="130"/>
      <c r="OU43" s="130"/>
      <c r="OV43" s="130"/>
      <c r="OW43" s="130"/>
      <c r="OX43" s="130"/>
      <c r="OY43" s="130"/>
      <c r="OZ43" s="130"/>
      <c r="PA43" s="130"/>
      <c r="PB43" s="130"/>
      <c r="PC43" s="130"/>
      <c r="PD43" s="130"/>
      <c r="PE43" s="130"/>
      <c r="PF43" s="130"/>
      <c r="PG43" s="130"/>
      <c r="PH43" s="130"/>
      <c r="PI43" s="130"/>
      <c r="PJ43" s="130"/>
      <c r="PK43" s="130"/>
      <c r="PL43" s="130"/>
      <c r="PM43" s="130"/>
      <c r="PN43" s="130"/>
      <c r="PO43" s="130"/>
      <c r="PP43" s="130"/>
      <c r="PQ43" s="130"/>
      <c r="PR43" s="130"/>
      <c r="PS43" s="130"/>
      <c r="PT43" s="130"/>
      <c r="PU43" s="130"/>
      <c r="PV43" s="130"/>
      <c r="PW43" s="130"/>
      <c r="PX43" s="130"/>
      <c r="PY43" s="130"/>
      <c r="PZ43" s="130"/>
      <c r="QA43" s="130"/>
      <c r="QB43" s="130"/>
      <c r="QC43" s="130"/>
      <c r="QD43" s="130"/>
      <c r="QE43" s="130"/>
      <c r="QF43" s="130"/>
      <c r="QG43" s="130"/>
      <c r="QH43" s="130"/>
      <c r="QI43" s="130"/>
      <c r="QJ43" s="130"/>
      <c r="QK43" s="130"/>
      <c r="QL43" s="130"/>
      <c r="QM43" s="130"/>
      <c r="QN43" s="130"/>
      <c r="QO43" s="130"/>
      <c r="QP43" s="130"/>
      <c r="QQ43" s="130"/>
      <c r="QR43" s="130"/>
      <c r="QS43" s="130"/>
      <c r="QT43" s="130"/>
      <c r="QU43" s="130"/>
      <c r="QV43" s="130"/>
      <c r="QW43" s="130"/>
      <c r="QX43" s="130"/>
      <c r="QY43" s="130"/>
      <c r="QZ43" s="130"/>
      <c r="RA43" s="130"/>
      <c r="RB43" s="130"/>
      <c r="RC43" s="130"/>
      <c r="RD43" s="130"/>
      <c r="RE43" s="130"/>
      <c r="RF43" s="130"/>
      <c r="RG43" s="130"/>
      <c r="RH43" s="130"/>
      <c r="RI43" s="130"/>
      <c r="RJ43" s="130"/>
      <c r="RK43" s="130"/>
      <c r="RL43" s="130"/>
      <c r="RM43" s="130"/>
      <c r="RN43" s="130"/>
      <c r="RO43" s="130"/>
      <c r="RP43" s="130"/>
      <c r="RQ43" s="130"/>
      <c r="RR43" s="130"/>
      <c r="RS43" s="130"/>
      <c r="RT43" s="130"/>
      <c r="RU43" s="130"/>
      <c r="RV43" s="130"/>
      <c r="RW43" s="130"/>
      <c r="RX43" s="130"/>
      <c r="RY43" s="130"/>
      <c r="RZ43" s="130"/>
      <c r="SA43" s="130"/>
      <c r="SB43" s="130"/>
      <c r="SC43" s="130"/>
      <c r="SD43" s="130"/>
      <c r="SE43" s="130"/>
      <c r="SF43" s="130"/>
      <c r="SG43" s="130"/>
      <c r="SH43" s="130"/>
      <c r="SI43" s="130"/>
      <c r="SJ43" s="130"/>
      <c r="SK43" s="130"/>
      <c r="SL43" s="130"/>
      <c r="SM43" s="130"/>
      <c r="SN43" s="130"/>
      <c r="SO43" s="130"/>
      <c r="SP43" s="130"/>
      <c r="SQ43" s="130"/>
      <c r="SR43" s="130"/>
      <c r="SS43" s="130"/>
      <c r="ST43" s="130"/>
      <c r="SU43" s="130"/>
      <c r="SV43" s="130"/>
      <c r="SW43" s="130"/>
      <c r="SX43" s="130"/>
      <c r="SY43" s="130"/>
      <c r="SZ43" s="130"/>
      <c r="TA43" s="130"/>
      <c r="TB43" s="130"/>
      <c r="TC43" s="130"/>
      <c r="TD43" s="130"/>
      <c r="TE43" s="130"/>
      <c r="TF43" s="130"/>
      <c r="TG43" s="130"/>
      <c r="TH43" s="130"/>
      <c r="TI43" s="130"/>
      <c r="TJ43" s="130"/>
      <c r="TK43" s="130"/>
      <c r="TL43" s="130"/>
      <c r="TM43" s="130"/>
      <c r="TN43" s="130"/>
      <c r="TO43" s="130"/>
      <c r="TP43" s="130"/>
      <c r="TQ43" s="130"/>
      <c r="TR43" s="130"/>
      <c r="TS43" s="48">
        <f>'ASAJ UM'!$H$28</f>
        <v>0</v>
      </c>
      <c r="TT43" s="48">
        <f>'ASAJ UM'!$H$29</f>
        <v>0</v>
      </c>
      <c r="TU43" s="48">
        <f>'ASAJ UM'!$H$30</f>
        <v>0</v>
      </c>
      <c r="TV43" s="48">
        <f>'ASAJ UM'!$H$31</f>
        <v>0</v>
      </c>
      <c r="TW43" s="48">
        <f>'ASAJ UM'!$H$32</f>
        <v>0</v>
      </c>
      <c r="TX43" s="48">
        <f>'ASAJ UM'!$H$33</f>
        <v>0</v>
      </c>
      <c r="TY43" s="48">
        <f>'ASAJ UM'!$H$34</f>
        <v>0</v>
      </c>
      <c r="TZ43" s="48">
        <f>'ASAJ UM'!$H$35</f>
        <v>0</v>
      </c>
      <c r="UA43" s="48">
        <f>'ASAJ UM'!$H$36</f>
        <v>0</v>
      </c>
      <c r="UB43" s="48">
        <f>'ASAJ UM'!$H$37</f>
        <v>0</v>
      </c>
      <c r="UC43" s="48">
        <f>'ASAJ UM'!$H$38</f>
        <v>0</v>
      </c>
      <c r="UD43" s="130"/>
      <c r="UE43" s="130"/>
      <c r="UF43" s="130"/>
      <c r="UG43" s="130"/>
      <c r="UH43" s="130"/>
      <c r="UI43" s="130"/>
      <c r="UJ43" s="130"/>
      <c r="UK43" s="130"/>
      <c r="UL43" s="130"/>
      <c r="UM43" s="130"/>
      <c r="UN43" s="130"/>
      <c r="UO43" s="130"/>
      <c r="UP43" s="130"/>
      <c r="UQ43" s="130"/>
      <c r="UR43" s="130"/>
      <c r="US43" s="130"/>
      <c r="UT43" s="130"/>
      <c r="UU43" s="130"/>
      <c r="UV43" s="130"/>
      <c r="UW43" s="130"/>
      <c r="UX43" s="130"/>
      <c r="UY43" s="130"/>
      <c r="UZ43" s="130"/>
      <c r="VA43" s="130"/>
      <c r="VB43" s="130"/>
      <c r="VC43" s="130"/>
      <c r="VD43" s="130"/>
      <c r="VE43" s="130"/>
      <c r="VF43" s="130"/>
      <c r="VG43" s="130"/>
      <c r="VH43" s="130"/>
      <c r="VI43" s="130"/>
      <c r="VJ43" s="130"/>
      <c r="VK43" s="130"/>
      <c r="VL43" s="130"/>
      <c r="VM43" s="130"/>
      <c r="VN43" s="130"/>
      <c r="VO43" s="130"/>
      <c r="VP43" s="130"/>
      <c r="VQ43" s="130"/>
      <c r="VR43" s="130"/>
      <c r="VS43" s="130"/>
      <c r="VT43" s="130"/>
      <c r="VU43" s="130"/>
      <c r="VV43" s="130"/>
      <c r="VW43" s="130"/>
      <c r="VX43" s="130"/>
      <c r="VY43" s="130"/>
      <c r="VZ43" s="130"/>
      <c r="WA43" s="130"/>
      <c r="WB43" s="130"/>
      <c r="WC43" s="130"/>
      <c r="WD43" s="130"/>
      <c r="WE43" s="130"/>
      <c r="WF43" s="130"/>
      <c r="WG43" s="130"/>
      <c r="WH43" s="130"/>
      <c r="WI43" s="130"/>
      <c r="WJ43" s="130"/>
      <c r="WK43" s="130"/>
      <c r="WL43" s="130"/>
      <c r="WM43" s="130"/>
      <c r="WN43" s="130"/>
      <c r="WO43" s="130"/>
      <c r="WP43" s="130"/>
      <c r="WQ43" s="130"/>
      <c r="WR43" s="130"/>
      <c r="WS43" s="130"/>
      <c r="WT43" s="130"/>
      <c r="WU43" s="130"/>
      <c r="WV43" s="130"/>
      <c r="WW43" s="130"/>
      <c r="WX43" s="130"/>
      <c r="WY43" s="130"/>
      <c r="WZ43" s="130"/>
      <c r="XA43" s="130"/>
      <c r="XB43" s="130"/>
      <c r="XC43" s="130"/>
      <c r="XD43" s="130"/>
      <c r="XE43" s="130"/>
      <c r="XF43" s="130"/>
      <c r="XG43" s="130"/>
      <c r="XH43" s="130"/>
      <c r="XI43" s="130"/>
      <c r="XJ43" s="130"/>
      <c r="XK43" s="130"/>
      <c r="XL43" s="130"/>
      <c r="XM43" s="130"/>
      <c r="XN43" s="130"/>
      <c r="XO43" s="130"/>
      <c r="XP43" s="130"/>
      <c r="XQ43" s="130"/>
      <c r="XR43" s="130"/>
      <c r="XS43" s="130"/>
      <c r="XT43" s="130"/>
      <c r="XU43" s="130"/>
      <c r="XV43" s="130"/>
      <c r="XW43" s="130"/>
      <c r="XX43" s="130"/>
      <c r="XY43" s="130"/>
      <c r="XZ43" s="130"/>
      <c r="YA43" s="130"/>
      <c r="YB43" s="130"/>
      <c r="YC43" s="130"/>
      <c r="YD43" s="130"/>
      <c r="YE43" s="130"/>
      <c r="YF43" s="130"/>
      <c r="YG43" s="130"/>
      <c r="YH43" s="130"/>
      <c r="YI43" s="130"/>
      <c r="YJ43" s="130"/>
      <c r="YK43" s="130"/>
      <c r="YL43" s="130"/>
      <c r="YM43" s="130"/>
      <c r="YN43" s="130"/>
      <c r="YO43" s="130"/>
      <c r="YP43" s="130"/>
      <c r="YQ43" s="130"/>
      <c r="YR43" s="130"/>
      <c r="YS43" s="130"/>
      <c r="YT43" s="130"/>
      <c r="YU43" s="130"/>
      <c r="YV43" s="130"/>
      <c r="YW43" s="130"/>
      <c r="YX43" s="130"/>
      <c r="YY43" s="130"/>
      <c r="YZ43" s="130"/>
      <c r="ZA43" s="130"/>
      <c r="ZB43" s="130"/>
      <c r="ZC43" s="130"/>
      <c r="ZD43" s="130"/>
      <c r="ZE43" s="130"/>
      <c r="ZF43" s="130"/>
      <c r="ZG43" s="130"/>
      <c r="ZH43" s="130"/>
      <c r="ZI43" s="130"/>
      <c r="ZJ43" s="130"/>
      <c r="ZK43" s="130"/>
      <c r="ZL43" s="130"/>
      <c r="ZM43" s="130"/>
      <c r="ZN43" s="130"/>
      <c r="ZO43" s="130"/>
      <c r="ZP43" s="130"/>
      <c r="ZQ43" s="130"/>
      <c r="ZR43" s="130"/>
      <c r="ZS43" s="130"/>
      <c r="ZT43" s="130"/>
      <c r="ZU43" s="130"/>
      <c r="ZV43" s="130"/>
      <c r="ZW43" s="130"/>
      <c r="ZX43" s="130"/>
      <c r="ZY43" s="130"/>
      <c r="ZZ43" s="130"/>
      <c r="AAA43" s="130"/>
      <c r="AAB43" s="130"/>
      <c r="AAC43" s="130"/>
      <c r="AAD43" s="130"/>
      <c r="AAE43" s="130"/>
      <c r="AAF43" s="130"/>
      <c r="AAG43" s="130"/>
      <c r="AAH43" s="130"/>
      <c r="AAI43" s="130"/>
      <c r="AAJ43" s="130"/>
      <c r="AAK43" s="130"/>
      <c r="AAL43" s="130"/>
      <c r="AAM43" s="130"/>
      <c r="AAN43" s="130"/>
      <c r="AAO43" s="130"/>
      <c r="AAP43" s="130"/>
      <c r="AAQ43" s="130"/>
      <c r="AAR43" s="130"/>
      <c r="AAS43" s="130"/>
      <c r="AAT43" s="130"/>
      <c r="AAU43" s="130"/>
      <c r="AAV43" s="130"/>
      <c r="AAW43" s="130"/>
      <c r="AAX43" s="130"/>
      <c r="AAY43" s="130"/>
      <c r="AAZ43" s="130"/>
      <c r="ABA43" s="130"/>
      <c r="ABB43" s="130"/>
      <c r="ABC43" s="130"/>
      <c r="ABD43" s="130"/>
      <c r="ABE43" s="130"/>
      <c r="ABF43" s="130"/>
      <c r="ABG43" s="130"/>
      <c r="ABH43" s="130"/>
      <c r="ABI43" s="130"/>
      <c r="ABJ43" s="130"/>
      <c r="ABK43" s="130"/>
      <c r="ABL43" s="130"/>
      <c r="ABM43" s="130"/>
      <c r="ABN43" s="130"/>
      <c r="ABO43" s="130"/>
      <c r="ABP43" s="130"/>
      <c r="ABQ43" s="130"/>
      <c r="ABR43" s="130"/>
      <c r="ABS43" s="130"/>
      <c r="ABT43" s="130"/>
      <c r="ABU43" s="130"/>
      <c r="ABV43" s="130"/>
      <c r="ABW43" s="130"/>
      <c r="ABX43" s="130"/>
      <c r="ABY43" s="130"/>
      <c r="ABZ43" s="130"/>
      <c r="ACA43" s="130"/>
      <c r="ACB43" s="130"/>
      <c r="ACC43" s="130"/>
      <c r="ACD43" s="130"/>
      <c r="ACE43" s="130"/>
      <c r="ACF43" s="130"/>
      <c r="ACG43" s="130"/>
      <c r="ACH43" s="130"/>
      <c r="ACI43" s="130"/>
      <c r="ACJ43" s="130"/>
      <c r="ACK43" s="130"/>
      <c r="ACL43" s="130"/>
      <c r="ACM43" s="130"/>
      <c r="ACN43" s="130"/>
      <c r="ACO43" s="130"/>
      <c r="ACP43" s="130"/>
      <c r="ACQ43" s="130"/>
      <c r="ACR43" s="130"/>
      <c r="ACS43" s="130"/>
      <c r="ACT43" s="130"/>
      <c r="ACU43" s="130"/>
      <c r="ACV43" s="130"/>
      <c r="ACW43" s="130"/>
      <c r="ACX43" s="130"/>
      <c r="ACY43" s="130"/>
      <c r="ACZ43" s="130"/>
      <c r="ADA43" s="130"/>
      <c r="ADB43" s="130"/>
      <c r="ADC43" s="130"/>
      <c r="ADD43" s="130"/>
      <c r="ADE43" s="130"/>
      <c r="ADF43" s="130"/>
      <c r="ADG43" s="130"/>
      <c r="ADH43" s="130"/>
      <c r="ADI43" s="130"/>
      <c r="ADJ43" s="130"/>
      <c r="ADK43" s="130"/>
      <c r="ADL43" s="130"/>
      <c r="ADM43" s="130"/>
      <c r="ADN43" s="130"/>
      <c r="ADO43" s="130"/>
      <c r="ADP43" s="130"/>
      <c r="ADQ43" s="130"/>
      <c r="ADR43" s="130"/>
      <c r="ADS43" s="130"/>
      <c r="ADT43" s="130"/>
      <c r="ADU43" s="130"/>
      <c r="ADV43" s="130"/>
      <c r="ADW43" s="130"/>
      <c r="ADX43" s="130"/>
      <c r="ADY43" s="130"/>
      <c r="ADZ43" s="130"/>
      <c r="AEA43" s="130"/>
      <c r="AEB43" s="130"/>
      <c r="AEC43" s="130"/>
      <c r="AED43" s="130"/>
      <c r="AEE43" s="130"/>
      <c r="AEF43" s="130"/>
      <c r="AEG43" s="130"/>
      <c r="AEH43" s="130"/>
      <c r="AEI43" s="130"/>
      <c r="AEJ43" s="130"/>
      <c r="AEK43" s="130"/>
      <c r="AEL43" s="130"/>
      <c r="AEM43" s="130"/>
      <c r="AEN43" s="130"/>
      <c r="AEO43" s="130"/>
      <c r="AEP43" s="130"/>
      <c r="AEQ43" s="130"/>
      <c r="AER43" s="130"/>
      <c r="AES43" s="130"/>
      <c r="AET43" s="130"/>
      <c r="AEU43" s="130"/>
      <c r="AEV43" s="130"/>
      <c r="AEW43" s="130"/>
    </row>
    <row r="44" spans="1:830" ht="22.5" customHeight="1" x14ac:dyDescent="0.25">
      <c r="A44" s="36"/>
      <c r="B44" s="142" t="s">
        <v>466</v>
      </c>
      <c r="C44" s="160">
        <f>REKAP!$J$6</f>
        <v>0</v>
      </c>
      <c r="D44" s="124"/>
      <c r="E44" s="159"/>
      <c r="F44" s="36"/>
      <c r="G44" s="138" t="s">
        <v>218</v>
      </c>
      <c r="H44" s="4" t="s">
        <v>220</v>
      </c>
      <c r="I44" s="143"/>
      <c r="J44" s="141">
        <f>RG44</f>
        <v>0</v>
      </c>
      <c r="K44" s="7"/>
      <c r="L44" s="7"/>
      <c r="M44" s="7"/>
      <c r="N44" s="130"/>
      <c r="O44" s="130"/>
      <c r="P44" s="130"/>
      <c r="Q44" s="130"/>
      <c r="R44" s="130"/>
      <c r="S44" s="130"/>
      <c r="T44" s="130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130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130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140"/>
      <c r="CA44" s="7"/>
      <c r="CB44" s="7"/>
      <c r="CC44" s="7"/>
      <c r="CD44" s="7"/>
      <c r="CE44" s="7"/>
      <c r="CF44" s="7"/>
      <c r="CG44" s="7"/>
      <c r="CH44" s="7"/>
      <c r="CI44" s="7"/>
      <c r="CJ44" s="129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130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140"/>
      <c r="HC44" s="140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140"/>
      <c r="HU44" s="4"/>
      <c r="HV44" s="4"/>
      <c r="HW44" s="7"/>
      <c r="HX44" s="130"/>
      <c r="HY44" s="130"/>
      <c r="HZ44" s="130"/>
      <c r="IA44" s="130"/>
      <c r="IB44" s="130"/>
      <c r="IC44" s="130"/>
      <c r="ID44" s="7"/>
      <c r="IE44" s="7"/>
      <c r="IF44" s="7"/>
      <c r="IG44" s="7"/>
      <c r="IH44" s="7"/>
      <c r="II44" s="7"/>
      <c r="IJ44" s="7"/>
      <c r="IK44" s="7"/>
      <c r="IL44" s="140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140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140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140"/>
      <c r="KA44" s="7"/>
      <c r="KB44" s="7"/>
      <c r="KC44" s="7"/>
      <c r="KD44" s="7"/>
      <c r="KE44" s="7"/>
      <c r="KF44" s="7"/>
      <c r="KG44" s="140"/>
      <c r="KH44" s="140"/>
      <c r="KI44" s="140"/>
      <c r="KJ44" s="140"/>
      <c r="KK44" s="7"/>
      <c r="KL44" s="7"/>
      <c r="KM44" s="7"/>
      <c r="KN44" s="7"/>
      <c r="KO44" s="7"/>
      <c r="KP44" s="7"/>
      <c r="KQ44" s="7"/>
      <c r="KR44" s="7"/>
      <c r="KS44" s="7"/>
      <c r="KT44" s="7"/>
      <c r="KU44" s="7"/>
      <c r="KV44" s="7"/>
      <c r="KW44" s="7"/>
      <c r="KX44" s="7"/>
      <c r="KY44" s="7"/>
      <c r="KZ44" s="7"/>
      <c r="LA44" s="7"/>
      <c r="LB44" s="7"/>
      <c r="LC44" s="7"/>
      <c r="LD44" s="140"/>
      <c r="LE44" s="7"/>
      <c r="LF44" s="7"/>
      <c r="LG44" s="140"/>
      <c r="LH44" s="7"/>
      <c r="LI44" s="7"/>
      <c r="LJ44" s="7"/>
      <c r="LK44" s="7"/>
      <c r="LL44" s="7"/>
      <c r="LM44" s="7"/>
      <c r="LN44" s="7"/>
      <c r="LO44" s="7"/>
      <c r="LP44" s="7"/>
      <c r="LQ44" s="7"/>
      <c r="LR44" s="7"/>
      <c r="LS44" s="7"/>
      <c r="LT44" s="7"/>
      <c r="LU44" s="7"/>
      <c r="LV44" s="7"/>
      <c r="LW44" s="7"/>
      <c r="LX44" s="7"/>
      <c r="LY44" s="7"/>
      <c r="LZ44" s="7"/>
      <c r="MA44" s="140"/>
      <c r="MB44" s="7"/>
      <c r="MC44" s="7"/>
      <c r="MD44" s="7"/>
      <c r="ME44" s="7"/>
      <c r="MF44" s="7"/>
      <c r="MG44" s="140"/>
      <c r="MH44" s="7"/>
      <c r="MI44" s="7"/>
      <c r="MJ44" s="7"/>
      <c r="MK44" s="7"/>
      <c r="ML44" s="7"/>
      <c r="MM44" s="7"/>
      <c r="MN44" s="7"/>
      <c r="MO44" s="7"/>
      <c r="MP44" s="7"/>
      <c r="MQ44" s="7"/>
      <c r="MR44" s="7"/>
      <c r="MS44" s="7"/>
      <c r="MT44" s="7"/>
      <c r="MU44" s="7"/>
      <c r="MV44" s="7"/>
      <c r="MW44" s="7"/>
      <c r="MX44" s="7"/>
      <c r="MY44" s="7"/>
      <c r="MZ44" s="7"/>
      <c r="NA44" s="7"/>
      <c r="NB44" s="7"/>
      <c r="NC44" s="7"/>
      <c r="ND44" s="140"/>
      <c r="NE44" s="7"/>
      <c r="NF44" s="7"/>
      <c r="NG44" s="7"/>
      <c r="NH44" s="7"/>
      <c r="NI44" s="7"/>
      <c r="NJ44" s="7"/>
      <c r="NK44" s="7"/>
      <c r="NL44" s="7"/>
      <c r="NM44" s="7"/>
      <c r="NN44" s="7"/>
      <c r="NO44" s="7"/>
      <c r="NP44" s="198"/>
      <c r="NQ44" s="140"/>
      <c r="NR44" s="200"/>
      <c r="NS44" s="7"/>
      <c r="NT44" s="7"/>
      <c r="NU44" s="7"/>
      <c r="NV44" s="7"/>
      <c r="NW44" s="7"/>
      <c r="NX44" s="7"/>
      <c r="NY44" s="7"/>
      <c r="NZ44" s="7"/>
      <c r="OA44" s="7"/>
      <c r="OB44" s="7"/>
      <c r="OC44" s="7"/>
      <c r="OD44" s="7"/>
      <c r="OE44" s="7"/>
      <c r="OF44" s="7"/>
      <c r="OG44" s="7"/>
      <c r="OH44" s="7"/>
      <c r="OI44" s="7"/>
      <c r="OJ44" s="7"/>
      <c r="OK44" s="7"/>
      <c r="OL44" s="7"/>
      <c r="OM44" s="7"/>
      <c r="ON44" s="7"/>
      <c r="OO44" s="7"/>
      <c r="OP44" s="7"/>
      <c r="OQ44" s="7"/>
      <c r="OR44" s="7"/>
      <c r="OS44" s="7"/>
      <c r="OT44" s="7"/>
      <c r="OU44" s="7"/>
      <c r="OV44" s="7"/>
      <c r="OW44" s="7"/>
      <c r="OX44" s="7"/>
      <c r="OY44" s="7"/>
      <c r="OZ44" s="7"/>
      <c r="PA44" s="7"/>
      <c r="PB44" s="36"/>
      <c r="PC44" s="7"/>
      <c r="PD44" s="7"/>
      <c r="PE44" s="7"/>
      <c r="PF44" s="7"/>
      <c r="PG44" s="7"/>
      <c r="PH44" s="7"/>
      <c r="PI44" s="7"/>
      <c r="PJ44" s="7"/>
      <c r="PK44" s="7"/>
      <c r="PL44" s="7"/>
      <c r="PM44" s="7"/>
      <c r="PN44" s="7"/>
      <c r="PO44" s="7"/>
      <c r="PP44" s="7"/>
      <c r="PQ44" s="7"/>
      <c r="PR44" s="7"/>
      <c r="PS44" s="7"/>
      <c r="PT44" s="7"/>
      <c r="PU44" s="7"/>
      <c r="PV44" s="7"/>
      <c r="PW44" s="7"/>
      <c r="PX44" s="7"/>
      <c r="PY44" s="7"/>
      <c r="PZ44" s="7"/>
      <c r="QA44" s="7"/>
      <c r="QB44" s="7"/>
      <c r="QC44" s="7"/>
      <c r="QD44" s="7"/>
      <c r="QE44" s="7"/>
      <c r="QF44" s="7"/>
      <c r="QG44" s="7"/>
      <c r="QH44" s="7"/>
      <c r="QI44" s="7"/>
      <c r="QJ44" s="7"/>
      <c r="QK44" s="7"/>
      <c r="QL44" s="7"/>
      <c r="QM44" s="7"/>
      <c r="QN44" s="7"/>
      <c r="QO44" s="7"/>
      <c r="QP44" s="7"/>
      <c r="QQ44" s="7"/>
      <c r="QR44" s="7"/>
      <c r="QS44" s="7"/>
      <c r="QT44" s="7"/>
      <c r="QU44" s="7"/>
      <c r="QV44" s="7"/>
      <c r="QW44" s="7"/>
      <c r="QX44" s="7"/>
      <c r="QY44" s="7"/>
      <c r="QZ44" s="7"/>
      <c r="RA44" s="7"/>
      <c r="RB44" s="7"/>
      <c r="RC44" s="7"/>
      <c r="RD44" s="7"/>
      <c r="RE44" s="7"/>
      <c r="RF44" s="7"/>
      <c r="RG44" s="140">
        <f>'jurnal &amp; tk'!$F$6</f>
        <v>0</v>
      </c>
      <c r="RH44" s="7"/>
      <c r="RI44" s="7"/>
      <c r="RJ44" s="7"/>
      <c r="RK44" s="7"/>
      <c r="RL44" s="7"/>
      <c r="RM44" s="7"/>
      <c r="RN44" s="7"/>
      <c r="RO44" s="36"/>
      <c r="RP44" s="7"/>
      <c r="RQ44" s="7"/>
      <c r="RR44" s="7"/>
      <c r="RS44" s="7"/>
      <c r="RT44" s="7"/>
      <c r="RU44" s="7"/>
      <c r="RV44" s="7"/>
      <c r="RW44" s="7"/>
      <c r="RX44" s="7"/>
      <c r="RY44" s="7"/>
      <c r="RZ44" s="7"/>
      <c r="SA44" s="7"/>
      <c r="SB44" s="36"/>
      <c r="SC44" s="7"/>
      <c r="SD44" s="7"/>
      <c r="SE44" s="7"/>
      <c r="SF44" s="7"/>
      <c r="SG44" s="7"/>
      <c r="SH44" s="7"/>
      <c r="SI44" s="7"/>
      <c r="SJ44" s="7"/>
      <c r="SK44" s="7"/>
      <c r="SL44" s="7"/>
      <c r="SM44" s="7"/>
      <c r="SN44" s="7"/>
      <c r="SO44" s="7"/>
      <c r="SP44" s="7"/>
      <c r="SQ44" s="7"/>
      <c r="SR44" s="7"/>
      <c r="SS44" s="7"/>
      <c r="ST44" s="7"/>
      <c r="SU44" s="7"/>
      <c r="SV44" s="7"/>
      <c r="SW44" s="7"/>
      <c r="SX44" s="7"/>
      <c r="SY44" s="7"/>
      <c r="SZ44" s="7"/>
      <c r="TA44" s="7"/>
      <c r="TB44" s="7"/>
      <c r="TC44" s="7"/>
      <c r="TD44" s="36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7"/>
      <c r="YG44" s="7"/>
      <c r="YH44" s="7"/>
      <c r="YI44" s="7"/>
      <c r="YJ44" s="7"/>
      <c r="YK44" s="7"/>
      <c r="YL44" s="7"/>
      <c r="YM44" s="7"/>
      <c r="YN44" s="7"/>
      <c r="YO44" s="7"/>
      <c r="YP44" s="7"/>
      <c r="YQ44" s="7"/>
      <c r="YR44" s="7"/>
      <c r="YS44" s="7"/>
      <c r="YT44" s="7"/>
      <c r="YU44" s="7"/>
      <c r="YV44" s="7"/>
      <c r="YW44" s="7"/>
      <c r="YX44" s="7"/>
      <c r="YY44" s="7"/>
      <c r="YZ44" s="7"/>
      <c r="ZA44" s="7"/>
      <c r="ZB44" s="7"/>
      <c r="ZC44" s="7"/>
      <c r="ZD44" s="7"/>
      <c r="ZE44" s="7"/>
      <c r="ZF44" s="7"/>
      <c r="ZG44" s="7"/>
      <c r="ZH44" s="7"/>
      <c r="ZI44" s="7"/>
      <c r="ZJ44" s="7"/>
      <c r="ZK44" s="7"/>
      <c r="ZL44" s="7"/>
      <c r="ZM44" s="7"/>
      <c r="ZN44" s="7"/>
      <c r="ZO44" s="7"/>
      <c r="ZP44" s="7"/>
      <c r="ZQ44" s="7"/>
      <c r="ZR44" s="7"/>
      <c r="ZS44" s="7"/>
      <c r="ZT44" s="7"/>
      <c r="ZU44" s="7"/>
      <c r="ZV44" s="4"/>
      <c r="ZW44" s="7"/>
      <c r="ZX44" s="7"/>
      <c r="ZY44" s="7"/>
      <c r="ZZ44" s="7"/>
      <c r="AAA44" s="7"/>
      <c r="AAB44" s="7"/>
      <c r="AAC44" s="7"/>
      <c r="AAD44" s="7"/>
      <c r="AAE44" s="7"/>
      <c r="AAF44" s="36"/>
      <c r="AAG44" s="7"/>
      <c r="AAH44" s="7"/>
      <c r="AAI44" s="7"/>
      <c r="AAJ44" s="7"/>
      <c r="AAK44" s="7"/>
      <c r="AAL44" s="7"/>
      <c r="AAM44" s="7"/>
      <c r="AAN44" s="7"/>
      <c r="AAO44" s="7"/>
      <c r="AAP44" s="7"/>
      <c r="AAQ44" s="7"/>
      <c r="AAR44" s="7"/>
      <c r="AAS44" s="7"/>
      <c r="AAT44" s="7"/>
      <c r="AAU44" s="7"/>
      <c r="AAV44" s="7"/>
      <c r="AAW44" s="7"/>
      <c r="AAX44" s="7"/>
      <c r="AAY44" s="7"/>
      <c r="AAZ44" s="4"/>
      <c r="ABA44" s="7"/>
      <c r="ABB44" s="7"/>
      <c r="ABC44" s="7"/>
      <c r="ABD44" s="7"/>
      <c r="ABE44" s="7"/>
      <c r="ABF44" s="7"/>
      <c r="ABG44" s="7"/>
      <c r="ABH44" s="7"/>
      <c r="ABI44" s="7"/>
      <c r="ABJ44" s="7"/>
      <c r="ABK44" s="7"/>
      <c r="ABL44" s="7"/>
      <c r="ABM44" s="7"/>
      <c r="ABN44" s="7"/>
      <c r="ABO44" s="7"/>
      <c r="ABP44" s="7"/>
      <c r="ABQ44" s="7"/>
      <c r="ABR44" s="7"/>
      <c r="ABS44" s="7"/>
      <c r="ABT44" s="7"/>
      <c r="ABU44" s="7"/>
      <c r="ABV44" s="7"/>
      <c r="ABW44" s="7"/>
      <c r="ABX44" s="7"/>
      <c r="ABY44" s="7"/>
      <c r="ABZ44" s="7"/>
      <c r="ACA44" s="7"/>
      <c r="ACB44" s="7"/>
      <c r="ACC44" s="7"/>
      <c r="ACD44" s="7"/>
      <c r="ACE44" s="7"/>
      <c r="ACF44" s="7"/>
      <c r="ACG44" s="7"/>
      <c r="ACH44" s="7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</row>
    <row r="45" spans="1:830" ht="22.5" customHeight="1" x14ac:dyDescent="0.25">
      <c r="A45" s="36"/>
      <c r="B45" s="142" t="s">
        <v>465</v>
      </c>
      <c r="C45" s="160">
        <f>REKAP!$J$6</f>
        <v>0</v>
      </c>
      <c r="D45" s="124"/>
      <c r="E45" s="159"/>
      <c r="F45" s="36"/>
      <c r="G45" s="138" t="s">
        <v>218</v>
      </c>
      <c r="H45" s="4" t="s">
        <v>220</v>
      </c>
      <c r="I45" s="143"/>
      <c r="J45" s="141">
        <f>SUM(RH45:SA45)</f>
        <v>0</v>
      </c>
      <c r="K45" s="7"/>
      <c r="L45" s="7"/>
      <c r="M45" s="7"/>
      <c r="N45" s="130"/>
      <c r="O45" s="7"/>
      <c r="P45" s="7"/>
      <c r="Q45" s="7"/>
      <c r="R45" s="7"/>
      <c r="S45" s="7"/>
      <c r="T45" s="130"/>
      <c r="U45" s="130"/>
      <c r="V45" s="130"/>
      <c r="W45" s="130"/>
      <c r="X45" s="130"/>
      <c r="Y45" s="130"/>
      <c r="Z45" s="130"/>
      <c r="AA45" s="130"/>
      <c r="AB45" s="130"/>
      <c r="AC45" s="130"/>
      <c r="AD45" s="130"/>
      <c r="AE45" s="130"/>
      <c r="AF45" s="130"/>
      <c r="AG45" s="130"/>
      <c r="AH45" s="130"/>
      <c r="AI45" s="130"/>
      <c r="AJ45" s="130"/>
      <c r="AK45" s="130"/>
      <c r="AL45" s="130"/>
      <c r="AM45" s="130"/>
      <c r="AN45" s="130"/>
      <c r="AO45" s="130"/>
      <c r="AP45" s="130"/>
      <c r="AQ45" s="130"/>
      <c r="AR45" s="130"/>
      <c r="AS45" s="130"/>
      <c r="AT45" s="130"/>
      <c r="AU45" s="130"/>
      <c r="AV45" s="130"/>
      <c r="AW45" s="130"/>
      <c r="AX45" s="130"/>
      <c r="AY45" s="130"/>
      <c r="AZ45" s="130"/>
      <c r="BA45" s="130"/>
      <c r="BB45" s="130"/>
      <c r="BC45" s="130"/>
      <c r="BD45" s="130"/>
      <c r="BE45" s="130"/>
      <c r="BF45" s="130"/>
      <c r="BG45" s="130"/>
      <c r="BH45" s="130"/>
      <c r="BI45" s="130"/>
      <c r="BJ45" s="130"/>
      <c r="BK45" s="130"/>
      <c r="BL45" s="130"/>
      <c r="BM45" s="130"/>
      <c r="BN45" s="130"/>
      <c r="BO45" s="130"/>
      <c r="BP45" s="130"/>
      <c r="BQ45" s="130"/>
      <c r="BR45" s="130"/>
      <c r="BS45" s="130"/>
      <c r="BT45" s="130"/>
      <c r="BU45" s="130"/>
      <c r="BV45" s="130"/>
      <c r="BW45" s="130"/>
      <c r="BX45" s="130"/>
      <c r="BY45" s="130"/>
      <c r="BZ45" s="130"/>
      <c r="CA45" s="130"/>
      <c r="CB45" s="130"/>
      <c r="CC45" s="130"/>
      <c r="CD45" s="130"/>
      <c r="CE45" s="130"/>
      <c r="CF45" s="130"/>
      <c r="CG45" s="130"/>
      <c r="CH45" s="130"/>
      <c r="CI45" s="130"/>
      <c r="CJ45" s="129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130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140"/>
      <c r="HC45" s="140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140"/>
      <c r="HU45" s="4"/>
      <c r="HV45" s="4"/>
      <c r="HW45" s="7"/>
      <c r="HX45" s="7"/>
      <c r="HY45" s="7"/>
      <c r="HZ45" s="7"/>
      <c r="IA45" s="7"/>
      <c r="IB45" s="7"/>
      <c r="IC45" s="7"/>
      <c r="ID45" s="130"/>
      <c r="IE45" s="130"/>
      <c r="IF45" s="130"/>
      <c r="IG45" s="130"/>
      <c r="IH45" s="130"/>
      <c r="II45" s="130"/>
      <c r="IJ45" s="130"/>
      <c r="IK45" s="130"/>
      <c r="IL45" s="140"/>
      <c r="IM45" s="130"/>
      <c r="IN45" s="130"/>
      <c r="IO45" s="130"/>
      <c r="IP45" s="130"/>
      <c r="IQ45" s="130"/>
      <c r="IR45" s="130"/>
      <c r="IS45" s="130"/>
      <c r="IT45" s="130"/>
      <c r="IU45" s="130"/>
      <c r="IV45" s="130"/>
      <c r="IW45" s="130"/>
      <c r="IX45" s="130"/>
      <c r="IY45" s="130"/>
      <c r="IZ45" s="130"/>
      <c r="JA45" s="130"/>
      <c r="JB45" s="130"/>
      <c r="JC45" s="140"/>
      <c r="JD45" s="130"/>
      <c r="JE45" s="130"/>
      <c r="JF45" s="130"/>
      <c r="JG45" s="130"/>
      <c r="JH45" s="130"/>
      <c r="JI45" s="130"/>
      <c r="JJ45" s="130"/>
      <c r="JK45" s="130"/>
      <c r="JL45" s="130"/>
      <c r="JM45" s="130"/>
      <c r="JN45" s="130"/>
      <c r="JO45" s="130"/>
      <c r="JP45" s="130"/>
      <c r="JQ45" s="130"/>
      <c r="JR45" s="130"/>
      <c r="JS45" s="130"/>
      <c r="JT45" s="130"/>
      <c r="JU45" s="130"/>
      <c r="JV45" s="130"/>
      <c r="JW45" s="130"/>
      <c r="JX45" s="130"/>
      <c r="JY45" s="130"/>
      <c r="JZ45" s="140"/>
      <c r="KA45" s="7"/>
      <c r="KB45" s="7"/>
      <c r="KC45" s="7"/>
      <c r="KD45" s="7"/>
      <c r="KE45" s="7"/>
      <c r="KF45" s="7"/>
      <c r="KG45" s="140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  <c r="KS45" s="7"/>
      <c r="KT45" s="7"/>
      <c r="KU45" s="7"/>
      <c r="KV45" s="7"/>
      <c r="KW45" s="7"/>
      <c r="KX45" s="7"/>
      <c r="KY45" s="7"/>
      <c r="KZ45" s="7"/>
      <c r="LA45" s="7"/>
      <c r="LB45" s="7"/>
      <c r="LC45" s="7"/>
      <c r="LD45" s="7"/>
      <c r="LE45" s="7"/>
      <c r="LF45" s="7"/>
      <c r="LG45" s="140"/>
      <c r="LH45" s="7"/>
      <c r="LI45" s="7"/>
      <c r="LJ45" s="7"/>
      <c r="LK45" s="7"/>
      <c r="LL45" s="7"/>
      <c r="LM45" s="7"/>
      <c r="LN45" s="7"/>
      <c r="LO45" s="7"/>
      <c r="LP45" s="7"/>
      <c r="LQ45" s="7"/>
      <c r="LR45" s="7"/>
      <c r="LS45" s="7"/>
      <c r="LT45" s="7"/>
      <c r="LU45" s="7"/>
      <c r="LV45" s="7"/>
      <c r="LW45" s="7"/>
      <c r="LX45" s="7"/>
      <c r="LY45" s="7"/>
      <c r="LZ45" s="7"/>
      <c r="MA45" s="140"/>
      <c r="MB45" s="7"/>
      <c r="MC45" s="7"/>
      <c r="MD45" s="7"/>
      <c r="ME45" s="7"/>
      <c r="MF45" s="7"/>
      <c r="MG45" s="140"/>
      <c r="MH45" s="7"/>
      <c r="MI45" s="7"/>
      <c r="MJ45" s="7"/>
      <c r="MK45" s="7"/>
      <c r="ML45" s="7"/>
      <c r="MM45" s="7"/>
      <c r="MN45" s="7"/>
      <c r="MO45" s="7"/>
      <c r="MP45" s="7"/>
      <c r="MQ45" s="7"/>
      <c r="MR45" s="7"/>
      <c r="MS45" s="7"/>
      <c r="MT45" s="7"/>
      <c r="MU45" s="7"/>
      <c r="MV45" s="7"/>
      <c r="MW45" s="7"/>
      <c r="MX45" s="7"/>
      <c r="MY45" s="7"/>
      <c r="MZ45" s="7"/>
      <c r="NA45" s="7"/>
      <c r="NB45" s="7"/>
      <c r="NC45" s="7"/>
      <c r="ND45" s="140"/>
      <c r="NE45" s="7"/>
      <c r="NF45" s="7"/>
      <c r="NG45" s="7"/>
      <c r="NH45" s="7"/>
      <c r="NI45" s="7"/>
      <c r="NJ45" s="7"/>
      <c r="NK45" s="7"/>
      <c r="NL45" s="7"/>
      <c r="NM45" s="7"/>
      <c r="NN45" s="7"/>
      <c r="NO45" s="7"/>
      <c r="NP45" s="198"/>
      <c r="NQ45" s="140"/>
      <c r="NR45" s="200"/>
      <c r="NS45" s="7"/>
      <c r="NT45" s="7"/>
      <c r="NU45" s="7"/>
      <c r="NV45" s="7"/>
      <c r="NW45" s="7"/>
      <c r="NX45" s="7"/>
      <c r="NY45" s="7"/>
      <c r="NZ45" s="7"/>
      <c r="OA45" s="7"/>
      <c r="OB45" s="7"/>
      <c r="OC45" s="7"/>
      <c r="OD45" s="7"/>
      <c r="OE45" s="7"/>
      <c r="OF45" s="7"/>
      <c r="OG45" s="7"/>
      <c r="OH45" s="7"/>
      <c r="OI45" s="7"/>
      <c r="OJ45" s="7"/>
      <c r="OK45" s="7"/>
      <c r="OL45" s="7"/>
      <c r="OM45" s="7"/>
      <c r="ON45" s="7"/>
      <c r="OO45" s="7"/>
      <c r="OP45" s="7"/>
      <c r="OQ45" s="7"/>
      <c r="OR45" s="7"/>
      <c r="OS45" s="7"/>
      <c r="OT45" s="7"/>
      <c r="OU45" s="7"/>
      <c r="OV45" s="7"/>
      <c r="OW45" s="7"/>
      <c r="OX45" s="7"/>
      <c r="OY45" s="7"/>
      <c r="OZ45" s="7"/>
      <c r="PA45" s="7"/>
      <c r="PB45" s="36"/>
      <c r="PC45" s="7"/>
      <c r="PD45" s="7"/>
      <c r="PE45" s="7"/>
      <c r="PF45" s="7"/>
      <c r="PG45" s="7"/>
      <c r="PH45" s="7"/>
      <c r="PI45" s="7"/>
      <c r="PJ45" s="7"/>
      <c r="PK45" s="7"/>
      <c r="PL45" s="7"/>
      <c r="PM45" s="7"/>
      <c r="PN45" s="7"/>
      <c r="PO45" s="7"/>
      <c r="PP45" s="7"/>
      <c r="PQ45" s="7"/>
      <c r="PR45" s="7"/>
      <c r="PS45" s="7"/>
      <c r="PT45" s="7"/>
      <c r="PU45" s="7"/>
      <c r="PV45" s="7"/>
      <c r="PW45" s="7"/>
      <c r="PX45" s="7"/>
      <c r="PY45" s="7"/>
      <c r="PZ45" s="7"/>
      <c r="QA45" s="7"/>
      <c r="QB45" s="7"/>
      <c r="QC45" s="7"/>
      <c r="QD45" s="7"/>
      <c r="QE45" s="7"/>
      <c r="QF45" s="7"/>
      <c r="QG45" s="7"/>
      <c r="QH45" s="7"/>
      <c r="QI45" s="7"/>
      <c r="QJ45" s="7"/>
      <c r="QK45" s="7"/>
      <c r="QL45" s="7"/>
      <c r="QM45" s="7"/>
      <c r="QN45" s="7"/>
      <c r="QO45" s="7"/>
      <c r="QP45" s="7"/>
      <c r="QQ45" s="7"/>
      <c r="QR45" s="7"/>
      <c r="QS45" s="7"/>
      <c r="QT45" s="7"/>
      <c r="QU45" s="7"/>
      <c r="QV45" s="7"/>
      <c r="QW45" s="7"/>
      <c r="QX45" s="7"/>
      <c r="QY45" s="7"/>
      <c r="QZ45" s="7"/>
      <c r="RA45" s="7"/>
      <c r="RB45" s="7"/>
      <c r="RC45" s="7"/>
      <c r="RD45" s="7"/>
      <c r="RE45" s="7"/>
      <c r="RF45" s="7"/>
      <c r="RG45" s="140"/>
      <c r="RH45" s="48">
        <f>'jurnal &amp; tk'!$F$7</f>
        <v>0</v>
      </c>
      <c r="RI45" s="48">
        <f>'jurnal &amp; tk'!$F$8</f>
        <v>0</v>
      </c>
      <c r="RJ45" s="48">
        <f>'jurnal &amp; tk'!$F$9</f>
        <v>0</v>
      </c>
      <c r="RK45" s="48">
        <f>'jurnal &amp; tk'!$F$10</f>
        <v>0</v>
      </c>
      <c r="RL45" s="48">
        <f>'jurnal &amp; tk'!$F$11</f>
        <v>0</v>
      </c>
      <c r="RM45" s="48">
        <f>'jurnal &amp; tk'!$F$12</f>
        <v>0</v>
      </c>
      <c r="RN45" s="48">
        <f>'jurnal &amp; tk'!$F$13</f>
        <v>0</v>
      </c>
      <c r="RO45" s="48">
        <f>'jurnal &amp; tk'!$F$14</f>
        <v>0</v>
      </c>
      <c r="RP45" s="48">
        <f>'jurnal &amp; tk'!$F$15</f>
        <v>0</v>
      </c>
      <c r="RQ45" s="48">
        <f>'jurnal &amp; tk'!$F$16</f>
        <v>0</v>
      </c>
      <c r="RR45" s="48">
        <f>'jurnal &amp; tk'!$F$17</f>
        <v>0</v>
      </c>
      <c r="RS45" s="48">
        <f>'jurnal &amp; tk'!$F$18</f>
        <v>0</v>
      </c>
      <c r="RT45" s="48">
        <f>'jurnal &amp; tk'!$F$19</f>
        <v>0</v>
      </c>
      <c r="RU45" s="48">
        <f>'jurnal &amp; tk'!$F$20</f>
        <v>0</v>
      </c>
      <c r="RV45" s="48">
        <f>'jurnal &amp; tk'!$F$21</f>
        <v>0</v>
      </c>
      <c r="RW45" s="48">
        <f>'jurnal &amp; tk'!$F$22</f>
        <v>0</v>
      </c>
      <c r="RX45" s="48">
        <f>'jurnal &amp; tk'!$F$23</f>
        <v>0</v>
      </c>
      <c r="RY45" s="48">
        <f>'jurnal &amp; tk'!$F$24</f>
        <v>0</v>
      </c>
      <c r="RZ45" s="48">
        <f>'jurnal &amp; tk'!$F$25</f>
        <v>0</v>
      </c>
      <c r="SA45" s="48">
        <f>'jurnal &amp; tk'!$F$26</f>
        <v>0</v>
      </c>
      <c r="SB45" s="48"/>
      <c r="SC45" s="48"/>
      <c r="SD45" s="7"/>
      <c r="SE45" s="7"/>
      <c r="SF45" s="7"/>
      <c r="SG45" s="7"/>
      <c r="SH45" s="7"/>
      <c r="SI45" s="7"/>
      <c r="SJ45" s="7"/>
      <c r="SK45" s="7"/>
      <c r="SL45" s="7"/>
      <c r="SM45" s="7"/>
      <c r="SN45" s="7"/>
      <c r="SO45" s="7"/>
      <c r="SP45" s="7"/>
      <c r="SQ45" s="7"/>
      <c r="SR45" s="7"/>
      <c r="SS45" s="7"/>
      <c r="ST45" s="7"/>
      <c r="SU45" s="7"/>
      <c r="SV45" s="7"/>
      <c r="SW45" s="7"/>
      <c r="SX45" s="7"/>
      <c r="SY45" s="7"/>
      <c r="SZ45" s="7"/>
      <c r="TA45" s="7"/>
      <c r="TB45" s="7"/>
      <c r="TC45" s="7"/>
      <c r="TD45" s="36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7"/>
      <c r="YG45" s="7"/>
      <c r="YH45" s="7"/>
      <c r="YI45" s="7"/>
      <c r="YJ45" s="7"/>
      <c r="YK45" s="7"/>
      <c r="YL45" s="7"/>
      <c r="YM45" s="7"/>
      <c r="YN45" s="7"/>
      <c r="YO45" s="7"/>
      <c r="YP45" s="7"/>
      <c r="YQ45" s="7"/>
      <c r="YR45" s="7"/>
      <c r="YS45" s="7"/>
      <c r="YT45" s="7"/>
      <c r="YU45" s="7"/>
      <c r="YV45" s="7"/>
      <c r="YW45" s="7"/>
      <c r="YX45" s="7"/>
      <c r="YY45" s="7"/>
      <c r="YZ45" s="7"/>
      <c r="ZA45" s="7"/>
      <c r="ZB45" s="7"/>
      <c r="ZC45" s="7"/>
      <c r="ZD45" s="7"/>
      <c r="ZE45" s="7"/>
      <c r="ZF45" s="7"/>
      <c r="ZG45" s="7"/>
      <c r="ZH45" s="7"/>
      <c r="ZI45" s="7"/>
      <c r="ZJ45" s="7"/>
      <c r="ZK45" s="7"/>
      <c r="ZL45" s="7"/>
      <c r="ZM45" s="7"/>
      <c r="ZN45" s="7"/>
      <c r="ZO45" s="7"/>
      <c r="ZP45" s="7"/>
      <c r="ZQ45" s="7"/>
      <c r="ZR45" s="7"/>
      <c r="ZS45" s="7"/>
      <c r="ZT45" s="7"/>
      <c r="ZU45" s="7"/>
      <c r="ZV45" s="4"/>
      <c r="ZW45" s="7"/>
      <c r="ZX45" s="7"/>
      <c r="ZY45" s="7"/>
      <c r="ZZ45" s="7"/>
      <c r="AAA45" s="7"/>
      <c r="AAB45" s="7"/>
      <c r="AAC45" s="7"/>
      <c r="AAD45" s="7"/>
      <c r="AAE45" s="7"/>
      <c r="AAF45" s="36"/>
      <c r="AAG45" s="7"/>
      <c r="AAH45" s="7"/>
      <c r="AAI45" s="7"/>
      <c r="AAJ45" s="7"/>
      <c r="AAK45" s="7"/>
      <c r="AAL45" s="7"/>
      <c r="AAM45" s="7"/>
      <c r="AAN45" s="7"/>
      <c r="AAO45" s="7"/>
      <c r="AAP45" s="7"/>
      <c r="AAQ45" s="7"/>
      <c r="AAR45" s="7"/>
      <c r="AAS45" s="7"/>
      <c r="AAT45" s="7"/>
      <c r="AAU45" s="7"/>
      <c r="AAV45" s="7"/>
      <c r="AAW45" s="7"/>
      <c r="AAX45" s="7"/>
      <c r="AAY45" s="7"/>
      <c r="AAZ45" s="4"/>
      <c r="ABA45" s="7"/>
      <c r="ABB45" s="7"/>
      <c r="ABC45" s="7"/>
      <c r="ABD45" s="7"/>
      <c r="ABE45" s="7"/>
      <c r="ABF45" s="7"/>
      <c r="ABG45" s="7"/>
      <c r="ABH45" s="7"/>
      <c r="ABI45" s="7"/>
      <c r="ABJ45" s="7"/>
      <c r="ABK45" s="7"/>
      <c r="ABL45" s="7"/>
      <c r="ABM45" s="7"/>
      <c r="ABN45" s="7"/>
      <c r="ABO45" s="7"/>
      <c r="ABP45" s="7"/>
      <c r="ABQ45" s="7"/>
      <c r="ABR45" s="7"/>
      <c r="ABS45" s="7"/>
      <c r="ABT45" s="7"/>
      <c r="ABU45" s="7"/>
      <c r="ABV45" s="7"/>
      <c r="ABW45" s="7"/>
      <c r="ABX45" s="7"/>
      <c r="ABY45" s="7"/>
      <c r="ABZ45" s="7"/>
      <c r="ACA45" s="7"/>
      <c r="ACB45" s="7"/>
      <c r="ACC45" s="7"/>
      <c r="ACD45" s="7"/>
      <c r="ACE45" s="7"/>
      <c r="ACF45" s="7"/>
      <c r="ACG45" s="7"/>
      <c r="ACH45" s="7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</row>
    <row r="46" spans="1:830" ht="22.5" customHeight="1" x14ac:dyDescent="0.25">
      <c r="A46" s="36"/>
      <c r="B46" s="142" t="s">
        <v>637</v>
      </c>
      <c r="C46" s="160">
        <f>REKAP!$J$6</f>
        <v>0</v>
      </c>
      <c r="D46" s="124"/>
      <c r="E46" s="159"/>
      <c r="F46" s="36"/>
      <c r="G46" s="138" t="s">
        <v>218</v>
      </c>
      <c r="H46" s="4" t="s">
        <v>220</v>
      </c>
      <c r="I46" s="143"/>
      <c r="J46" s="141">
        <f>SUM(SB46:SU46)</f>
        <v>0</v>
      </c>
      <c r="K46" s="7"/>
      <c r="L46" s="7"/>
      <c r="M46" s="7"/>
      <c r="N46" s="130"/>
      <c r="O46" s="7"/>
      <c r="P46" s="7"/>
      <c r="Q46" s="7"/>
      <c r="R46" s="7"/>
      <c r="S46" s="7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0"/>
      <c r="AX46" s="130"/>
      <c r="AY46" s="130"/>
      <c r="AZ46" s="130"/>
      <c r="BA46" s="130"/>
      <c r="BB46" s="130"/>
      <c r="BC46" s="130"/>
      <c r="BD46" s="130"/>
      <c r="BE46" s="130"/>
      <c r="BF46" s="130"/>
      <c r="BG46" s="130"/>
      <c r="BH46" s="130"/>
      <c r="BI46" s="130"/>
      <c r="BJ46" s="130"/>
      <c r="BK46" s="130"/>
      <c r="BL46" s="130"/>
      <c r="BM46" s="130"/>
      <c r="BN46" s="130"/>
      <c r="BO46" s="130"/>
      <c r="BP46" s="130"/>
      <c r="BQ46" s="130"/>
      <c r="BR46" s="130"/>
      <c r="BS46" s="130"/>
      <c r="BT46" s="130"/>
      <c r="BU46" s="130"/>
      <c r="BV46" s="130"/>
      <c r="BW46" s="130"/>
      <c r="BX46" s="130"/>
      <c r="BY46" s="130"/>
      <c r="BZ46" s="130"/>
      <c r="CA46" s="130"/>
      <c r="CB46" s="130"/>
      <c r="CC46" s="130"/>
      <c r="CD46" s="130"/>
      <c r="CE46" s="130"/>
      <c r="CF46" s="130"/>
      <c r="CG46" s="130"/>
      <c r="CH46" s="130"/>
      <c r="CI46" s="130"/>
      <c r="CJ46" s="129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130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140"/>
      <c r="HC46" s="140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140"/>
      <c r="HU46" s="4"/>
      <c r="HV46" s="4"/>
      <c r="HW46" s="7"/>
      <c r="HX46" s="7"/>
      <c r="HY46" s="7"/>
      <c r="HZ46" s="7"/>
      <c r="IA46" s="7"/>
      <c r="IB46" s="7"/>
      <c r="IC46" s="7"/>
      <c r="ID46" s="130"/>
      <c r="IE46" s="130"/>
      <c r="IF46" s="130"/>
      <c r="IG46" s="130"/>
      <c r="IH46" s="130"/>
      <c r="II46" s="130"/>
      <c r="IJ46" s="130"/>
      <c r="IK46" s="130"/>
      <c r="IL46" s="140"/>
      <c r="IM46" s="130"/>
      <c r="IN46" s="130"/>
      <c r="IO46" s="130"/>
      <c r="IP46" s="130"/>
      <c r="IQ46" s="130"/>
      <c r="IR46" s="130"/>
      <c r="IS46" s="130"/>
      <c r="IT46" s="130"/>
      <c r="IU46" s="130"/>
      <c r="IV46" s="130"/>
      <c r="IW46" s="130"/>
      <c r="IX46" s="130"/>
      <c r="IY46" s="130"/>
      <c r="IZ46" s="130"/>
      <c r="JA46" s="130"/>
      <c r="JB46" s="130"/>
      <c r="JC46" s="140"/>
      <c r="JD46" s="130"/>
      <c r="JE46" s="130"/>
      <c r="JF46" s="130"/>
      <c r="JG46" s="130"/>
      <c r="JH46" s="130"/>
      <c r="JI46" s="130"/>
      <c r="JJ46" s="130"/>
      <c r="JK46" s="130"/>
      <c r="JL46" s="130"/>
      <c r="JM46" s="130"/>
      <c r="JN46" s="130"/>
      <c r="JO46" s="130"/>
      <c r="JP46" s="130"/>
      <c r="JQ46" s="130"/>
      <c r="JR46" s="130"/>
      <c r="JS46" s="130"/>
      <c r="JT46" s="130"/>
      <c r="JU46" s="130"/>
      <c r="JV46" s="130"/>
      <c r="JW46" s="130"/>
      <c r="JX46" s="130"/>
      <c r="JY46" s="130"/>
      <c r="JZ46" s="140"/>
      <c r="KA46" s="7"/>
      <c r="KB46" s="7"/>
      <c r="KC46" s="7"/>
      <c r="KD46" s="7"/>
      <c r="KE46" s="7"/>
      <c r="KF46" s="7"/>
      <c r="KG46" s="140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  <c r="KS46" s="7"/>
      <c r="KT46" s="7"/>
      <c r="KU46" s="7"/>
      <c r="KV46" s="7"/>
      <c r="KW46" s="7"/>
      <c r="KX46" s="7"/>
      <c r="KY46" s="7"/>
      <c r="KZ46" s="7"/>
      <c r="LA46" s="7"/>
      <c r="LB46" s="7"/>
      <c r="LC46" s="7"/>
      <c r="LD46" s="7"/>
      <c r="LE46" s="7"/>
      <c r="LF46" s="7"/>
      <c r="LG46" s="140"/>
      <c r="LH46" s="7"/>
      <c r="LI46" s="7"/>
      <c r="LJ46" s="7"/>
      <c r="LK46" s="7"/>
      <c r="LL46" s="7"/>
      <c r="LM46" s="7"/>
      <c r="LN46" s="7"/>
      <c r="LO46" s="7"/>
      <c r="LP46" s="7"/>
      <c r="LQ46" s="7"/>
      <c r="LR46" s="7"/>
      <c r="LS46" s="7"/>
      <c r="LT46" s="7"/>
      <c r="LU46" s="7"/>
      <c r="LV46" s="7"/>
      <c r="LW46" s="7"/>
      <c r="LX46" s="7"/>
      <c r="LY46" s="7"/>
      <c r="LZ46" s="7"/>
      <c r="MA46" s="140"/>
      <c r="MB46" s="7"/>
      <c r="MC46" s="7"/>
      <c r="MD46" s="7"/>
      <c r="ME46" s="7"/>
      <c r="MF46" s="7"/>
      <c r="MG46" s="140"/>
      <c r="MH46" s="7"/>
      <c r="MI46" s="7"/>
      <c r="MJ46" s="7"/>
      <c r="MK46" s="7"/>
      <c r="ML46" s="7"/>
      <c r="MM46" s="7"/>
      <c r="MN46" s="7"/>
      <c r="MO46" s="7"/>
      <c r="MP46" s="7"/>
      <c r="MQ46" s="7"/>
      <c r="MR46" s="7"/>
      <c r="MS46" s="7"/>
      <c r="MT46" s="7"/>
      <c r="MU46" s="7"/>
      <c r="MV46" s="7"/>
      <c r="MW46" s="7"/>
      <c r="MX46" s="7"/>
      <c r="MY46" s="7"/>
      <c r="MZ46" s="7"/>
      <c r="NA46" s="7"/>
      <c r="NB46" s="7"/>
      <c r="NC46" s="7"/>
      <c r="ND46" s="140"/>
      <c r="NE46" s="7"/>
      <c r="NF46" s="7"/>
      <c r="NG46" s="7"/>
      <c r="NH46" s="7"/>
      <c r="NI46" s="7"/>
      <c r="NJ46" s="7"/>
      <c r="NK46" s="7"/>
      <c r="NL46" s="7"/>
      <c r="NM46" s="7"/>
      <c r="NN46" s="7"/>
      <c r="NO46" s="7"/>
      <c r="NP46" s="198"/>
      <c r="NQ46" s="140"/>
      <c r="NR46" s="200"/>
      <c r="NS46" s="7"/>
      <c r="NT46" s="7"/>
      <c r="NU46" s="7"/>
      <c r="NV46" s="7"/>
      <c r="NW46" s="7"/>
      <c r="NX46" s="7"/>
      <c r="NY46" s="7"/>
      <c r="NZ46" s="7"/>
      <c r="OA46" s="7"/>
      <c r="OB46" s="7"/>
      <c r="OC46" s="7"/>
      <c r="OD46" s="7"/>
      <c r="OE46" s="7"/>
      <c r="OF46" s="7"/>
      <c r="OG46" s="7"/>
      <c r="OH46" s="7"/>
      <c r="OI46" s="7"/>
      <c r="OJ46" s="7"/>
      <c r="OK46" s="7"/>
      <c r="OL46" s="7"/>
      <c r="OM46" s="7"/>
      <c r="ON46" s="7"/>
      <c r="OO46" s="7"/>
      <c r="OP46" s="7"/>
      <c r="OQ46" s="7"/>
      <c r="OR46" s="7"/>
      <c r="OS46" s="7"/>
      <c r="OT46" s="7"/>
      <c r="OU46" s="7"/>
      <c r="OV46" s="7"/>
      <c r="OW46" s="7"/>
      <c r="OX46" s="7"/>
      <c r="OY46" s="7"/>
      <c r="OZ46" s="7"/>
      <c r="PA46" s="7"/>
      <c r="PB46" s="36"/>
      <c r="PC46" s="7"/>
      <c r="PD46" s="7"/>
      <c r="PE46" s="7"/>
      <c r="PF46" s="7"/>
      <c r="PG46" s="7"/>
      <c r="PH46" s="7"/>
      <c r="PI46" s="7"/>
      <c r="PJ46" s="7"/>
      <c r="PK46" s="7"/>
      <c r="PL46" s="7"/>
      <c r="PM46" s="7"/>
      <c r="PN46" s="7"/>
      <c r="PO46" s="7"/>
      <c r="PP46" s="7"/>
      <c r="PQ46" s="7"/>
      <c r="PR46" s="7"/>
      <c r="PS46" s="7"/>
      <c r="PT46" s="7"/>
      <c r="PU46" s="7"/>
      <c r="PV46" s="7"/>
      <c r="PW46" s="7"/>
      <c r="PX46" s="7"/>
      <c r="PY46" s="7"/>
      <c r="PZ46" s="7"/>
      <c r="QA46" s="7"/>
      <c r="QB46" s="7"/>
      <c r="QC46" s="7"/>
      <c r="QD46" s="7"/>
      <c r="QE46" s="7"/>
      <c r="QF46" s="7"/>
      <c r="QG46" s="7"/>
      <c r="QH46" s="7"/>
      <c r="QI46" s="7"/>
      <c r="QJ46" s="7"/>
      <c r="QK46" s="7"/>
      <c r="QL46" s="7"/>
      <c r="QM46" s="7"/>
      <c r="QN46" s="7"/>
      <c r="QO46" s="7"/>
      <c r="QP46" s="7"/>
      <c r="QQ46" s="7"/>
      <c r="QR46" s="7"/>
      <c r="QS46" s="7"/>
      <c r="QT46" s="7"/>
      <c r="QU46" s="7"/>
      <c r="QV46" s="7"/>
      <c r="QW46" s="7"/>
      <c r="QX46" s="7"/>
      <c r="QY46" s="7"/>
      <c r="QZ46" s="7"/>
      <c r="RA46" s="7"/>
      <c r="RB46" s="7"/>
      <c r="RC46" s="7"/>
      <c r="RD46" s="7"/>
      <c r="RE46" s="7"/>
      <c r="RF46" s="7"/>
      <c r="RG46" s="140"/>
      <c r="RH46" s="48"/>
      <c r="RI46" s="48"/>
      <c r="RJ46" s="48"/>
      <c r="RK46" s="48"/>
      <c r="RL46" s="48"/>
      <c r="RM46" s="48"/>
      <c r="RN46" s="48"/>
      <c r="RO46" s="48"/>
      <c r="RP46" s="48"/>
      <c r="RQ46" s="48"/>
      <c r="RR46" s="48"/>
      <c r="RS46" s="48"/>
      <c r="RT46" s="48"/>
      <c r="RU46" s="48"/>
      <c r="RV46" s="48"/>
      <c r="RW46" s="48"/>
      <c r="RX46" s="48"/>
      <c r="RY46" s="48"/>
      <c r="RZ46" s="48"/>
      <c r="SA46" s="48"/>
      <c r="SB46" s="48">
        <f>TKA!$G$5</f>
        <v>0</v>
      </c>
      <c r="SC46" s="48">
        <f>TKA!$G$6</f>
        <v>0</v>
      </c>
      <c r="SD46" s="48">
        <f>TKA!$G$7</f>
        <v>0</v>
      </c>
      <c r="SE46" s="48">
        <f>TKA!$G$8</f>
        <v>0</v>
      </c>
      <c r="SF46" s="48">
        <f>TKA!$G$9</f>
        <v>0</v>
      </c>
      <c r="SG46" s="48">
        <f>TKA!$G$10</f>
        <v>0</v>
      </c>
      <c r="SH46" s="48">
        <f>TKA!$G$11</f>
        <v>0</v>
      </c>
      <c r="SI46" s="48">
        <f>TKA!$G$12</f>
        <v>0</v>
      </c>
      <c r="SJ46" s="48">
        <f>TKA!$G$13</f>
        <v>0</v>
      </c>
      <c r="SK46" s="48">
        <f>TKA!$G$14</f>
        <v>0</v>
      </c>
      <c r="SL46" s="48">
        <f>TKA!$G$15</f>
        <v>0</v>
      </c>
      <c r="SM46" s="48">
        <f>TKA!$G$16</f>
        <v>0</v>
      </c>
      <c r="SN46" s="48">
        <f>TKA!$G$17</f>
        <v>0</v>
      </c>
      <c r="SO46" s="48">
        <f>TKA!$G$18</f>
        <v>0</v>
      </c>
      <c r="SP46" s="48">
        <f>TKA!$G$19</f>
        <v>0</v>
      </c>
      <c r="SQ46" s="48">
        <f>TKA!$G$20</f>
        <v>0</v>
      </c>
      <c r="SR46" s="48">
        <f>TKA!$G$21</f>
        <v>0</v>
      </c>
      <c r="SS46" s="48">
        <f>TKA!$G$22</f>
        <v>0</v>
      </c>
      <c r="ST46" s="48">
        <f>TKA!$G$23</f>
        <v>0</v>
      </c>
      <c r="SU46" s="48">
        <f>TKA!$G$24</f>
        <v>0</v>
      </c>
      <c r="SV46" s="7"/>
      <c r="SW46" s="7"/>
      <c r="SX46" s="7"/>
      <c r="SY46" s="7"/>
      <c r="SZ46" s="7"/>
      <c r="TA46" s="7"/>
      <c r="TB46" s="7"/>
      <c r="TC46" s="7"/>
      <c r="TD46" s="36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7"/>
      <c r="YG46" s="7"/>
      <c r="YH46" s="7"/>
      <c r="YI46" s="7"/>
      <c r="YJ46" s="7"/>
      <c r="YK46" s="7"/>
      <c r="YL46" s="7"/>
      <c r="YM46" s="7"/>
      <c r="YN46" s="7"/>
      <c r="YO46" s="7"/>
      <c r="YP46" s="7"/>
      <c r="YQ46" s="7"/>
      <c r="YR46" s="7"/>
      <c r="YS46" s="7"/>
      <c r="YT46" s="7"/>
      <c r="YU46" s="7"/>
      <c r="YV46" s="7"/>
      <c r="YW46" s="7"/>
      <c r="YX46" s="7"/>
      <c r="YY46" s="7"/>
      <c r="YZ46" s="7"/>
      <c r="ZA46" s="7"/>
      <c r="ZB46" s="7"/>
      <c r="ZC46" s="7"/>
      <c r="ZD46" s="7"/>
      <c r="ZE46" s="7"/>
      <c r="ZF46" s="7"/>
      <c r="ZG46" s="7"/>
      <c r="ZH46" s="7"/>
      <c r="ZI46" s="7"/>
      <c r="ZJ46" s="7"/>
      <c r="ZK46" s="7"/>
      <c r="ZL46" s="7"/>
      <c r="ZM46" s="7"/>
      <c r="ZN46" s="7"/>
      <c r="ZO46" s="7"/>
      <c r="ZP46" s="7"/>
      <c r="ZQ46" s="7"/>
      <c r="ZR46" s="7"/>
      <c r="ZS46" s="7"/>
      <c r="ZT46" s="7"/>
      <c r="ZU46" s="7"/>
      <c r="ZV46" s="4"/>
      <c r="ZW46" s="7"/>
      <c r="ZX46" s="7"/>
      <c r="ZY46" s="7"/>
      <c r="ZZ46" s="7"/>
      <c r="AAA46" s="7"/>
      <c r="AAB46" s="7"/>
      <c r="AAC46" s="7"/>
      <c r="AAD46" s="7"/>
      <c r="AAE46" s="7"/>
      <c r="AAF46" s="36"/>
      <c r="AAG46" s="7"/>
      <c r="AAH46" s="7"/>
      <c r="AAI46" s="7"/>
      <c r="AAJ46" s="7"/>
      <c r="AAK46" s="7"/>
      <c r="AAL46" s="7"/>
      <c r="AAM46" s="7"/>
      <c r="AAN46" s="7"/>
      <c r="AAO46" s="7"/>
      <c r="AAP46" s="7"/>
      <c r="AAQ46" s="7"/>
      <c r="AAR46" s="7"/>
      <c r="AAS46" s="7"/>
      <c r="AAT46" s="7"/>
      <c r="AAU46" s="7"/>
      <c r="AAV46" s="7"/>
      <c r="AAW46" s="7"/>
      <c r="AAX46" s="7"/>
      <c r="AAY46" s="7"/>
      <c r="AAZ46" s="4"/>
      <c r="ABA46" s="7"/>
      <c r="ABB46" s="7"/>
      <c r="ABC46" s="7"/>
      <c r="ABD46" s="7"/>
      <c r="ABE46" s="7"/>
      <c r="ABF46" s="7"/>
      <c r="ABG46" s="7"/>
      <c r="ABH46" s="7"/>
      <c r="ABI46" s="7"/>
      <c r="ABJ46" s="7"/>
      <c r="ABK46" s="7"/>
      <c r="ABL46" s="7"/>
      <c r="ABM46" s="7"/>
      <c r="ABN46" s="7"/>
      <c r="ABO46" s="7"/>
      <c r="ABP46" s="7"/>
      <c r="ABQ46" s="7"/>
      <c r="ABR46" s="7"/>
      <c r="ABS46" s="7"/>
      <c r="ABT46" s="7"/>
      <c r="ABU46" s="7"/>
      <c r="ABV46" s="7"/>
      <c r="ABW46" s="7"/>
      <c r="ABX46" s="7"/>
      <c r="ABY46" s="7"/>
      <c r="ABZ46" s="7"/>
      <c r="ACA46" s="7"/>
      <c r="ACB46" s="7"/>
      <c r="ACC46" s="7"/>
      <c r="ACD46" s="7"/>
      <c r="ACE46" s="7"/>
      <c r="ACF46" s="7"/>
      <c r="ACG46" s="7"/>
      <c r="ACH46" s="7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</row>
    <row r="47" spans="1:830" ht="22.5" customHeight="1" x14ac:dyDescent="0.25">
      <c r="A47" s="36"/>
      <c r="B47" s="142" t="s">
        <v>546</v>
      </c>
      <c r="C47" s="160">
        <f>REKAP!$J$6</f>
        <v>0</v>
      </c>
      <c r="D47" s="124"/>
      <c r="E47" s="159"/>
      <c r="F47" s="36"/>
      <c r="G47" s="138" t="s">
        <v>219</v>
      </c>
      <c r="H47" s="4" t="s">
        <v>193</v>
      </c>
      <c r="I47" s="143"/>
      <c r="J47" s="141">
        <f>SUM(SB47:SU47)</f>
        <v>0</v>
      </c>
      <c r="K47" s="7"/>
      <c r="L47" s="7"/>
      <c r="M47" s="7"/>
      <c r="N47" s="130"/>
      <c r="O47" s="7"/>
      <c r="P47" s="7"/>
      <c r="Q47" s="7"/>
      <c r="R47" s="7"/>
      <c r="S47" s="7"/>
      <c r="T47" s="130"/>
      <c r="U47" s="130"/>
      <c r="V47" s="130"/>
      <c r="W47" s="130"/>
      <c r="X47" s="130"/>
      <c r="Y47" s="130"/>
      <c r="Z47" s="130"/>
      <c r="AA47" s="130"/>
      <c r="AB47" s="130"/>
      <c r="AC47" s="130"/>
      <c r="AD47" s="130"/>
      <c r="AE47" s="130"/>
      <c r="AF47" s="130"/>
      <c r="AG47" s="130"/>
      <c r="AH47" s="130"/>
      <c r="AI47" s="130"/>
      <c r="AJ47" s="130"/>
      <c r="AK47" s="130"/>
      <c r="AL47" s="130"/>
      <c r="AM47" s="130"/>
      <c r="AN47" s="130"/>
      <c r="AO47" s="130"/>
      <c r="AP47" s="130"/>
      <c r="AQ47" s="130"/>
      <c r="AR47" s="130"/>
      <c r="AS47" s="130"/>
      <c r="AT47" s="130"/>
      <c r="AU47" s="130"/>
      <c r="AV47" s="130"/>
      <c r="AW47" s="130"/>
      <c r="AX47" s="130"/>
      <c r="AY47" s="130"/>
      <c r="AZ47" s="130"/>
      <c r="BA47" s="130"/>
      <c r="BB47" s="130"/>
      <c r="BC47" s="130"/>
      <c r="BD47" s="130"/>
      <c r="BE47" s="130"/>
      <c r="BF47" s="130"/>
      <c r="BG47" s="130"/>
      <c r="BH47" s="130"/>
      <c r="BI47" s="130"/>
      <c r="BJ47" s="130"/>
      <c r="BK47" s="130"/>
      <c r="BL47" s="130"/>
      <c r="BM47" s="130"/>
      <c r="BN47" s="130"/>
      <c r="BO47" s="130"/>
      <c r="BP47" s="130"/>
      <c r="BQ47" s="130"/>
      <c r="BR47" s="130"/>
      <c r="BS47" s="130"/>
      <c r="BT47" s="130"/>
      <c r="BU47" s="130"/>
      <c r="BV47" s="130"/>
      <c r="BW47" s="130"/>
      <c r="BX47" s="130"/>
      <c r="BY47" s="130"/>
      <c r="BZ47" s="130"/>
      <c r="CA47" s="130"/>
      <c r="CB47" s="130"/>
      <c r="CC47" s="130"/>
      <c r="CD47" s="130"/>
      <c r="CE47" s="130"/>
      <c r="CF47" s="130"/>
      <c r="CG47" s="130"/>
      <c r="CH47" s="130"/>
      <c r="CI47" s="130"/>
      <c r="CJ47" s="129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130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140"/>
      <c r="HC47" s="140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140"/>
      <c r="HU47" s="4"/>
      <c r="HV47" s="4"/>
      <c r="HW47" s="7"/>
      <c r="HX47" s="7"/>
      <c r="HY47" s="7"/>
      <c r="HZ47" s="7"/>
      <c r="IA47" s="7"/>
      <c r="IB47" s="7"/>
      <c r="IC47" s="7"/>
      <c r="ID47" s="130"/>
      <c r="IE47" s="130"/>
      <c r="IF47" s="130"/>
      <c r="IG47" s="130"/>
      <c r="IH47" s="130"/>
      <c r="II47" s="130"/>
      <c r="IJ47" s="130"/>
      <c r="IK47" s="130"/>
      <c r="IL47" s="140"/>
      <c r="IM47" s="130"/>
      <c r="IN47" s="130"/>
      <c r="IO47" s="130"/>
      <c r="IP47" s="130"/>
      <c r="IQ47" s="130"/>
      <c r="IR47" s="130"/>
      <c r="IS47" s="130"/>
      <c r="IT47" s="130"/>
      <c r="IU47" s="130"/>
      <c r="IV47" s="130"/>
      <c r="IW47" s="130"/>
      <c r="IX47" s="130"/>
      <c r="IY47" s="130"/>
      <c r="IZ47" s="130"/>
      <c r="JA47" s="130"/>
      <c r="JB47" s="130"/>
      <c r="JC47" s="140"/>
      <c r="JD47" s="130"/>
      <c r="JE47" s="130"/>
      <c r="JF47" s="130"/>
      <c r="JG47" s="130"/>
      <c r="JH47" s="130"/>
      <c r="JI47" s="130"/>
      <c r="JJ47" s="130"/>
      <c r="JK47" s="130"/>
      <c r="JL47" s="130"/>
      <c r="JM47" s="130"/>
      <c r="JN47" s="130"/>
      <c r="JO47" s="130"/>
      <c r="JP47" s="130"/>
      <c r="JQ47" s="130"/>
      <c r="JR47" s="130"/>
      <c r="JS47" s="130"/>
      <c r="JT47" s="130"/>
      <c r="JU47" s="130"/>
      <c r="JV47" s="130"/>
      <c r="JW47" s="130"/>
      <c r="JX47" s="130"/>
      <c r="JY47" s="130"/>
      <c r="JZ47" s="140"/>
      <c r="KA47" s="7"/>
      <c r="KB47" s="7"/>
      <c r="KC47" s="7"/>
      <c r="KD47" s="7"/>
      <c r="KE47" s="7"/>
      <c r="KF47" s="7"/>
      <c r="KG47" s="140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  <c r="KS47" s="7"/>
      <c r="KT47" s="7"/>
      <c r="KU47" s="7"/>
      <c r="KV47" s="7"/>
      <c r="KW47" s="7"/>
      <c r="KX47" s="7"/>
      <c r="KY47" s="7"/>
      <c r="KZ47" s="7"/>
      <c r="LA47" s="7"/>
      <c r="LB47" s="7"/>
      <c r="LC47" s="7"/>
      <c r="LD47" s="7"/>
      <c r="LE47" s="7"/>
      <c r="LF47" s="7"/>
      <c r="LG47" s="140"/>
      <c r="LH47" s="7"/>
      <c r="LI47" s="7"/>
      <c r="LJ47" s="7"/>
      <c r="LK47" s="7"/>
      <c r="LL47" s="7"/>
      <c r="LM47" s="7"/>
      <c r="LN47" s="7"/>
      <c r="LO47" s="7"/>
      <c r="LP47" s="7"/>
      <c r="LQ47" s="7"/>
      <c r="LR47" s="7"/>
      <c r="LS47" s="7"/>
      <c r="LT47" s="7"/>
      <c r="LU47" s="7"/>
      <c r="LV47" s="7"/>
      <c r="LW47" s="7"/>
      <c r="LX47" s="7"/>
      <c r="LY47" s="7"/>
      <c r="LZ47" s="7"/>
      <c r="MA47" s="140"/>
      <c r="MB47" s="7"/>
      <c r="MC47" s="7"/>
      <c r="MD47" s="7"/>
      <c r="ME47" s="7"/>
      <c r="MF47" s="7"/>
      <c r="MG47" s="140"/>
      <c r="MH47" s="7"/>
      <c r="MI47" s="7"/>
      <c r="MJ47" s="7"/>
      <c r="MK47" s="7"/>
      <c r="ML47" s="7"/>
      <c r="MM47" s="7"/>
      <c r="MN47" s="7"/>
      <c r="MO47" s="7"/>
      <c r="MP47" s="7"/>
      <c r="MQ47" s="7"/>
      <c r="MR47" s="7"/>
      <c r="MS47" s="7"/>
      <c r="MT47" s="7"/>
      <c r="MU47" s="7"/>
      <c r="MV47" s="7"/>
      <c r="MW47" s="7"/>
      <c r="MX47" s="7"/>
      <c r="MY47" s="7"/>
      <c r="MZ47" s="7"/>
      <c r="NA47" s="7"/>
      <c r="NB47" s="7"/>
      <c r="NC47" s="7"/>
      <c r="ND47" s="140"/>
      <c r="NE47" s="7"/>
      <c r="NF47" s="7"/>
      <c r="NG47" s="7"/>
      <c r="NH47" s="7"/>
      <c r="NI47" s="7"/>
      <c r="NJ47" s="7"/>
      <c r="NK47" s="7"/>
      <c r="NL47" s="7"/>
      <c r="NM47" s="7"/>
      <c r="NN47" s="7"/>
      <c r="NO47" s="7"/>
      <c r="NP47" s="198"/>
      <c r="NQ47" s="140"/>
      <c r="NR47" s="200"/>
      <c r="NS47" s="7"/>
      <c r="NT47" s="7"/>
      <c r="NU47" s="7"/>
      <c r="NV47" s="7"/>
      <c r="NW47" s="7"/>
      <c r="NX47" s="7"/>
      <c r="NY47" s="7"/>
      <c r="NZ47" s="7"/>
      <c r="OA47" s="7"/>
      <c r="OB47" s="7"/>
      <c r="OC47" s="7"/>
      <c r="OD47" s="7"/>
      <c r="OE47" s="7"/>
      <c r="OF47" s="7"/>
      <c r="OG47" s="7"/>
      <c r="OH47" s="7"/>
      <c r="OI47" s="7"/>
      <c r="OJ47" s="7"/>
      <c r="OK47" s="7"/>
      <c r="OL47" s="7"/>
      <c r="OM47" s="7"/>
      <c r="ON47" s="7"/>
      <c r="OO47" s="7"/>
      <c r="OP47" s="7"/>
      <c r="OQ47" s="7"/>
      <c r="OR47" s="7"/>
      <c r="OS47" s="7"/>
      <c r="OT47" s="7"/>
      <c r="OU47" s="7"/>
      <c r="OV47" s="7"/>
      <c r="OW47" s="7"/>
      <c r="OX47" s="7"/>
      <c r="OY47" s="7"/>
      <c r="OZ47" s="7"/>
      <c r="PA47" s="7"/>
      <c r="PB47" s="36"/>
      <c r="PC47" s="7"/>
      <c r="PD47" s="7"/>
      <c r="PE47" s="7"/>
      <c r="PF47" s="7"/>
      <c r="PG47" s="7"/>
      <c r="PH47" s="7"/>
      <c r="PI47" s="7"/>
      <c r="PJ47" s="7"/>
      <c r="PK47" s="7"/>
      <c r="PL47" s="7"/>
      <c r="PM47" s="7"/>
      <c r="PN47" s="7"/>
      <c r="PO47" s="7"/>
      <c r="PP47" s="7"/>
      <c r="PQ47" s="7"/>
      <c r="PR47" s="7"/>
      <c r="PS47" s="7"/>
      <c r="PT47" s="7"/>
      <c r="PU47" s="7"/>
      <c r="PV47" s="7"/>
      <c r="PW47" s="7"/>
      <c r="PX47" s="7"/>
      <c r="PY47" s="7"/>
      <c r="PZ47" s="7"/>
      <c r="QA47" s="7"/>
      <c r="QB47" s="7"/>
      <c r="QC47" s="7"/>
      <c r="QD47" s="7"/>
      <c r="QE47" s="7"/>
      <c r="QF47" s="7"/>
      <c r="QG47" s="7"/>
      <c r="QH47" s="7"/>
      <c r="QI47" s="7"/>
      <c r="QJ47" s="7"/>
      <c r="QK47" s="7"/>
      <c r="QL47" s="7"/>
      <c r="QM47" s="7"/>
      <c r="QN47" s="7"/>
      <c r="QO47" s="7"/>
      <c r="QP47" s="7"/>
      <c r="QQ47" s="7"/>
      <c r="QR47" s="7"/>
      <c r="QS47" s="7"/>
      <c r="QT47" s="7"/>
      <c r="QU47" s="7"/>
      <c r="QV47" s="7"/>
      <c r="QW47" s="7"/>
      <c r="QX47" s="7"/>
      <c r="QY47" s="7"/>
      <c r="QZ47" s="7"/>
      <c r="RA47" s="7"/>
      <c r="RB47" s="7"/>
      <c r="RC47" s="7"/>
      <c r="RD47" s="7"/>
      <c r="RE47" s="7"/>
      <c r="RF47" s="7"/>
      <c r="RG47" s="140"/>
      <c r="RH47" s="48"/>
      <c r="RI47" s="48"/>
      <c r="RJ47" s="48"/>
      <c r="RK47" s="48"/>
      <c r="RL47" s="48"/>
      <c r="RM47" s="48"/>
      <c r="RN47" s="48"/>
      <c r="RO47" s="48"/>
      <c r="RP47" s="48"/>
      <c r="RQ47" s="48"/>
      <c r="RR47" s="48"/>
      <c r="RS47" s="48"/>
      <c r="RT47" s="48"/>
      <c r="RU47" s="48"/>
      <c r="RV47" s="48"/>
      <c r="RW47" s="48"/>
      <c r="RX47" s="48"/>
      <c r="RY47" s="48"/>
      <c r="RZ47" s="48"/>
      <c r="SA47" s="48"/>
      <c r="SB47" s="130">
        <f>ROUND(SB67,0)</f>
        <v>0</v>
      </c>
      <c r="SC47" s="130">
        <f t="shared" ref="SC47:SU47" si="162">ROUND(SC67,0)</f>
        <v>0</v>
      </c>
      <c r="SD47" s="130">
        <f t="shared" si="162"/>
        <v>0</v>
      </c>
      <c r="SE47" s="130">
        <f t="shared" si="162"/>
        <v>0</v>
      </c>
      <c r="SF47" s="130">
        <f t="shared" si="162"/>
        <v>0</v>
      </c>
      <c r="SG47" s="130">
        <f t="shared" si="162"/>
        <v>0</v>
      </c>
      <c r="SH47" s="130">
        <f t="shared" si="162"/>
        <v>0</v>
      </c>
      <c r="SI47" s="130">
        <f t="shared" si="162"/>
        <v>0</v>
      </c>
      <c r="SJ47" s="130">
        <f t="shared" si="162"/>
        <v>0</v>
      </c>
      <c r="SK47" s="130">
        <f t="shared" si="162"/>
        <v>0</v>
      </c>
      <c r="SL47" s="130">
        <f t="shared" si="162"/>
        <v>0</v>
      </c>
      <c r="SM47" s="130">
        <f t="shared" si="162"/>
        <v>0</v>
      </c>
      <c r="SN47" s="130">
        <f t="shared" si="162"/>
        <v>0</v>
      </c>
      <c r="SO47" s="130">
        <f t="shared" si="162"/>
        <v>0</v>
      </c>
      <c r="SP47" s="130">
        <f t="shared" si="162"/>
        <v>0</v>
      </c>
      <c r="SQ47" s="130">
        <f t="shared" si="162"/>
        <v>0</v>
      </c>
      <c r="SR47" s="130">
        <f t="shared" si="162"/>
        <v>0</v>
      </c>
      <c r="SS47" s="130">
        <f t="shared" si="162"/>
        <v>0</v>
      </c>
      <c r="ST47" s="130">
        <f t="shared" si="162"/>
        <v>0</v>
      </c>
      <c r="SU47" s="130">
        <f t="shared" si="162"/>
        <v>0</v>
      </c>
      <c r="SV47" s="7"/>
      <c r="SW47" s="7"/>
      <c r="SX47" s="7"/>
      <c r="SY47" s="7"/>
      <c r="SZ47" s="7"/>
      <c r="TA47" s="7"/>
      <c r="TB47" s="7"/>
      <c r="TC47" s="7"/>
      <c r="TD47" s="36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7"/>
      <c r="YG47" s="7"/>
      <c r="YH47" s="7"/>
      <c r="YI47" s="7"/>
      <c r="YJ47" s="7"/>
      <c r="YK47" s="7"/>
      <c r="YL47" s="7"/>
      <c r="YM47" s="7"/>
      <c r="YN47" s="7"/>
      <c r="YO47" s="7"/>
      <c r="YP47" s="7"/>
      <c r="YQ47" s="7"/>
      <c r="YR47" s="7"/>
      <c r="YS47" s="7"/>
      <c r="YT47" s="7"/>
      <c r="YU47" s="7"/>
      <c r="YV47" s="7"/>
      <c r="YW47" s="7"/>
      <c r="YX47" s="7"/>
      <c r="YY47" s="7"/>
      <c r="YZ47" s="7"/>
      <c r="ZA47" s="7"/>
      <c r="ZB47" s="7"/>
      <c r="ZC47" s="7"/>
      <c r="ZD47" s="7"/>
      <c r="ZE47" s="7"/>
      <c r="ZF47" s="7"/>
      <c r="ZG47" s="7"/>
      <c r="ZH47" s="7"/>
      <c r="ZI47" s="7"/>
      <c r="ZJ47" s="7"/>
      <c r="ZK47" s="7"/>
      <c r="ZL47" s="7"/>
      <c r="ZM47" s="7"/>
      <c r="ZN47" s="7"/>
      <c r="ZO47" s="7"/>
      <c r="ZP47" s="7"/>
      <c r="ZQ47" s="7"/>
      <c r="ZR47" s="7"/>
      <c r="ZS47" s="7"/>
      <c r="ZT47" s="7"/>
      <c r="ZU47" s="7"/>
      <c r="ZV47" s="4"/>
      <c r="ZW47" s="7"/>
      <c r="ZX47" s="7"/>
      <c r="ZY47" s="7"/>
      <c r="ZZ47" s="7"/>
      <c r="AAA47" s="7"/>
      <c r="AAB47" s="7"/>
      <c r="AAC47" s="7"/>
      <c r="AAD47" s="7"/>
      <c r="AAE47" s="7"/>
      <c r="AAF47" s="36"/>
      <c r="AAG47" s="7"/>
      <c r="AAH47" s="7"/>
      <c r="AAI47" s="7"/>
      <c r="AAJ47" s="7"/>
      <c r="AAK47" s="7"/>
      <c r="AAL47" s="7"/>
      <c r="AAM47" s="7"/>
      <c r="AAN47" s="7"/>
      <c r="AAO47" s="7"/>
      <c r="AAP47" s="7"/>
      <c r="AAQ47" s="7"/>
      <c r="AAR47" s="7"/>
      <c r="AAS47" s="7"/>
      <c r="AAT47" s="7"/>
      <c r="AAU47" s="7"/>
      <c r="AAV47" s="7"/>
      <c r="AAW47" s="7"/>
      <c r="AAX47" s="7"/>
      <c r="AAY47" s="7"/>
      <c r="AAZ47" s="4"/>
      <c r="ABA47" s="7"/>
      <c r="ABB47" s="7"/>
      <c r="ABC47" s="7"/>
      <c r="ABD47" s="7"/>
      <c r="ABE47" s="7"/>
      <c r="ABF47" s="7"/>
      <c r="ABG47" s="7"/>
      <c r="ABH47" s="7"/>
      <c r="ABI47" s="7"/>
      <c r="ABJ47" s="7"/>
      <c r="ABK47" s="7"/>
      <c r="ABL47" s="7"/>
      <c r="ABM47" s="7"/>
      <c r="ABN47" s="7"/>
      <c r="ABO47" s="7"/>
      <c r="ABP47" s="7"/>
      <c r="ABQ47" s="7"/>
      <c r="ABR47" s="7"/>
      <c r="ABS47" s="7"/>
      <c r="ABT47" s="7"/>
      <c r="ABU47" s="7"/>
      <c r="ABV47" s="7"/>
      <c r="ABW47" s="7"/>
      <c r="ABX47" s="7"/>
      <c r="ABY47" s="7"/>
      <c r="ABZ47" s="7"/>
      <c r="ACA47" s="7"/>
      <c r="ACB47" s="7"/>
      <c r="ACC47" s="7"/>
      <c r="ACD47" s="7"/>
      <c r="ACE47" s="7"/>
      <c r="ACF47" s="7"/>
      <c r="ACG47" s="7"/>
      <c r="ACH47" s="7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</row>
    <row r="48" spans="1:830" ht="22.5" customHeight="1" x14ac:dyDescent="0.25">
      <c r="A48" s="36"/>
      <c r="B48" s="142" t="s">
        <v>546</v>
      </c>
      <c r="C48" s="160">
        <f>REKAP!$J$6</f>
        <v>0</v>
      </c>
      <c r="D48" s="124"/>
      <c r="E48" s="159"/>
      <c r="F48" s="36"/>
      <c r="G48" s="138" t="s">
        <v>219</v>
      </c>
      <c r="H48" s="4" t="s">
        <v>220</v>
      </c>
      <c r="I48" s="143"/>
      <c r="J48" s="288">
        <f>SUM(SB48:SU48)</f>
        <v>0</v>
      </c>
      <c r="K48" s="7"/>
      <c r="L48" s="7"/>
      <c r="M48" s="7"/>
      <c r="N48" s="130"/>
      <c r="O48" s="7"/>
      <c r="P48" s="7"/>
      <c r="Q48" s="7"/>
      <c r="R48" s="7"/>
      <c r="S48" s="7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0"/>
      <c r="AX48" s="130"/>
      <c r="AY48" s="130"/>
      <c r="AZ48" s="130"/>
      <c r="BA48" s="130"/>
      <c r="BB48" s="130"/>
      <c r="BC48" s="130"/>
      <c r="BD48" s="130"/>
      <c r="BE48" s="130"/>
      <c r="BF48" s="130"/>
      <c r="BG48" s="130"/>
      <c r="BH48" s="130"/>
      <c r="BI48" s="130"/>
      <c r="BJ48" s="130"/>
      <c r="BK48" s="130"/>
      <c r="BL48" s="130"/>
      <c r="BM48" s="130"/>
      <c r="BN48" s="130"/>
      <c r="BO48" s="130"/>
      <c r="BP48" s="130"/>
      <c r="BQ48" s="130"/>
      <c r="BR48" s="130"/>
      <c r="BS48" s="130"/>
      <c r="BT48" s="130"/>
      <c r="BU48" s="130"/>
      <c r="BV48" s="130"/>
      <c r="BW48" s="130"/>
      <c r="BX48" s="130"/>
      <c r="BY48" s="130"/>
      <c r="BZ48" s="130"/>
      <c r="CA48" s="130"/>
      <c r="CB48" s="130"/>
      <c r="CC48" s="130"/>
      <c r="CD48" s="130"/>
      <c r="CE48" s="130"/>
      <c r="CF48" s="130"/>
      <c r="CG48" s="130"/>
      <c r="CH48" s="130"/>
      <c r="CI48" s="130"/>
      <c r="CJ48" s="129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130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140"/>
      <c r="HC48" s="140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140"/>
      <c r="HU48" s="4"/>
      <c r="HV48" s="4"/>
      <c r="HW48" s="7"/>
      <c r="HX48" s="7"/>
      <c r="HY48" s="7"/>
      <c r="HZ48" s="7"/>
      <c r="IA48" s="7"/>
      <c r="IB48" s="7"/>
      <c r="IC48" s="7"/>
      <c r="ID48" s="130"/>
      <c r="IE48" s="130"/>
      <c r="IF48" s="130"/>
      <c r="IG48" s="130"/>
      <c r="IH48" s="130"/>
      <c r="II48" s="130"/>
      <c r="IJ48" s="130"/>
      <c r="IK48" s="130"/>
      <c r="IL48" s="140"/>
      <c r="IM48" s="130"/>
      <c r="IN48" s="130"/>
      <c r="IO48" s="130"/>
      <c r="IP48" s="130"/>
      <c r="IQ48" s="130"/>
      <c r="IR48" s="130"/>
      <c r="IS48" s="130"/>
      <c r="IT48" s="130"/>
      <c r="IU48" s="130"/>
      <c r="IV48" s="130"/>
      <c r="IW48" s="130"/>
      <c r="IX48" s="130"/>
      <c r="IY48" s="130"/>
      <c r="IZ48" s="130"/>
      <c r="JA48" s="130"/>
      <c r="JB48" s="130"/>
      <c r="JC48" s="140"/>
      <c r="JD48" s="130"/>
      <c r="JE48" s="130"/>
      <c r="JF48" s="130"/>
      <c r="JG48" s="130"/>
      <c r="JH48" s="130"/>
      <c r="JI48" s="130"/>
      <c r="JJ48" s="130"/>
      <c r="JK48" s="130"/>
      <c r="JL48" s="130"/>
      <c r="JM48" s="130"/>
      <c r="JN48" s="130"/>
      <c r="JO48" s="130"/>
      <c r="JP48" s="130"/>
      <c r="JQ48" s="130"/>
      <c r="JR48" s="130"/>
      <c r="JS48" s="130"/>
      <c r="JT48" s="130"/>
      <c r="JU48" s="130"/>
      <c r="JV48" s="130"/>
      <c r="JW48" s="130"/>
      <c r="JX48" s="130"/>
      <c r="JY48" s="130"/>
      <c r="JZ48" s="140"/>
      <c r="KA48" s="7"/>
      <c r="KB48" s="7"/>
      <c r="KC48" s="7"/>
      <c r="KD48" s="7"/>
      <c r="KE48" s="7"/>
      <c r="KF48" s="7"/>
      <c r="KG48" s="140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  <c r="KS48" s="7"/>
      <c r="KT48" s="7"/>
      <c r="KU48" s="7"/>
      <c r="KV48" s="7"/>
      <c r="KW48" s="7"/>
      <c r="KX48" s="7"/>
      <c r="KY48" s="7"/>
      <c r="KZ48" s="7"/>
      <c r="LA48" s="7"/>
      <c r="LB48" s="7"/>
      <c r="LC48" s="7"/>
      <c r="LD48" s="7"/>
      <c r="LE48" s="7"/>
      <c r="LF48" s="7"/>
      <c r="LG48" s="140"/>
      <c r="LH48" s="7"/>
      <c r="LI48" s="7"/>
      <c r="LJ48" s="7"/>
      <c r="LK48" s="7"/>
      <c r="LL48" s="7"/>
      <c r="LM48" s="7"/>
      <c r="LN48" s="7"/>
      <c r="LO48" s="7"/>
      <c r="LP48" s="7"/>
      <c r="LQ48" s="7"/>
      <c r="LR48" s="7"/>
      <c r="LS48" s="7"/>
      <c r="LT48" s="7"/>
      <c r="LU48" s="7"/>
      <c r="LV48" s="7"/>
      <c r="LW48" s="7"/>
      <c r="LX48" s="7"/>
      <c r="LY48" s="7"/>
      <c r="LZ48" s="7"/>
      <c r="MA48" s="140"/>
      <c r="MB48" s="7"/>
      <c r="MC48" s="7"/>
      <c r="MD48" s="7"/>
      <c r="ME48" s="7"/>
      <c r="MF48" s="7"/>
      <c r="MG48" s="140"/>
      <c r="MH48" s="7"/>
      <c r="MI48" s="7"/>
      <c r="MJ48" s="7"/>
      <c r="MK48" s="7"/>
      <c r="ML48" s="7"/>
      <c r="MM48" s="7"/>
      <c r="MN48" s="7"/>
      <c r="MO48" s="7"/>
      <c r="MP48" s="7"/>
      <c r="MQ48" s="7"/>
      <c r="MR48" s="7"/>
      <c r="MS48" s="7"/>
      <c r="MT48" s="7"/>
      <c r="MU48" s="7"/>
      <c r="MV48" s="7"/>
      <c r="MW48" s="7"/>
      <c r="MX48" s="7"/>
      <c r="MY48" s="7"/>
      <c r="MZ48" s="7"/>
      <c r="NA48" s="7"/>
      <c r="NB48" s="7"/>
      <c r="NC48" s="7"/>
      <c r="ND48" s="140"/>
      <c r="NE48" s="7"/>
      <c r="NF48" s="7"/>
      <c r="NG48" s="7"/>
      <c r="NH48" s="7"/>
      <c r="NI48" s="7"/>
      <c r="NJ48" s="7"/>
      <c r="NK48" s="7"/>
      <c r="NL48" s="7"/>
      <c r="NM48" s="7"/>
      <c r="NN48" s="7"/>
      <c r="NO48" s="7"/>
      <c r="NP48" s="198"/>
      <c r="NQ48" s="140"/>
      <c r="NR48" s="200"/>
      <c r="NS48" s="7"/>
      <c r="NT48" s="7"/>
      <c r="NU48" s="7"/>
      <c r="NV48" s="7"/>
      <c r="NW48" s="7"/>
      <c r="NX48" s="7"/>
      <c r="NY48" s="7"/>
      <c r="NZ48" s="7"/>
      <c r="OA48" s="7"/>
      <c r="OB48" s="7"/>
      <c r="OC48" s="7"/>
      <c r="OD48" s="7"/>
      <c r="OE48" s="7"/>
      <c r="OF48" s="7"/>
      <c r="OG48" s="7"/>
      <c r="OH48" s="7"/>
      <c r="OI48" s="7"/>
      <c r="OJ48" s="7"/>
      <c r="OK48" s="7"/>
      <c r="OL48" s="7"/>
      <c r="OM48" s="7"/>
      <c r="ON48" s="7"/>
      <c r="OO48" s="7"/>
      <c r="OP48" s="7"/>
      <c r="OQ48" s="7"/>
      <c r="OR48" s="7"/>
      <c r="OS48" s="7"/>
      <c r="OT48" s="7"/>
      <c r="OU48" s="7"/>
      <c r="OV48" s="7"/>
      <c r="OW48" s="7"/>
      <c r="OX48" s="7"/>
      <c r="OY48" s="7"/>
      <c r="OZ48" s="7"/>
      <c r="PA48" s="7"/>
      <c r="PB48" s="36"/>
      <c r="PC48" s="7"/>
      <c r="PD48" s="7"/>
      <c r="PE48" s="7"/>
      <c r="PF48" s="7"/>
      <c r="PG48" s="7"/>
      <c r="PH48" s="7"/>
      <c r="PI48" s="7"/>
      <c r="PJ48" s="7"/>
      <c r="PK48" s="7"/>
      <c r="PL48" s="7"/>
      <c r="PM48" s="7"/>
      <c r="PN48" s="7"/>
      <c r="PO48" s="7"/>
      <c r="PP48" s="7"/>
      <c r="PQ48" s="7"/>
      <c r="PR48" s="7"/>
      <c r="PS48" s="7"/>
      <c r="PT48" s="7"/>
      <c r="PU48" s="7"/>
      <c r="PV48" s="7"/>
      <c r="PW48" s="7"/>
      <c r="PX48" s="7"/>
      <c r="PY48" s="7"/>
      <c r="PZ48" s="7"/>
      <c r="QA48" s="7"/>
      <c r="QB48" s="7"/>
      <c r="QC48" s="7"/>
      <c r="QD48" s="7"/>
      <c r="QE48" s="7"/>
      <c r="QF48" s="7"/>
      <c r="QG48" s="7"/>
      <c r="QH48" s="7"/>
      <c r="QI48" s="7"/>
      <c r="QJ48" s="7"/>
      <c r="QK48" s="7"/>
      <c r="QL48" s="7"/>
      <c r="QM48" s="7"/>
      <c r="QN48" s="7"/>
      <c r="QO48" s="7"/>
      <c r="QP48" s="7"/>
      <c r="QQ48" s="7"/>
      <c r="QR48" s="7"/>
      <c r="QS48" s="7"/>
      <c r="QT48" s="7"/>
      <c r="QU48" s="7"/>
      <c r="QV48" s="7"/>
      <c r="QW48" s="7"/>
      <c r="QX48" s="7"/>
      <c r="QY48" s="7"/>
      <c r="QZ48" s="7"/>
      <c r="RA48" s="7"/>
      <c r="RB48" s="7"/>
      <c r="RC48" s="7"/>
      <c r="RD48" s="7"/>
      <c r="RE48" s="7"/>
      <c r="RF48" s="7"/>
      <c r="RG48" s="140"/>
      <c r="RH48" s="48"/>
      <c r="RI48" s="48"/>
      <c r="RJ48" s="48"/>
      <c r="RK48" s="48"/>
      <c r="RL48" s="48"/>
      <c r="RM48" s="48"/>
      <c r="RN48" s="48"/>
      <c r="RO48" s="48"/>
      <c r="RP48" s="48"/>
      <c r="RQ48" s="48"/>
      <c r="RR48" s="48"/>
      <c r="RS48" s="48"/>
      <c r="RT48" s="48"/>
      <c r="RU48" s="48"/>
      <c r="RV48" s="48"/>
      <c r="RW48" s="48"/>
      <c r="RX48" s="48"/>
      <c r="RY48" s="48"/>
      <c r="RZ48" s="48"/>
      <c r="SA48" s="48"/>
      <c r="SB48" s="48">
        <f>TKA!$I$5</f>
        <v>0</v>
      </c>
      <c r="SC48" s="48">
        <f>TKA!$I$6</f>
        <v>0</v>
      </c>
      <c r="SD48" s="48">
        <f>TKA!$I$7</f>
        <v>0</v>
      </c>
      <c r="SE48" s="48">
        <f>TKA!$I$8</f>
        <v>0</v>
      </c>
      <c r="SF48" s="48">
        <f>TKA!$I$9</f>
        <v>0</v>
      </c>
      <c r="SG48" s="48">
        <f>TKA!$I$10</f>
        <v>0</v>
      </c>
      <c r="SH48" s="48">
        <f>TKA!$I$11</f>
        <v>0</v>
      </c>
      <c r="SI48" s="48">
        <f>TKA!$I$12</f>
        <v>0</v>
      </c>
      <c r="SJ48" s="48">
        <f>TKA!$I$13</f>
        <v>0</v>
      </c>
      <c r="SK48" s="48">
        <f>TKA!$I$14</f>
        <v>0</v>
      </c>
      <c r="SL48" s="48">
        <f>TKA!$I$15</f>
        <v>0</v>
      </c>
      <c r="SM48" s="48">
        <f>TKA!$I$16</f>
        <v>0</v>
      </c>
      <c r="SN48" s="48">
        <f>TKA!$I$17</f>
        <v>0</v>
      </c>
      <c r="SO48" s="48">
        <f>TKA!$I$18</f>
        <v>0</v>
      </c>
      <c r="SP48" s="48">
        <f>TKA!$I$19</f>
        <v>0</v>
      </c>
      <c r="SQ48" s="48">
        <f>TKA!$I$20</f>
        <v>0</v>
      </c>
      <c r="SR48" s="48">
        <f>TKA!$I$21</f>
        <v>0</v>
      </c>
      <c r="SS48" s="48">
        <f>TKA!$I$22</f>
        <v>0</v>
      </c>
      <c r="ST48" s="48">
        <f>TKA!$I$23</f>
        <v>0</v>
      </c>
      <c r="SU48" s="48">
        <f>TKA!$I$24</f>
        <v>0</v>
      </c>
      <c r="SV48" s="7"/>
      <c r="SW48" s="7"/>
      <c r="SX48" s="7"/>
      <c r="SY48" s="7"/>
      <c r="SZ48" s="7"/>
      <c r="TA48" s="7"/>
      <c r="TB48" s="7"/>
      <c r="TC48" s="7"/>
      <c r="TD48" s="36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7"/>
      <c r="YG48" s="7"/>
      <c r="YH48" s="7"/>
      <c r="YI48" s="7"/>
      <c r="YJ48" s="7"/>
      <c r="YK48" s="7"/>
      <c r="YL48" s="7"/>
      <c r="YM48" s="7"/>
      <c r="YN48" s="7"/>
      <c r="YO48" s="7"/>
      <c r="YP48" s="7"/>
      <c r="YQ48" s="7"/>
      <c r="YR48" s="7"/>
      <c r="YS48" s="7"/>
      <c r="YT48" s="7"/>
      <c r="YU48" s="7"/>
      <c r="YV48" s="7"/>
      <c r="YW48" s="7"/>
      <c r="YX48" s="7"/>
      <c r="YY48" s="7"/>
      <c r="YZ48" s="7"/>
      <c r="ZA48" s="7"/>
      <c r="ZB48" s="7"/>
      <c r="ZC48" s="7"/>
      <c r="ZD48" s="7"/>
      <c r="ZE48" s="7"/>
      <c r="ZF48" s="7"/>
      <c r="ZG48" s="7"/>
      <c r="ZH48" s="7"/>
      <c r="ZI48" s="7"/>
      <c r="ZJ48" s="7"/>
      <c r="ZK48" s="7"/>
      <c r="ZL48" s="7"/>
      <c r="ZM48" s="7"/>
      <c r="ZN48" s="7"/>
      <c r="ZO48" s="7"/>
      <c r="ZP48" s="7"/>
      <c r="ZQ48" s="7"/>
      <c r="ZR48" s="7"/>
      <c r="ZS48" s="7"/>
      <c r="ZT48" s="7"/>
      <c r="ZU48" s="7"/>
      <c r="ZV48" s="4"/>
      <c r="ZW48" s="7"/>
      <c r="ZX48" s="7"/>
      <c r="ZY48" s="7"/>
      <c r="ZZ48" s="7"/>
      <c r="AAA48" s="7"/>
      <c r="AAB48" s="7"/>
      <c r="AAC48" s="7"/>
      <c r="AAD48" s="7"/>
      <c r="AAE48" s="7"/>
      <c r="AAF48" s="36"/>
      <c r="AAG48" s="7"/>
      <c r="AAH48" s="7"/>
      <c r="AAI48" s="7"/>
      <c r="AAJ48" s="7"/>
      <c r="AAK48" s="7"/>
      <c r="AAL48" s="7"/>
      <c r="AAM48" s="7"/>
      <c r="AAN48" s="7"/>
      <c r="AAO48" s="7"/>
      <c r="AAP48" s="7"/>
      <c r="AAQ48" s="7"/>
      <c r="AAR48" s="7"/>
      <c r="AAS48" s="7"/>
      <c r="AAT48" s="7"/>
      <c r="AAU48" s="7"/>
      <c r="AAV48" s="7"/>
      <c r="AAW48" s="7"/>
      <c r="AAX48" s="7"/>
      <c r="AAY48" s="7"/>
      <c r="AAZ48" s="4"/>
      <c r="ABA48" s="7"/>
      <c r="ABB48" s="7"/>
      <c r="ABC48" s="7"/>
      <c r="ABD48" s="7"/>
      <c r="ABE48" s="7"/>
      <c r="ABF48" s="7"/>
      <c r="ABG48" s="7"/>
      <c r="ABH48" s="7"/>
      <c r="ABI48" s="7"/>
      <c r="ABJ48" s="7"/>
      <c r="ABK48" s="7"/>
      <c r="ABL48" s="7"/>
      <c r="ABM48" s="7"/>
      <c r="ABN48" s="7"/>
      <c r="ABO48" s="7"/>
      <c r="ABP48" s="7"/>
      <c r="ABQ48" s="7"/>
      <c r="ABR48" s="7"/>
      <c r="ABS48" s="7"/>
      <c r="ABT48" s="7"/>
      <c r="ABU48" s="7"/>
      <c r="ABV48" s="7"/>
      <c r="ABW48" s="7"/>
      <c r="ABX48" s="7"/>
      <c r="ABY48" s="7"/>
      <c r="ABZ48" s="7"/>
      <c r="ACA48" s="7"/>
      <c r="ACB48" s="7"/>
      <c r="ACC48" s="7"/>
      <c r="ACD48" s="7"/>
      <c r="ACE48" s="7"/>
      <c r="ACF48" s="7"/>
      <c r="ACG48" s="7"/>
      <c r="ACH48" s="7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</row>
    <row r="49" spans="1:830" ht="22.5" customHeight="1" x14ac:dyDescent="0.25">
      <c r="A49" s="36"/>
      <c r="B49" s="142"/>
      <c r="C49" s="160"/>
      <c r="D49" s="124"/>
      <c r="E49" s="159"/>
      <c r="F49" s="36"/>
      <c r="G49" s="138"/>
      <c r="H49" s="4"/>
      <c r="I49" s="143"/>
      <c r="J49" s="141"/>
      <c r="K49" s="7"/>
      <c r="L49" s="7"/>
      <c r="M49" s="7"/>
      <c r="N49" s="130"/>
      <c r="O49" s="7"/>
      <c r="P49" s="7"/>
      <c r="Q49" s="7"/>
      <c r="R49" s="7"/>
      <c r="S49" s="7"/>
      <c r="T49" s="130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130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130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140"/>
      <c r="CA49" s="7"/>
      <c r="CB49" s="7"/>
      <c r="CC49" s="7"/>
      <c r="CD49" s="7"/>
      <c r="CE49" s="7"/>
      <c r="CF49" s="7"/>
      <c r="CG49" s="7"/>
      <c r="CH49" s="7"/>
      <c r="CI49" s="7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29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30"/>
      <c r="DF49" s="130"/>
      <c r="DG49" s="130"/>
      <c r="DH49" s="130"/>
      <c r="DI49" s="130"/>
      <c r="DJ49" s="130"/>
      <c r="DK49" s="130"/>
      <c r="DL49" s="130"/>
      <c r="DM49" s="130"/>
      <c r="DN49" s="130"/>
      <c r="DO49" s="130"/>
      <c r="DP49" s="130"/>
      <c r="DQ49" s="130"/>
      <c r="DR49" s="130"/>
      <c r="DS49" s="130"/>
      <c r="DT49" s="130"/>
      <c r="DU49" s="130"/>
      <c r="DV49" s="130"/>
      <c r="DW49" s="130"/>
      <c r="DX49" s="130"/>
      <c r="DY49" s="130"/>
      <c r="DZ49" s="130"/>
      <c r="EA49" s="130"/>
      <c r="EB49" s="130"/>
      <c r="EC49" s="130"/>
      <c r="ED49" s="130"/>
      <c r="EE49" s="130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130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140"/>
      <c r="HC49" s="140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140"/>
      <c r="HU49" s="4"/>
      <c r="HV49" s="4"/>
      <c r="HW49" s="7"/>
      <c r="HX49" s="7"/>
      <c r="HY49" s="7"/>
      <c r="HZ49" s="7"/>
      <c r="IA49" s="7"/>
      <c r="IB49" s="7"/>
      <c r="IC49" s="7"/>
      <c r="ID49" s="130"/>
      <c r="IE49" s="130"/>
      <c r="IF49" s="130"/>
      <c r="IG49" s="130"/>
      <c r="IH49" s="130"/>
      <c r="II49" s="130"/>
      <c r="IJ49" s="130"/>
      <c r="IK49" s="130"/>
      <c r="IL49" s="140"/>
      <c r="IM49" s="130"/>
      <c r="IN49" s="130"/>
      <c r="IO49" s="130"/>
      <c r="IP49" s="130"/>
      <c r="IQ49" s="130"/>
      <c r="IR49" s="130"/>
      <c r="IS49" s="130"/>
      <c r="IT49" s="130"/>
      <c r="IU49" s="130"/>
      <c r="IV49" s="130"/>
      <c r="IW49" s="130"/>
      <c r="IX49" s="130"/>
      <c r="IY49" s="130"/>
      <c r="IZ49" s="130"/>
      <c r="JA49" s="130"/>
      <c r="JB49" s="130"/>
      <c r="JC49" s="140"/>
      <c r="JD49" s="130"/>
      <c r="JE49" s="130"/>
      <c r="JF49" s="130"/>
      <c r="JG49" s="130"/>
      <c r="JH49" s="130"/>
      <c r="JI49" s="130"/>
      <c r="JJ49" s="130"/>
      <c r="JK49" s="130"/>
      <c r="JL49" s="130"/>
      <c r="JM49" s="130"/>
      <c r="JN49" s="130"/>
      <c r="JO49" s="130"/>
      <c r="JP49" s="130"/>
      <c r="JQ49" s="130"/>
      <c r="JR49" s="130"/>
      <c r="JS49" s="130"/>
      <c r="JT49" s="130"/>
      <c r="JU49" s="130"/>
      <c r="JV49" s="130"/>
      <c r="JW49" s="130"/>
      <c r="JX49" s="130"/>
      <c r="JY49" s="130"/>
      <c r="JZ49" s="7"/>
      <c r="KA49" s="7"/>
      <c r="KB49" s="7"/>
      <c r="KC49" s="7"/>
      <c r="KD49" s="7"/>
      <c r="KE49" s="7"/>
      <c r="KF49" s="7"/>
      <c r="KG49" s="140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  <c r="KS49" s="7"/>
      <c r="KT49" s="7"/>
      <c r="KU49" s="7"/>
      <c r="KV49" s="7"/>
      <c r="KW49" s="7"/>
      <c r="KX49" s="7"/>
      <c r="KY49" s="7"/>
      <c r="KZ49" s="7"/>
      <c r="LA49" s="7"/>
      <c r="LB49" s="7"/>
      <c r="LC49" s="7"/>
      <c r="LD49" s="7"/>
      <c r="LE49" s="7"/>
      <c r="LF49" s="7"/>
      <c r="LG49" s="7"/>
      <c r="LH49" s="7"/>
      <c r="LI49" s="7"/>
      <c r="LJ49" s="7"/>
      <c r="LK49" s="7"/>
      <c r="LL49" s="7"/>
      <c r="LM49" s="7"/>
      <c r="LN49" s="7"/>
      <c r="LO49" s="7"/>
      <c r="LP49" s="7"/>
      <c r="LQ49" s="7"/>
      <c r="LR49" s="7"/>
      <c r="LS49" s="7"/>
      <c r="LT49" s="7"/>
      <c r="LU49" s="7"/>
      <c r="LV49" s="7"/>
      <c r="LW49" s="7"/>
      <c r="LX49" s="7"/>
      <c r="LY49" s="7"/>
      <c r="LZ49" s="7"/>
      <c r="MA49" s="7"/>
      <c r="MB49" s="7"/>
      <c r="MC49" s="7"/>
      <c r="MD49" s="7"/>
      <c r="ME49" s="7"/>
      <c r="MF49" s="7"/>
      <c r="MG49" s="140"/>
      <c r="MH49" s="7"/>
      <c r="MI49" s="7"/>
      <c r="MJ49" s="7"/>
      <c r="MK49" s="7"/>
      <c r="ML49" s="7"/>
      <c r="MM49" s="7"/>
      <c r="MN49" s="7"/>
      <c r="MO49" s="7"/>
      <c r="MP49" s="7"/>
      <c r="MQ49" s="7"/>
      <c r="MR49" s="7"/>
      <c r="MS49" s="7"/>
      <c r="MT49" s="7"/>
      <c r="MU49" s="7"/>
      <c r="MV49" s="7"/>
      <c r="MW49" s="7"/>
      <c r="MX49" s="7"/>
      <c r="MY49" s="7"/>
      <c r="MZ49" s="7"/>
      <c r="NA49" s="7"/>
      <c r="NB49" s="7"/>
      <c r="NC49" s="7"/>
      <c r="ND49" s="140"/>
      <c r="NE49" s="7"/>
      <c r="NF49" s="7"/>
      <c r="NG49" s="7"/>
      <c r="NH49" s="7"/>
      <c r="NI49" s="7"/>
      <c r="NJ49" s="7"/>
      <c r="NK49" s="7"/>
      <c r="NL49" s="7"/>
      <c r="NM49" s="7"/>
      <c r="NN49" s="7"/>
      <c r="NO49" s="7"/>
      <c r="NP49" s="198"/>
      <c r="NQ49" s="140"/>
      <c r="NR49" s="200"/>
      <c r="NS49" s="7"/>
      <c r="NT49" s="7"/>
      <c r="NU49" s="7"/>
      <c r="NV49" s="7"/>
      <c r="NW49" s="7"/>
      <c r="NX49" s="7"/>
      <c r="NY49" s="7"/>
      <c r="NZ49" s="7"/>
      <c r="OA49" s="7"/>
      <c r="OB49" s="7"/>
      <c r="OC49" s="7"/>
      <c r="OD49" s="7"/>
      <c r="OE49" s="7"/>
      <c r="OF49" s="7"/>
      <c r="OG49" s="7"/>
      <c r="OH49" s="7"/>
      <c r="OI49" s="7"/>
      <c r="OJ49" s="7"/>
      <c r="OK49" s="7"/>
      <c r="OL49" s="7"/>
      <c r="OM49" s="7"/>
      <c r="ON49" s="7"/>
      <c r="OO49" s="7"/>
      <c r="OP49" s="7"/>
      <c r="OQ49" s="7"/>
      <c r="OR49" s="7"/>
      <c r="OS49" s="7"/>
      <c r="OT49" s="7"/>
      <c r="OU49" s="7"/>
      <c r="OV49" s="7"/>
      <c r="OW49" s="7"/>
      <c r="OX49" s="7"/>
      <c r="OY49" s="7"/>
      <c r="OZ49" s="7"/>
      <c r="PA49" s="7"/>
      <c r="PB49" s="36"/>
      <c r="PC49" s="7"/>
      <c r="PD49" s="7"/>
      <c r="PE49" s="7"/>
      <c r="PF49" s="7"/>
      <c r="PG49" s="7"/>
      <c r="PH49" s="7"/>
      <c r="PI49" s="7"/>
      <c r="PJ49" s="7"/>
      <c r="PK49" s="7"/>
      <c r="PL49" s="7"/>
      <c r="PM49" s="7"/>
      <c r="PN49" s="7"/>
      <c r="PO49" s="7"/>
      <c r="PP49" s="7"/>
      <c r="PQ49" s="7"/>
      <c r="PR49" s="7"/>
      <c r="PS49" s="7"/>
      <c r="PT49" s="7"/>
      <c r="PU49" s="7"/>
      <c r="PV49" s="7"/>
      <c r="PW49" s="7"/>
      <c r="PX49" s="7"/>
      <c r="PY49" s="7"/>
      <c r="PZ49" s="7"/>
      <c r="QA49" s="7"/>
      <c r="QB49" s="7"/>
      <c r="QC49" s="7"/>
      <c r="QD49" s="7"/>
      <c r="QE49" s="7"/>
      <c r="QF49" s="7"/>
      <c r="QG49" s="7"/>
      <c r="QH49" s="7"/>
      <c r="QI49" s="7"/>
      <c r="QJ49" s="7"/>
      <c r="QK49" s="7"/>
      <c r="QL49" s="7"/>
      <c r="QM49" s="7"/>
      <c r="QN49" s="7"/>
      <c r="QO49" s="7"/>
      <c r="QP49" s="7"/>
      <c r="QQ49" s="7"/>
      <c r="QR49" s="7"/>
      <c r="QS49" s="7"/>
      <c r="QT49" s="7"/>
      <c r="QU49" s="7"/>
      <c r="QV49" s="7"/>
      <c r="QW49" s="7"/>
      <c r="QX49" s="7"/>
      <c r="QY49" s="7"/>
      <c r="QZ49" s="7"/>
      <c r="RA49" s="7"/>
      <c r="RB49" s="7"/>
      <c r="RC49" s="7"/>
      <c r="RD49" s="7"/>
      <c r="RE49" s="7"/>
      <c r="RF49" s="7"/>
      <c r="RG49" s="7"/>
      <c r="RH49" s="7"/>
      <c r="RI49" s="7"/>
      <c r="RJ49" s="7"/>
      <c r="RK49" s="7"/>
      <c r="RL49" s="7"/>
      <c r="RM49" s="7"/>
      <c r="RN49" s="7"/>
      <c r="RO49" s="36"/>
      <c r="RP49" s="7"/>
      <c r="RQ49" s="7"/>
      <c r="RR49" s="7"/>
      <c r="RS49" s="7"/>
      <c r="RT49" s="7"/>
      <c r="RU49" s="7"/>
      <c r="RV49" s="7"/>
      <c r="RW49" s="7"/>
      <c r="RX49" s="7"/>
      <c r="RY49" s="7"/>
      <c r="RZ49" s="7"/>
      <c r="SA49" s="7"/>
      <c r="SB49" s="36"/>
      <c r="SC49" s="7"/>
      <c r="SD49" s="7"/>
      <c r="SE49" s="7"/>
      <c r="SF49" s="7"/>
      <c r="SG49" s="7"/>
      <c r="SH49" s="7"/>
      <c r="SI49" s="7"/>
      <c r="SJ49" s="7"/>
      <c r="SK49" s="7"/>
      <c r="SL49" s="7"/>
      <c r="SM49" s="7"/>
      <c r="SN49" s="7"/>
      <c r="SO49" s="7"/>
      <c r="SP49" s="7"/>
      <c r="SQ49" s="7"/>
      <c r="SR49" s="7"/>
      <c r="SS49" s="7"/>
      <c r="ST49" s="7"/>
      <c r="SU49" s="7"/>
      <c r="SV49" s="7"/>
      <c r="SW49" s="7"/>
      <c r="SX49" s="7"/>
      <c r="SY49" s="7"/>
      <c r="SZ49" s="7"/>
      <c r="TA49" s="7"/>
      <c r="TB49" s="7"/>
      <c r="TC49" s="7"/>
      <c r="TD49" s="36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7"/>
      <c r="YG49" s="7"/>
      <c r="YH49" s="7"/>
      <c r="YI49" s="7"/>
      <c r="YJ49" s="7"/>
      <c r="YK49" s="7"/>
      <c r="YL49" s="7"/>
      <c r="YM49" s="7"/>
      <c r="YN49" s="7"/>
      <c r="YO49" s="7"/>
      <c r="YP49" s="7"/>
      <c r="YQ49" s="7"/>
      <c r="YR49" s="7"/>
      <c r="YS49" s="7"/>
      <c r="YT49" s="7"/>
      <c r="YU49" s="7"/>
      <c r="YV49" s="7"/>
      <c r="YW49" s="7"/>
      <c r="YX49" s="7"/>
      <c r="YY49" s="7"/>
      <c r="YZ49" s="7"/>
      <c r="ZA49" s="7"/>
      <c r="ZB49" s="7"/>
      <c r="ZC49" s="7"/>
      <c r="ZD49" s="7"/>
      <c r="ZE49" s="7"/>
      <c r="ZF49" s="7"/>
      <c r="ZG49" s="7"/>
      <c r="ZH49" s="7"/>
      <c r="ZI49" s="7"/>
      <c r="ZJ49" s="7"/>
      <c r="ZK49" s="7"/>
      <c r="ZL49" s="7"/>
      <c r="ZM49" s="7"/>
      <c r="ZN49" s="7"/>
      <c r="ZO49" s="7"/>
      <c r="ZP49" s="7"/>
      <c r="ZQ49" s="7"/>
      <c r="ZR49" s="7"/>
      <c r="ZS49" s="7"/>
      <c r="ZT49" s="7"/>
      <c r="ZU49" s="7"/>
      <c r="ZV49" s="4"/>
      <c r="ZW49" s="7"/>
      <c r="ZX49" s="7"/>
      <c r="ZY49" s="7"/>
      <c r="ZZ49" s="7"/>
      <c r="AAA49" s="7"/>
      <c r="AAB49" s="7"/>
      <c r="AAC49" s="7"/>
      <c r="AAD49" s="7"/>
      <c r="AAE49" s="7"/>
      <c r="AAF49" s="36"/>
      <c r="AAG49" s="7"/>
      <c r="AAH49" s="7"/>
      <c r="AAI49" s="7"/>
      <c r="AAJ49" s="7"/>
      <c r="AAK49" s="7"/>
      <c r="AAL49" s="7"/>
      <c r="AAM49" s="7"/>
      <c r="AAN49" s="7"/>
      <c r="AAO49" s="7"/>
      <c r="AAP49" s="7"/>
      <c r="AAQ49" s="7"/>
      <c r="AAR49" s="7"/>
      <c r="AAS49" s="7"/>
      <c r="AAT49" s="7"/>
      <c r="AAU49" s="7"/>
      <c r="AAV49" s="7"/>
      <c r="AAW49" s="7"/>
      <c r="AAX49" s="7"/>
      <c r="AAY49" s="7"/>
      <c r="AAZ49" s="4"/>
      <c r="ABA49" s="7"/>
      <c r="ABB49" s="7"/>
      <c r="ABC49" s="7"/>
      <c r="ABD49" s="7"/>
      <c r="ABE49" s="7"/>
      <c r="ABF49" s="7"/>
      <c r="ABG49" s="7"/>
      <c r="ABH49" s="7"/>
      <c r="ABI49" s="7"/>
      <c r="ABJ49" s="7"/>
      <c r="ABK49" s="7"/>
      <c r="ABL49" s="7"/>
      <c r="ABM49" s="7"/>
      <c r="ABN49" s="7"/>
      <c r="ABO49" s="7"/>
      <c r="ABP49" s="7"/>
      <c r="ABQ49" s="7"/>
      <c r="ABR49" s="7"/>
      <c r="ABS49" s="7"/>
      <c r="ABT49" s="7"/>
      <c r="ABU49" s="7"/>
      <c r="ABV49" s="7"/>
      <c r="ABW49" s="7"/>
      <c r="ABX49" s="7"/>
      <c r="ABY49" s="7"/>
      <c r="ABZ49" s="7"/>
      <c r="ACA49" s="7"/>
      <c r="ACB49" s="7"/>
      <c r="ACC49" s="7"/>
      <c r="ACD49" s="7"/>
      <c r="ACE49" s="7"/>
      <c r="ACF49" s="7"/>
      <c r="ACG49" s="7"/>
      <c r="ACH49" s="7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</row>
    <row r="50" spans="1:830" s="32" customFormat="1" ht="32.25" customHeight="1" x14ac:dyDescent="0.25">
      <c r="A50" s="260" t="s">
        <v>221</v>
      </c>
      <c r="B50" s="260" t="s">
        <v>221</v>
      </c>
      <c r="C50" s="260" t="s">
        <v>221</v>
      </c>
      <c r="D50" s="260" t="s">
        <v>221</v>
      </c>
      <c r="E50" s="261" t="s">
        <v>221</v>
      </c>
      <c r="F50" s="261" t="s">
        <v>221</v>
      </c>
      <c r="G50" s="262" t="s">
        <v>221</v>
      </c>
      <c r="H50" s="261" t="s">
        <v>221</v>
      </c>
      <c r="I50" s="261" t="s">
        <v>221</v>
      </c>
      <c r="J50" s="263">
        <f>SUBTOTAL(9,J5:J49)</f>
        <v>0</v>
      </c>
      <c r="K50" s="261" t="s">
        <v>221</v>
      </c>
      <c r="L50" s="261" t="s">
        <v>221</v>
      </c>
      <c r="M50" s="261" t="s">
        <v>221</v>
      </c>
      <c r="N50" s="261" t="s">
        <v>221</v>
      </c>
      <c r="O50" s="261" t="s">
        <v>221</v>
      </c>
      <c r="P50" s="261" t="s">
        <v>221</v>
      </c>
      <c r="Q50" s="261" t="s">
        <v>221</v>
      </c>
      <c r="R50" s="261" t="s">
        <v>221</v>
      </c>
      <c r="S50" s="261" t="s">
        <v>221</v>
      </c>
      <c r="T50" s="261" t="s">
        <v>221</v>
      </c>
      <c r="U50" s="261" t="s">
        <v>221</v>
      </c>
      <c r="V50" s="261" t="s">
        <v>221</v>
      </c>
      <c r="W50" s="261" t="s">
        <v>221</v>
      </c>
      <c r="X50" s="261" t="s">
        <v>221</v>
      </c>
      <c r="Y50" s="261" t="s">
        <v>221</v>
      </c>
      <c r="Z50" s="261" t="s">
        <v>221</v>
      </c>
      <c r="AA50" s="261" t="s">
        <v>221</v>
      </c>
      <c r="AB50" s="261" t="s">
        <v>221</v>
      </c>
      <c r="AC50" s="261" t="s">
        <v>221</v>
      </c>
      <c r="AD50" s="261" t="s">
        <v>221</v>
      </c>
      <c r="AE50" s="261" t="s">
        <v>221</v>
      </c>
      <c r="AF50" s="261" t="s">
        <v>221</v>
      </c>
      <c r="AG50" s="261" t="s">
        <v>221</v>
      </c>
      <c r="AH50" s="261" t="s">
        <v>221</v>
      </c>
      <c r="AI50" s="261" t="s">
        <v>221</v>
      </c>
      <c r="AJ50" s="261" t="s">
        <v>221</v>
      </c>
      <c r="AK50" s="261" t="s">
        <v>221</v>
      </c>
      <c r="AL50" s="261" t="s">
        <v>221</v>
      </c>
      <c r="AM50" s="261" t="s">
        <v>221</v>
      </c>
      <c r="AN50" s="261" t="s">
        <v>221</v>
      </c>
      <c r="AO50" s="261" t="s">
        <v>221</v>
      </c>
      <c r="AP50" s="261" t="s">
        <v>221</v>
      </c>
      <c r="AQ50" s="261" t="s">
        <v>221</v>
      </c>
      <c r="AR50" s="261" t="s">
        <v>221</v>
      </c>
      <c r="AS50" s="261" t="s">
        <v>221</v>
      </c>
      <c r="AT50" s="261" t="s">
        <v>221</v>
      </c>
      <c r="AU50" s="261" t="s">
        <v>221</v>
      </c>
      <c r="AV50" s="261" t="s">
        <v>221</v>
      </c>
      <c r="AW50" s="261" t="s">
        <v>221</v>
      </c>
      <c r="AX50" s="261" t="s">
        <v>221</v>
      </c>
      <c r="AY50" s="261" t="s">
        <v>221</v>
      </c>
      <c r="AZ50" s="261" t="s">
        <v>221</v>
      </c>
      <c r="BA50" s="261" t="s">
        <v>221</v>
      </c>
      <c r="BB50" s="261" t="s">
        <v>221</v>
      </c>
      <c r="BC50" s="261" t="s">
        <v>221</v>
      </c>
      <c r="BD50" s="261" t="s">
        <v>221</v>
      </c>
      <c r="BE50" s="261" t="s">
        <v>221</v>
      </c>
      <c r="BF50" s="261" t="s">
        <v>221</v>
      </c>
      <c r="BG50" s="261" t="s">
        <v>221</v>
      </c>
      <c r="BH50" s="261" t="s">
        <v>221</v>
      </c>
      <c r="BI50" s="261" t="s">
        <v>221</v>
      </c>
      <c r="BJ50" s="261" t="s">
        <v>221</v>
      </c>
      <c r="BK50" s="261" t="s">
        <v>221</v>
      </c>
      <c r="BL50" s="261" t="s">
        <v>221</v>
      </c>
      <c r="BM50" s="261" t="s">
        <v>221</v>
      </c>
      <c r="BN50" s="261" t="s">
        <v>221</v>
      </c>
      <c r="BO50" s="261" t="s">
        <v>221</v>
      </c>
      <c r="BP50" s="261" t="s">
        <v>221</v>
      </c>
      <c r="BQ50" s="261" t="s">
        <v>221</v>
      </c>
      <c r="BR50" s="261" t="s">
        <v>221</v>
      </c>
      <c r="BS50" s="261" t="s">
        <v>221</v>
      </c>
      <c r="BT50" s="261" t="s">
        <v>221</v>
      </c>
      <c r="BU50" s="261" t="s">
        <v>221</v>
      </c>
      <c r="BV50" s="261" t="s">
        <v>221</v>
      </c>
      <c r="BW50" s="261" t="s">
        <v>221</v>
      </c>
      <c r="BX50" s="261" t="s">
        <v>221</v>
      </c>
      <c r="BY50" s="261" t="s">
        <v>221</v>
      </c>
      <c r="BZ50" s="261" t="s">
        <v>221</v>
      </c>
      <c r="CA50" s="261" t="s">
        <v>221</v>
      </c>
      <c r="CB50" s="261" t="s">
        <v>221</v>
      </c>
      <c r="CC50" s="261" t="s">
        <v>221</v>
      </c>
      <c r="CD50" s="261" t="s">
        <v>221</v>
      </c>
      <c r="CE50" s="261" t="s">
        <v>221</v>
      </c>
      <c r="CF50" s="261" t="s">
        <v>221</v>
      </c>
      <c r="CG50" s="261" t="s">
        <v>221</v>
      </c>
      <c r="CH50" s="261" t="s">
        <v>221</v>
      </c>
      <c r="CI50" s="261" t="s">
        <v>221</v>
      </c>
      <c r="CJ50" s="261" t="s">
        <v>221</v>
      </c>
      <c r="CK50" s="261" t="s">
        <v>221</v>
      </c>
      <c r="CL50" s="261" t="s">
        <v>221</v>
      </c>
      <c r="CM50" s="261" t="s">
        <v>221</v>
      </c>
      <c r="CN50" s="261" t="s">
        <v>221</v>
      </c>
      <c r="CO50" s="261" t="s">
        <v>221</v>
      </c>
      <c r="CP50" s="261" t="s">
        <v>221</v>
      </c>
      <c r="CQ50" s="261" t="s">
        <v>221</v>
      </c>
      <c r="CR50" s="261" t="s">
        <v>221</v>
      </c>
      <c r="CS50" s="261" t="s">
        <v>221</v>
      </c>
      <c r="CT50" s="261" t="s">
        <v>221</v>
      </c>
      <c r="CU50" s="261" t="s">
        <v>221</v>
      </c>
      <c r="CV50" s="261" t="s">
        <v>221</v>
      </c>
      <c r="CW50" s="261" t="s">
        <v>221</v>
      </c>
      <c r="CX50" s="261" t="s">
        <v>221</v>
      </c>
      <c r="CY50" s="261" t="s">
        <v>221</v>
      </c>
      <c r="CZ50" s="261" t="s">
        <v>221</v>
      </c>
      <c r="DA50" s="261" t="s">
        <v>221</v>
      </c>
      <c r="DB50" s="261" t="s">
        <v>221</v>
      </c>
      <c r="DC50" s="261" t="s">
        <v>221</v>
      </c>
      <c r="DD50" s="261" t="s">
        <v>221</v>
      </c>
      <c r="DE50" s="261" t="s">
        <v>221</v>
      </c>
      <c r="DF50" s="261" t="s">
        <v>221</v>
      </c>
      <c r="DG50" s="261" t="s">
        <v>221</v>
      </c>
      <c r="DH50" s="261" t="s">
        <v>221</v>
      </c>
      <c r="DI50" s="261" t="s">
        <v>221</v>
      </c>
      <c r="DJ50" s="261" t="s">
        <v>221</v>
      </c>
      <c r="DK50" s="261" t="s">
        <v>221</v>
      </c>
      <c r="DL50" s="261" t="s">
        <v>221</v>
      </c>
      <c r="DM50" s="261" t="s">
        <v>221</v>
      </c>
      <c r="DN50" s="261" t="s">
        <v>221</v>
      </c>
      <c r="DO50" s="261" t="s">
        <v>221</v>
      </c>
      <c r="DP50" s="261" t="s">
        <v>221</v>
      </c>
      <c r="DQ50" s="261" t="s">
        <v>221</v>
      </c>
      <c r="DR50" s="261" t="s">
        <v>221</v>
      </c>
      <c r="DS50" s="261" t="s">
        <v>221</v>
      </c>
      <c r="DT50" s="261" t="s">
        <v>221</v>
      </c>
      <c r="DU50" s="261" t="s">
        <v>221</v>
      </c>
      <c r="DV50" s="261" t="s">
        <v>221</v>
      </c>
      <c r="DW50" s="261" t="s">
        <v>221</v>
      </c>
      <c r="DX50" s="261" t="s">
        <v>221</v>
      </c>
      <c r="DY50" s="261" t="s">
        <v>221</v>
      </c>
      <c r="DZ50" s="261" t="s">
        <v>221</v>
      </c>
      <c r="EA50" s="261" t="s">
        <v>221</v>
      </c>
      <c r="EB50" s="261" t="s">
        <v>221</v>
      </c>
      <c r="EC50" s="261" t="s">
        <v>221</v>
      </c>
      <c r="ED50" s="261" t="s">
        <v>221</v>
      </c>
      <c r="EE50" s="261" t="s">
        <v>221</v>
      </c>
      <c r="EF50" s="261" t="s">
        <v>221</v>
      </c>
      <c r="EG50" s="261" t="s">
        <v>221</v>
      </c>
      <c r="EH50" s="261" t="s">
        <v>221</v>
      </c>
      <c r="EI50" s="261" t="s">
        <v>221</v>
      </c>
      <c r="EJ50" s="261" t="s">
        <v>221</v>
      </c>
      <c r="EK50" s="261" t="s">
        <v>221</v>
      </c>
      <c r="EL50" s="261" t="s">
        <v>221</v>
      </c>
      <c r="EM50" s="261" t="s">
        <v>221</v>
      </c>
      <c r="EN50" s="261" t="s">
        <v>221</v>
      </c>
      <c r="EO50" s="261" t="s">
        <v>221</v>
      </c>
      <c r="EP50" s="261" t="s">
        <v>221</v>
      </c>
      <c r="EQ50" s="261" t="s">
        <v>221</v>
      </c>
      <c r="ER50" s="261" t="s">
        <v>221</v>
      </c>
      <c r="ES50" s="261" t="s">
        <v>221</v>
      </c>
      <c r="ET50" s="261" t="s">
        <v>221</v>
      </c>
      <c r="EU50" s="261" t="s">
        <v>221</v>
      </c>
      <c r="EV50" s="261" t="s">
        <v>221</v>
      </c>
      <c r="EW50" s="264" t="s">
        <v>221</v>
      </c>
      <c r="EX50" s="262" t="s">
        <v>221</v>
      </c>
      <c r="EY50" s="261" t="s">
        <v>221</v>
      </c>
      <c r="EZ50" s="261" t="s">
        <v>221</v>
      </c>
      <c r="FA50" s="261" t="s">
        <v>221</v>
      </c>
      <c r="FB50" s="261" t="s">
        <v>221</v>
      </c>
      <c r="FC50" s="261" t="s">
        <v>221</v>
      </c>
      <c r="FD50" s="261" t="s">
        <v>221</v>
      </c>
      <c r="FE50" s="261" t="s">
        <v>221</v>
      </c>
      <c r="FF50" s="261" t="s">
        <v>221</v>
      </c>
      <c r="FG50" s="261" t="s">
        <v>221</v>
      </c>
      <c r="FH50" s="261" t="s">
        <v>221</v>
      </c>
      <c r="FI50" s="261" t="s">
        <v>221</v>
      </c>
      <c r="FJ50" s="261" t="s">
        <v>221</v>
      </c>
      <c r="FK50" s="261" t="s">
        <v>221</v>
      </c>
      <c r="FL50" s="261" t="s">
        <v>221</v>
      </c>
      <c r="FM50" s="261" t="s">
        <v>221</v>
      </c>
      <c r="FN50" s="261" t="s">
        <v>221</v>
      </c>
      <c r="FO50" s="261" t="s">
        <v>221</v>
      </c>
      <c r="FP50" s="261" t="s">
        <v>221</v>
      </c>
      <c r="FQ50" s="261" t="s">
        <v>221</v>
      </c>
      <c r="FR50" s="261" t="s">
        <v>221</v>
      </c>
      <c r="FS50" s="261" t="s">
        <v>221</v>
      </c>
      <c r="FT50" s="261" t="s">
        <v>221</v>
      </c>
      <c r="FU50" s="261" t="s">
        <v>221</v>
      </c>
      <c r="FV50" s="261" t="s">
        <v>221</v>
      </c>
      <c r="FW50" s="261" t="s">
        <v>221</v>
      </c>
      <c r="FX50" s="261" t="s">
        <v>221</v>
      </c>
      <c r="FY50" s="261" t="s">
        <v>221</v>
      </c>
      <c r="FZ50" s="261" t="s">
        <v>221</v>
      </c>
      <c r="GA50" s="261" t="s">
        <v>221</v>
      </c>
      <c r="GB50" s="261" t="s">
        <v>221</v>
      </c>
      <c r="GC50" s="261" t="s">
        <v>221</v>
      </c>
      <c r="GD50" s="261" t="s">
        <v>221</v>
      </c>
      <c r="GE50" s="261" t="s">
        <v>221</v>
      </c>
      <c r="GF50" s="261" t="s">
        <v>221</v>
      </c>
      <c r="GG50" s="261" t="s">
        <v>221</v>
      </c>
      <c r="GH50" s="261" t="s">
        <v>221</v>
      </c>
      <c r="GI50" s="261" t="s">
        <v>221</v>
      </c>
      <c r="GJ50" s="261" t="s">
        <v>221</v>
      </c>
      <c r="GK50" s="261" t="s">
        <v>221</v>
      </c>
      <c r="GL50" s="261" t="s">
        <v>221</v>
      </c>
      <c r="GM50" s="261" t="s">
        <v>221</v>
      </c>
      <c r="GN50" s="261" t="s">
        <v>221</v>
      </c>
      <c r="GO50" s="261" t="s">
        <v>221</v>
      </c>
      <c r="GP50" s="261" t="s">
        <v>221</v>
      </c>
      <c r="GQ50" s="261" t="s">
        <v>221</v>
      </c>
      <c r="GR50" s="261" t="s">
        <v>221</v>
      </c>
      <c r="GS50" s="261" t="s">
        <v>221</v>
      </c>
      <c r="GT50" s="261" t="s">
        <v>221</v>
      </c>
      <c r="GU50" s="261" t="s">
        <v>221</v>
      </c>
      <c r="GV50" s="261" t="s">
        <v>221</v>
      </c>
      <c r="GW50" s="261" t="s">
        <v>221</v>
      </c>
      <c r="GX50" s="261" t="s">
        <v>221</v>
      </c>
      <c r="GY50" s="261" t="s">
        <v>221</v>
      </c>
      <c r="GZ50" s="261" t="s">
        <v>221</v>
      </c>
      <c r="HA50" s="261" t="s">
        <v>221</v>
      </c>
      <c r="HB50" s="261" t="s">
        <v>221</v>
      </c>
      <c r="HC50" s="264" t="s">
        <v>221</v>
      </c>
      <c r="HD50" s="261" t="s">
        <v>221</v>
      </c>
      <c r="HE50" s="261" t="s">
        <v>221</v>
      </c>
      <c r="HF50" s="261" t="s">
        <v>221</v>
      </c>
      <c r="HG50" s="261" t="s">
        <v>221</v>
      </c>
      <c r="HH50" s="261" t="s">
        <v>221</v>
      </c>
      <c r="HI50" s="261" t="s">
        <v>221</v>
      </c>
      <c r="HJ50" s="261" t="s">
        <v>221</v>
      </c>
      <c r="HK50" s="261" t="s">
        <v>221</v>
      </c>
      <c r="HL50" s="261" t="s">
        <v>221</v>
      </c>
      <c r="HM50" s="261" t="s">
        <v>221</v>
      </c>
      <c r="HN50" s="261" t="s">
        <v>221</v>
      </c>
      <c r="HO50" s="261" t="s">
        <v>221</v>
      </c>
      <c r="HP50" s="261" t="s">
        <v>221</v>
      </c>
      <c r="HQ50" s="261" t="s">
        <v>221</v>
      </c>
      <c r="HR50" s="261" t="s">
        <v>221</v>
      </c>
      <c r="HS50" s="261" t="s">
        <v>221</v>
      </c>
      <c r="HT50" s="261" t="s">
        <v>221</v>
      </c>
      <c r="HU50" s="261" t="s">
        <v>221</v>
      </c>
      <c r="HV50" s="261" t="s">
        <v>221</v>
      </c>
      <c r="HW50" s="261" t="s">
        <v>221</v>
      </c>
      <c r="HX50" s="261" t="s">
        <v>221</v>
      </c>
      <c r="HY50" s="261" t="s">
        <v>221</v>
      </c>
      <c r="HZ50" s="261" t="s">
        <v>221</v>
      </c>
      <c r="IA50" s="261" t="s">
        <v>221</v>
      </c>
      <c r="IB50" s="261" t="s">
        <v>221</v>
      </c>
      <c r="IC50" s="261" t="s">
        <v>221</v>
      </c>
      <c r="ID50" s="261" t="s">
        <v>221</v>
      </c>
      <c r="IE50" s="261" t="s">
        <v>221</v>
      </c>
      <c r="IF50" s="261" t="s">
        <v>221</v>
      </c>
      <c r="IG50" s="261" t="s">
        <v>221</v>
      </c>
      <c r="IH50" s="261" t="s">
        <v>221</v>
      </c>
      <c r="II50" s="261" t="s">
        <v>221</v>
      </c>
      <c r="IJ50" s="261" t="s">
        <v>221</v>
      </c>
      <c r="IK50" s="261" t="s">
        <v>221</v>
      </c>
      <c r="IL50" s="261" t="s">
        <v>221</v>
      </c>
      <c r="IM50" s="261" t="s">
        <v>221</v>
      </c>
      <c r="IN50" s="261" t="s">
        <v>221</v>
      </c>
      <c r="IO50" s="261" t="s">
        <v>221</v>
      </c>
      <c r="IP50" s="261" t="s">
        <v>221</v>
      </c>
      <c r="IQ50" s="261" t="s">
        <v>221</v>
      </c>
      <c r="IR50" s="261" t="s">
        <v>221</v>
      </c>
      <c r="IS50" s="261" t="s">
        <v>221</v>
      </c>
      <c r="IT50" s="261" t="s">
        <v>221</v>
      </c>
      <c r="IU50" s="261" t="s">
        <v>221</v>
      </c>
      <c r="IV50" s="261" t="s">
        <v>221</v>
      </c>
      <c r="IW50" s="261" t="s">
        <v>221</v>
      </c>
      <c r="IX50" s="261" t="s">
        <v>221</v>
      </c>
      <c r="IY50" s="261" t="s">
        <v>221</v>
      </c>
      <c r="IZ50" s="261" t="s">
        <v>221</v>
      </c>
      <c r="JA50" s="261" t="s">
        <v>221</v>
      </c>
      <c r="JB50" s="261" t="s">
        <v>221</v>
      </c>
      <c r="JC50" s="261" t="s">
        <v>221</v>
      </c>
      <c r="JD50" s="261" t="s">
        <v>221</v>
      </c>
      <c r="JE50" s="261" t="s">
        <v>221</v>
      </c>
      <c r="JF50" s="261" t="s">
        <v>221</v>
      </c>
      <c r="JG50" s="261" t="s">
        <v>221</v>
      </c>
      <c r="JH50" s="261" t="s">
        <v>221</v>
      </c>
      <c r="JI50" s="261" t="s">
        <v>221</v>
      </c>
      <c r="JJ50" s="261" t="s">
        <v>221</v>
      </c>
      <c r="JK50" s="261" t="s">
        <v>221</v>
      </c>
      <c r="JL50" s="261" t="s">
        <v>221</v>
      </c>
      <c r="JM50" s="261" t="s">
        <v>221</v>
      </c>
      <c r="JN50" s="261" t="s">
        <v>221</v>
      </c>
      <c r="JO50" s="261" t="s">
        <v>221</v>
      </c>
      <c r="JP50" s="261" t="s">
        <v>221</v>
      </c>
      <c r="JQ50" s="261" t="s">
        <v>221</v>
      </c>
      <c r="JR50" s="261" t="s">
        <v>221</v>
      </c>
      <c r="JS50" s="261" t="s">
        <v>221</v>
      </c>
      <c r="JT50" s="261" t="s">
        <v>221</v>
      </c>
      <c r="JU50" s="261" t="s">
        <v>221</v>
      </c>
      <c r="JV50" s="261" t="s">
        <v>221</v>
      </c>
      <c r="JW50" s="261" t="s">
        <v>221</v>
      </c>
      <c r="JX50" s="261" t="s">
        <v>221</v>
      </c>
      <c r="JY50" s="261" t="s">
        <v>221</v>
      </c>
      <c r="JZ50" s="261" t="s">
        <v>221</v>
      </c>
      <c r="KA50" s="261" t="s">
        <v>221</v>
      </c>
      <c r="KB50" s="261" t="s">
        <v>221</v>
      </c>
      <c r="KC50" s="261" t="s">
        <v>221</v>
      </c>
      <c r="KD50" s="261" t="s">
        <v>221</v>
      </c>
      <c r="KE50" s="261" t="s">
        <v>221</v>
      </c>
      <c r="KF50" s="261" t="s">
        <v>221</v>
      </c>
      <c r="KG50" s="261" t="s">
        <v>221</v>
      </c>
      <c r="KH50" s="261" t="s">
        <v>221</v>
      </c>
      <c r="KI50" s="261" t="s">
        <v>221</v>
      </c>
      <c r="KJ50" s="261" t="s">
        <v>221</v>
      </c>
      <c r="KK50" s="261" t="s">
        <v>221</v>
      </c>
      <c r="KL50" s="261" t="s">
        <v>221</v>
      </c>
      <c r="KM50" s="261" t="s">
        <v>221</v>
      </c>
      <c r="KN50" s="261" t="s">
        <v>221</v>
      </c>
      <c r="KO50" s="261" t="s">
        <v>221</v>
      </c>
      <c r="KP50" s="261" t="s">
        <v>221</v>
      </c>
      <c r="KQ50" s="261" t="s">
        <v>221</v>
      </c>
      <c r="KR50" s="261" t="s">
        <v>221</v>
      </c>
      <c r="KS50" s="261" t="s">
        <v>221</v>
      </c>
      <c r="KT50" s="261" t="s">
        <v>221</v>
      </c>
      <c r="KU50" s="261" t="s">
        <v>221</v>
      </c>
      <c r="KV50" s="261" t="s">
        <v>221</v>
      </c>
      <c r="KW50" s="261" t="s">
        <v>221</v>
      </c>
      <c r="KX50" s="261" t="s">
        <v>221</v>
      </c>
      <c r="KY50" s="261" t="s">
        <v>221</v>
      </c>
      <c r="KZ50" s="261" t="s">
        <v>221</v>
      </c>
      <c r="LA50" s="261" t="s">
        <v>221</v>
      </c>
      <c r="LB50" s="261" t="s">
        <v>221</v>
      </c>
      <c r="LC50" s="261" t="s">
        <v>221</v>
      </c>
      <c r="LD50" s="261" t="s">
        <v>221</v>
      </c>
      <c r="LE50" s="261" t="s">
        <v>221</v>
      </c>
      <c r="LF50" s="261" t="s">
        <v>221</v>
      </c>
      <c r="LG50" s="261" t="s">
        <v>221</v>
      </c>
      <c r="LH50" s="261" t="s">
        <v>221</v>
      </c>
      <c r="LI50" s="261" t="s">
        <v>221</v>
      </c>
      <c r="LJ50" s="261" t="s">
        <v>221</v>
      </c>
      <c r="LK50" s="261" t="s">
        <v>221</v>
      </c>
      <c r="LL50" s="261" t="s">
        <v>221</v>
      </c>
      <c r="LM50" s="261" t="s">
        <v>221</v>
      </c>
      <c r="LN50" s="261" t="s">
        <v>221</v>
      </c>
      <c r="LO50" s="261" t="s">
        <v>221</v>
      </c>
      <c r="LP50" s="261" t="s">
        <v>221</v>
      </c>
      <c r="LQ50" s="261" t="s">
        <v>221</v>
      </c>
      <c r="LR50" s="261" t="s">
        <v>221</v>
      </c>
      <c r="LS50" s="261" t="s">
        <v>221</v>
      </c>
      <c r="LT50" s="261" t="s">
        <v>221</v>
      </c>
      <c r="LU50" s="261" t="s">
        <v>221</v>
      </c>
      <c r="LV50" s="261" t="s">
        <v>221</v>
      </c>
      <c r="LW50" s="261" t="s">
        <v>221</v>
      </c>
      <c r="LX50" s="261" t="s">
        <v>221</v>
      </c>
      <c r="LY50" s="261" t="s">
        <v>221</v>
      </c>
      <c r="LZ50" s="261" t="s">
        <v>221</v>
      </c>
      <c r="MA50" s="261" t="s">
        <v>221</v>
      </c>
      <c r="MB50" s="261" t="s">
        <v>221</v>
      </c>
      <c r="MC50" s="261" t="s">
        <v>221</v>
      </c>
      <c r="MD50" s="261" t="s">
        <v>221</v>
      </c>
      <c r="ME50" s="261" t="s">
        <v>221</v>
      </c>
      <c r="MF50" s="261" t="s">
        <v>221</v>
      </c>
      <c r="MG50" s="261" t="s">
        <v>221</v>
      </c>
      <c r="MH50" s="261" t="s">
        <v>221</v>
      </c>
      <c r="MI50" s="261"/>
      <c r="MJ50" s="261"/>
      <c r="MK50" s="261"/>
      <c r="ML50" s="261"/>
      <c r="MM50" s="261"/>
      <c r="MN50" s="261"/>
      <c r="MO50" s="261" t="s">
        <v>221</v>
      </c>
      <c r="MP50" s="261" t="s">
        <v>221</v>
      </c>
      <c r="MQ50" s="261" t="s">
        <v>221</v>
      </c>
      <c r="MR50" s="264" t="s">
        <v>221</v>
      </c>
      <c r="MS50" s="261" t="s">
        <v>221</v>
      </c>
      <c r="MT50" s="261" t="s">
        <v>221</v>
      </c>
      <c r="MU50" s="261" t="s">
        <v>221</v>
      </c>
      <c r="MV50" s="261" t="s">
        <v>221</v>
      </c>
      <c r="MW50" s="261" t="s">
        <v>221</v>
      </c>
      <c r="MX50" s="261" t="s">
        <v>221</v>
      </c>
      <c r="MY50" s="261" t="s">
        <v>221</v>
      </c>
      <c r="MZ50" s="261" t="s">
        <v>221</v>
      </c>
      <c r="NA50" s="261" t="s">
        <v>221</v>
      </c>
      <c r="NB50" s="261" t="s">
        <v>221</v>
      </c>
      <c r="NC50" s="261" t="s">
        <v>221</v>
      </c>
      <c r="ND50" s="261" t="s">
        <v>221</v>
      </c>
      <c r="NE50" s="261" t="s">
        <v>221</v>
      </c>
      <c r="NF50" s="261" t="s">
        <v>221</v>
      </c>
      <c r="NG50" s="261" t="s">
        <v>221</v>
      </c>
      <c r="NH50" s="261" t="s">
        <v>221</v>
      </c>
      <c r="NI50" s="261" t="s">
        <v>221</v>
      </c>
      <c r="NJ50" s="261" t="s">
        <v>221</v>
      </c>
      <c r="NK50" s="261" t="s">
        <v>221</v>
      </c>
      <c r="NL50" s="261" t="s">
        <v>221</v>
      </c>
      <c r="NM50" s="261" t="s">
        <v>221</v>
      </c>
      <c r="NN50" s="261" t="s">
        <v>221</v>
      </c>
      <c r="NO50" s="261" t="s">
        <v>221</v>
      </c>
      <c r="NP50" s="261" t="s">
        <v>221</v>
      </c>
      <c r="NQ50" s="262" t="s">
        <v>221</v>
      </c>
      <c r="NR50" s="261" t="s">
        <v>221</v>
      </c>
      <c r="NS50" s="261" t="s">
        <v>221</v>
      </c>
      <c r="NT50" s="261" t="s">
        <v>221</v>
      </c>
      <c r="NU50" s="261" t="s">
        <v>221</v>
      </c>
      <c r="NV50" s="261" t="s">
        <v>221</v>
      </c>
      <c r="NW50" s="261" t="s">
        <v>221</v>
      </c>
      <c r="NX50" s="261" t="s">
        <v>221</v>
      </c>
      <c r="NY50" s="261" t="s">
        <v>221</v>
      </c>
      <c r="NZ50" s="261" t="s">
        <v>221</v>
      </c>
      <c r="OA50" s="261" t="s">
        <v>221</v>
      </c>
      <c r="OB50" s="261" t="s">
        <v>221</v>
      </c>
      <c r="OC50" s="264" t="s">
        <v>221</v>
      </c>
      <c r="OD50" s="261" t="s">
        <v>221</v>
      </c>
      <c r="OE50" s="261" t="s">
        <v>221</v>
      </c>
      <c r="OF50" s="261" t="s">
        <v>221</v>
      </c>
      <c r="OG50" s="261" t="s">
        <v>221</v>
      </c>
      <c r="OH50" s="261" t="s">
        <v>221</v>
      </c>
      <c r="OI50" s="261" t="s">
        <v>221</v>
      </c>
      <c r="OJ50" s="261" t="s">
        <v>221</v>
      </c>
      <c r="OK50" s="261" t="s">
        <v>221</v>
      </c>
      <c r="OL50" s="261" t="s">
        <v>221</v>
      </c>
      <c r="OM50" s="261" t="s">
        <v>221</v>
      </c>
      <c r="ON50" s="261" t="s">
        <v>221</v>
      </c>
      <c r="OO50" s="261" t="s">
        <v>221</v>
      </c>
      <c r="OP50" s="261" t="s">
        <v>221</v>
      </c>
      <c r="OQ50" s="261" t="s">
        <v>221</v>
      </c>
      <c r="OR50" s="261" t="s">
        <v>221</v>
      </c>
      <c r="OS50" s="261" t="s">
        <v>221</v>
      </c>
      <c r="OT50" s="261" t="s">
        <v>221</v>
      </c>
      <c r="OU50" s="261" t="s">
        <v>221</v>
      </c>
      <c r="OV50" s="261" t="s">
        <v>221</v>
      </c>
      <c r="OW50" s="261" t="s">
        <v>221</v>
      </c>
      <c r="OX50" s="261" t="s">
        <v>221</v>
      </c>
      <c r="OY50" s="261" t="s">
        <v>221</v>
      </c>
      <c r="OZ50" s="261" t="s">
        <v>221</v>
      </c>
      <c r="PA50" s="261" t="s">
        <v>221</v>
      </c>
      <c r="PB50" s="261" t="s">
        <v>221</v>
      </c>
      <c r="PC50" s="261" t="s">
        <v>221</v>
      </c>
      <c r="PD50" s="261" t="s">
        <v>221</v>
      </c>
      <c r="PE50" s="261" t="s">
        <v>221</v>
      </c>
      <c r="PF50" s="261" t="s">
        <v>221</v>
      </c>
      <c r="PG50" s="261" t="s">
        <v>221</v>
      </c>
      <c r="PH50" s="261" t="s">
        <v>221</v>
      </c>
      <c r="PI50" s="261" t="s">
        <v>221</v>
      </c>
      <c r="PJ50" s="261" t="s">
        <v>221</v>
      </c>
      <c r="PK50" s="261" t="s">
        <v>221</v>
      </c>
      <c r="PL50" s="261" t="s">
        <v>221</v>
      </c>
      <c r="PM50" s="261" t="s">
        <v>221</v>
      </c>
      <c r="PN50" s="261" t="s">
        <v>221</v>
      </c>
      <c r="PO50" s="261" t="s">
        <v>221</v>
      </c>
      <c r="PP50" s="261" t="s">
        <v>221</v>
      </c>
      <c r="PQ50" s="261" t="s">
        <v>221</v>
      </c>
      <c r="PR50" s="261" t="s">
        <v>221</v>
      </c>
      <c r="PS50" s="261" t="s">
        <v>221</v>
      </c>
      <c r="PT50" s="261" t="s">
        <v>221</v>
      </c>
      <c r="PU50" s="261" t="s">
        <v>221</v>
      </c>
      <c r="PV50" s="261" t="s">
        <v>221</v>
      </c>
      <c r="PW50" s="261" t="s">
        <v>221</v>
      </c>
      <c r="PX50" s="261" t="s">
        <v>221</v>
      </c>
      <c r="PY50" s="261" t="s">
        <v>221</v>
      </c>
      <c r="PZ50" s="261" t="s">
        <v>221</v>
      </c>
      <c r="QA50" s="261" t="s">
        <v>221</v>
      </c>
      <c r="QB50" s="261" t="s">
        <v>221</v>
      </c>
      <c r="QC50" s="261" t="s">
        <v>221</v>
      </c>
      <c r="QD50" s="261" t="s">
        <v>221</v>
      </c>
      <c r="QE50" s="261" t="s">
        <v>221</v>
      </c>
      <c r="QF50" s="261" t="s">
        <v>221</v>
      </c>
      <c r="QG50" s="261" t="s">
        <v>221</v>
      </c>
      <c r="QH50" s="261" t="s">
        <v>221</v>
      </c>
      <c r="QI50" s="261"/>
      <c r="QJ50" s="261"/>
      <c r="QK50" s="261"/>
      <c r="QL50" s="261"/>
      <c r="QM50" s="261" t="s">
        <v>221</v>
      </c>
      <c r="QN50" s="261" t="s">
        <v>221</v>
      </c>
      <c r="QO50" s="261" t="s">
        <v>221</v>
      </c>
      <c r="QP50" s="261" t="s">
        <v>221</v>
      </c>
      <c r="QQ50" s="261" t="s">
        <v>221</v>
      </c>
      <c r="QR50" s="261" t="s">
        <v>221</v>
      </c>
      <c r="QS50" s="261" t="s">
        <v>221</v>
      </c>
      <c r="QT50" s="261" t="s">
        <v>221</v>
      </c>
      <c r="QU50" s="261" t="s">
        <v>221</v>
      </c>
      <c r="QV50" s="261" t="s">
        <v>221</v>
      </c>
      <c r="QW50" s="261" t="s">
        <v>221</v>
      </c>
      <c r="QX50" s="261" t="s">
        <v>221</v>
      </c>
      <c r="QY50" s="261" t="s">
        <v>221</v>
      </c>
      <c r="QZ50" s="261" t="s">
        <v>221</v>
      </c>
      <c r="RA50" s="261" t="s">
        <v>221</v>
      </c>
      <c r="RB50" s="261" t="s">
        <v>221</v>
      </c>
      <c r="RC50" s="261" t="s">
        <v>221</v>
      </c>
      <c r="RD50" s="261" t="s">
        <v>221</v>
      </c>
      <c r="RE50" s="261" t="s">
        <v>221</v>
      </c>
      <c r="RF50" s="261" t="s">
        <v>221</v>
      </c>
      <c r="RG50" s="261" t="s">
        <v>221</v>
      </c>
      <c r="RH50" s="261" t="s">
        <v>221</v>
      </c>
      <c r="RI50" s="261" t="s">
        <v>221</v>
      </c>
      <c r="RJ50" s="261" t="s">
        <v>221</v>
      </c>
      <c r="RK50" s="261" t="s">
        <v>221</v>
      </c>
      <c r="RL50" s="261" t="s">
        <v>221</v>
      </c>
      <c r="RM50" s="260"/>
      <c r="RN50" s="262" t="s">
        <v>221</v>
      </c>
      <c r="RO50" s="261" t="s">
        <v>221</v>
      </c>
      <c r="RP50" s="261" t="s">
        <v>221</v>
      </c>
      <c r="RQ50" s="261" t="s">
        <v>221</v>
      </c>
      <c r="RR50" s="261" t="s">
        <v>221</v>
      </c>
      <c r="RS50" s="261" t="s">
        <v>221</v>
      </c>
      <c r="RT50" s="261" t="s">
        <v>221</v>
      </c>
      <c r="RU50" s="261" t="s">
        <v>221</v>
      </c>
      <c r="RV50" s="261" t="s">
        <v>221</v>
      </c>
      <c r="RW50" s="261" t="s">
        <v>221</v>
      </c>
      <c r="RX50" s="261" t="s">
        <v>221</v>
      </c>
      <c r="RY50" s="261" t="s">
        <v>221</v>
      </c>
      <c r="RZ50" s="261" t="s">
        <v>221</v>
      </c>
      <c r="SA50" s="261" t="s">
        <v>221</v>
      </c>
      <c r="SB50" s="261" t="s">
        <v>221</v>
      </c>
      <c r="SC50" s="261" t="s">
        <v>221</v>
      </c>
      <c r="SD50" s="261" t="s">
        <v>221</v>
      </c>
      <c r="SE50" s="261" t="s">
        <v>221</v>
      </c>
      <c r="SF50" s="261" t="s">
        <v>221</v>
      </c>
      <c r="SG50" s="261" t="s">
        <v>221</v>
      </c>
      <c r="SH50" s="261" t="s">
        <v>221</v>
      </c>
      <c r="SI50" s="261" t="s">
        <v>221</v>
      </c>
      <c r="SJ50" s="261" t="s">
        <v>221</v>
      </c>
      <c r="SK50" s="261" t="s">
        <v>221</v>
      </c>
      <c r="SL50" s="261" t="s">
        <v>221</v>
      </c>
      <c r="SM50" s="261" t="s">
        <v>221</v>
      </c>
      <c r="SN50" s="261" t="s">
        <v>221</v>
      </c>
      <c r="SO50" s="261" t="s">
        <v>221</v>
      </c>
      <c r="SP50" s="261" t="s">
        <v>221</v>
      </c>
      <c r="SQ50" s="261" t="s">
        <v>221</v>
      </c>
      <c r="SR50" s="261" t="s">
        <v>221</v>
      </c>
      <c r="SS50" s="261" t="s">
        <v>221</v>
      </c>
      <c r="ST50" s="261" t="s">
        <v>221</v>
      </c>
      <c r="SU50" s="261" t="s">
        <v>221</v>
      </c>
      <c r="SV50" s="261" t="s">
        <v>221</v>
      </c>
      <c r="SW50" s="261" t="s">
        <v>221</v>
      </c>
      <c r="SX50" s="261" t="s">
        <v>221</v>
      </c>
      <c r="SY50" s="261" t="s">
        <v>221</v>
      </c>
      <c r="SZ50" s="261" t="s">
        <v>221</v>
      </c>
      <c r="TA50" s="261" t="s">
        <v>221</v>
      </c>
      <c r="TB50" s="261" t="s">
        <v>221</v>
      </c>
      <c r="TC50" s="261" t="s">
        <v>221</v>
      </c>
      <c r="TD50" s="261" t="s">
        <v>221</v>
      </c>
      <c r="TE50" s="261" t="s">
        <v>221</v>
      </c>
      <c r="TF50" s="261" t="s">
        <v>221</v>
      </c>
      <c r="TG50" s="261" t="s">
        <v>221</v>
      </c>
      <c r="TH50" s="261" t="s">
        <v>221</v>
      </c>
      <c r="TI50" s="261" t="s">
        <v>221</v>
      </c>
      <c r="TJ50" s="261" t="s">
        <v>221</v>
      </c>
      <c r="TK50" s="261" t="s">
        <v>221</v>
      </c>
      <c r="TL50" s="261" t="s">
        <v>221</v>
      </c>
      <c r="TM50" s="261" t="s">
        <v>221</v>
      </c>
      <c r="TN50" s="261" t="s">
        <v>221</v>
      </c>
      <c r="TO50" s="261" t="s">
        <v>221</v>
      </c>
      <c r="TP50" s="261" t="s">
        <v>221</v>
      </c>
      <c r="TQ50" s="261" t="s">
        <v>221</v>
      </c>
      <c r="TR50" s="261" t="s">
        <v>221</v>
      </c>
      <c r="TS50" s="261" t="s">
        <v>221</v>
      </c>
      <c r="TT50" s="261" t="s">
        <v>221</v>
      </c>
      <c r="TU50" s="261" t="s">
        <v>221</v>
      </c>
      <c r="TV50" s="261" t="s">
        <v>221</v>
      </c>
      <c r="TW50" s="261" t="s">
        <v>221</v>
      </c>
      <c r="TX50" s="261" t="s">
        <v>221</v>
      </c>
      <c r="TY50" s="261" t="s">
        <v>221</v>
      </c>
      <c r="TZ50" s="261" t="s">
        <v>221</v>
      </c>
      <c r="UA50" s="261" t="s">
        <v>221</v>
      </c>
      <c r="UB50" s="261" t="s">
        <v>221</v>
      </c>
      <c r="UC50" s="261" t="s">
        <v>221</v>
      </c>
      <c r="UD50" s="261" t="s">
        <v>221</v>
      </c>
      <c r="UE50" s="261" t="s">
        <v>221</v>
      </c>
      <c r="UF50" s="261" t="s">
        <v>221</v>
      </c>
      <c r="UG50" s="261" t="s">
        <v>221</v>
      </c>
      <c r="UH50" s="261" t="s">
        <v>221</v>
      </c>
      <c r="UI50" s="261" t="s">
        <v>221</v>
      </c>
      <c r="UJ50" s="261" t="s">
        <v>221</v>
      </c>
      <c r="UK50" s="261" t="s">
        <v>221</v>
      </c>
      <c r="UL50" s="261" t="s">
        <v>221</v>
      </c>
      <c r="UM50" s="264" t="s">
        <v>221</v>
      </c>
      <c r="UN50" s="261" t="s">
        <v>221</v>
      </c>
      <c r="UO50" s="261" t="s">
        <v>221</v>
      </c>
      <c r="UP50" s="261" t="s">
        <v>221</v>
      </c>
      <c r="UQ50" s="261" t="s">
        <v>221</v>
      </c>
      <c r="UR50" s="261" t="s">
        <v>221</v>
      </c>
      <c r="US50" s="261" t="s">
        <v>221</v>
      </c>
      <c r="UT50" s="261" t="s">
        <v>221</v>
      </c>
      <c r="UU50" s="261" t="s">
        <v>221</v>
      </c>
      <c r="UV50" s="261" t="s">
        <v>221</v>
      </c>
      <c r="UW50" s="261" t="s">
        <v>221</v>
      </c>
      <c r="UX50" s="261" t="s">
        <v>221</v>
      </c>
      <c r="UY50" s="261" t="s">
        <v>221</v>
      </c>
      <c r="UZ50" s="261" t="s">
        <v>221</v>
      </c>
      <c r="VA50" s="261" t="s">
        <v>221</v>
      </c>
      <c r="VB50" s="261" t="s">
        <v>221</v>
      </c>
      <c r="VC50" s="261" t="s">
        <v>221</v>
      </c>
      <c r="VD50" s="261" t="s">
        <v>221</v>
      </c>
      <c r="VE50" s="261" t="s">
        <v>221</v>
      </c>
      <c r="VF50" s="261" t="s">
        <v>221</v>
      </c>
      <c r="VG50" s="261" t="s">
        <v>221</v>
      </c>
      <c r="VH50" s="261" t="s">
        <v>221</v>
      </c>
      <c r="VI50" s="261" t="s">
        <v>221</v>
      </c>
      <c r="VJ50" s="261" t="s">
        <v>221</v>
      </c>
      <c r="VK50" s="261" t="s">
        <v>221</v>
      </c>
      <c r="VL50" s="261" t="s">
        <v>221</v>
      </c>
      <c r="VM50" s="261" t="s">
        <v>221</v>
      </c>
      <c r="VN50" s="261" t="s">
        <v>221</v>
      </c>
      <c r="VO50" s="261" t="s">
        <v>221</v>
      </c>
      <c r="VP50" s="262" t="s">
        <v>221</v>
      </c>
      <c r="VQ50" s="261" t="s">
        <v>221</v>
      </c>
      <c r="VR50" s="261" t="s">
        <v>221</v>
      </c>
      <c r="VS50" s="261" t="s">
        <v>221</v>
      </c>
      <c r="VT50" s="261" t="s">
        <v>221</v>
      </c>
      <c r="VU50" s="261" t="s">
        <v>221</v>
      </c>
      <c r="VV50" s="261" t="s">
        <v>221</v>
      </c>
      <c r="VW50" s="261" t="s">
        <v>221</v>
      </c>
      <c r="VX50" s="261" t="s">
        <v>221</v>
      </c>
      <c r="VY50" s="261" t="s">
        <v>221</v>
      </c>
      <c r="VZ50" s="261" t="s">
        <v>221</v>
      </c>
      <c r="WA50" s="261" t="s">
        <v>221</v>
      </c>
      <c r="WB50" s="261" t="s">
        <v>221</v>
      </c>
      <c r="WC50" s="261" t="s">
        <v>221</v>
      </c>
      <c r="WD50" s="261" t="s">
        <v>221</v>
      </c>
      <c r="WE50" s="261" t="s">
        <v>221</v>
      </c>
      <c r="WF50" s="261" t="s">
        <v>221</v>
      </c>
      <c r="WG50" s="261" t="s">
        <v>221</v>
      </c>
      <c r="WH50" s="261" t="s">
        <v>221</v>
      </c>
      <c r="WI50" s="261" t="s">
        <v>221</v>
      </c>
      <c r="WJ50" s="261" t="s">
        <v>221</v>
      </c>
      <c r="WK50" s="261" t="s">
        <v>221</v>
      </c>
      <c r="WL50" s="261" t="s">
        <v>221</v>
      </c>
      <c r="WM50" s="261" t="s">
        <v>221</v>
      </c>
      <c r="WN50" s="261" t="s">
        <v>221</v>
      </c>
      <c r="WO50" s="261" t="s">
        <v>221</v>
      </c>
      <c r="WP50" s="261" t="s">
        <v>221</v>
      </c>
      <c r="WQ50" s="261" t="s">
        <v>221</v>
      </c>
      <c r="WR50" s="261" t="s">
        <v>221</v>
      </c>
      <c r="WS50" s="261" t="s">
        <v>221</v>
      </c>
      <c r="WT50" s="261" t="s">
        <v>221</v>
      </c>
      <c r="WU50" s="261" t="s">
        <v>221</v>
      </c>
      <c r="WV50" s="261" t="s">
        <v>221</v>
      </c>
      <c r="WW50" s="261" t="s">
        <v>221</v>
      </c>
      <c r="WX50" s="261" t="s">
        <v>221</v>
      </c>
      <c r="WY50" s="261" t="s">
        <v>221</v>
      </c>
      <c r="WZ50" s="261" t="s">
        <v>221</v>
      </c>
      <c r="XA50" s="261" t="s">
        <v>221</v>
      </c>
      <c r="XB50" s="261" t="s">
        <v>221</v>
      </c>
      <c r="XC50" s="261" t="s">
        <v>221</v>
      </c>
      <c r="XD50" s="261" t="s">
        <v>221</v>
      </c>
      <c r="XE50" s="261" t="s">
        <v>221</v>
      </c>
      <c r="XF50" s="261" t="s">
        <v>221</v>
      </c>
      <c r="XG50" s="261" t="s">
        <v>221</v>
      </c>
      <c r="XH50" s="261" t="s">
        <v>221</v>
      </c>
      <c r="XI50" s="261" t="s">
        <v>221</v>
      </c>
      <c r="XJ50" s="261" t="s">
        <v>221</v>
      </c>
      <c r="XK50" s="261" t="s">
        <v>221</v>
      </c>
      <c r="XL50" s="261" t="s">
        <v>221</v>
      </c>
      <c r="XM50" s="261" t="s">
        <v>221</v>
      </c>
      <c r="XN50" s="261" t="s">
        <v>221</v>
      </c>
      <c r="XO50" s="261" t="s">
        <v>221</v>
      </c>
      <c r="XP50" s="261" t="s">
        <v>221</v>
      </c>
      <c r="XQ50" s="261" t="s">
        <v>221</v>
      </c>
      <c r="XR50" s="261" t="s">
        <v>221</v>
      </c>
      <c r="XS50" s="261" t="s">
        <v>221</v>
      </c>
      <c r="XT50" s="261" t="s">
        <v>221</v>
      </c>
      <c r="XU50" s="261" t="s">
        <v>221</v>
      </c>
      <c r="XV50" s="261" t="s">
        <v>221</v>
      </c>
      <c r="XW50" s="261" t="s">
        <v>221</v>
      </c>
      <c r="XX50" s="261" t="s">
        <v>221</v>
      </c>
      <c r="XY50" s="261" t="s">
        <v>221</v>
      </c>
      <c r="XZ50" s="261" t="s">
        <v>221</v>
      </c>
      <c r="YA50" s="261" t="s">
        <v>221</v>
      </c>
      <c r="YB50" s="261" t="s">
        <v>221</v>
      </c>
      <c r="YC50" s="261" t="s">
        <v>221</v>
      </c>
      <c r="YD50" s="261" t="s">
        <v>221</v>
      </c>
      <c r="YE50" s="261" t="s">
        <v>221</v>
      </c>
      <c r="YF50" s="261" t="s">
        <v>221</v>
      </c>
      <c r="YG50" s="261" t="s">
        <v>221</v>
      </c>
      <c r="YH50" s="261" t="s">
        <v>221</v>
      </c>
      <c r="YI50" s="261" t="s">
        <v>221</v>
      </c>
      <c r="YJ50" s="261" t="s">
        <v>221</v>
      </c>
      <c r="YK50" s="261" t="s">
        <v>221</v>
      </c>
      <c r="YL50" s="261" t="s">
        <v>221</v>
      </c>
      <c r="YM50" s="261" t="s">
        <v>221</v>
      </c>
      <c r="YN50" s="261" t="s">
        <v>221</v>
      </c>
      <c r="YO50" s="261" t="s">
        <v>221</v>
      </c>
      <c r="YP50" s="261" t="s">
        <v>221</v>
      </c>
      <c r="YQ50" s="261" t="s">
        <v>221</v>
      </c>
      <c r="YR50" s="261" t="s">
        <v>221</v>
      </c>
      <c r="YS50" s="261" t="s">
        <v>221</v>
      </c>
      <c r="YT50" s="261" t="s">
        <v>221</v>
      </c>
      <c r="YU50" s="261" t="s">
        <v>221</v>
      </c>
      <c r="YV50" s="261" t="s">
        <v>221</v>
      </c>
      <c r="YW50" s="261" t="s">
        <v>221</v>
      </c>
      <c r="YX50" s="261" t="s">
        <v>221</v>
      </c>
      <c r="YY50" s="261" t="s">
        <v>221</v>
      </c>
      <c r="YZ50" s="261" t="s">
        <v>221</v>
      </c>
      <c r="ZA50" s="261" t="s">
        <v>221</v>
      </c>
      <c r="ZB50" s="261" t="s">
        <v>221</v>
      </c>
      <c r="ZC50" s="261" t="s">
        <v>221</v>
      </c>
      <c r="ZD50" s="261" t="s">
        <v>221</v>
      </c>
      <c r="ZE50" s="261" t="s">
        <v>221</v>
      </c>
      <c r="ZF50" s="261" t="s">
        <v>221</v>
      </c>
      <c r="ZG50" s="261" t="s">
        <v>221</v>
      </c>
      <c r="ZH50" s="261" t="s">
        <v>221</v>
      </c>
      <c r="ZI50" s="261" t="s">
        <v>221</v>
      </c>
      <c r="ZJ50" s="261" t="s">
        <v>221</v>
      </c>
      <c r="ZK50" s="261" t="s">
        <v>221</v>
      </c>
      <c r="ZL50" s="261" t="s">
        <v>221</v>
      </c>
      <c r="ZM50" s="261" t="s">
        <v>221</v>
      </c>
      <c r="ZN50" s="261" t="s">
        <v>221</v>
      </c>
      <c r="ZO50" s="261" t="s">
        <v>221</v>
      </c>
      <c r="ZP50" s="261" t="s">
        <v>221</v>
      </c>
      <c r="ZQ50" s="261" t="s">
        <v>221</v>
      </c>
      <c r="ZR50" s="261" t="s">
        <v>221</v>
      </c>
      <c r="ZS50" s="261" t="s">
        <v>221</v>
      </c>
      <c r="ZT50" s="261" t="s">
        <v>221</v>
      </c>
      <c r="ZU50" s="261" t="s">
        <v>221</v>
      </c>
      <c r="ZV50" s="261" t="s">
        <v>221</v>
      </c>
      <c r="ZW50" s="261" t="s">
        <v>221</v>
      </c>
      <c r="ZX50" s="261" t="s">
        <v>221</v>
      </c>
      <c r="ZY50" s="261" t="s">
        <v>221</v>
      </c>
      <c r="ZZ50" s="261" t="s">
        <v>221</v>
      </c>
      <c r="AAA50" s="261" t="s">
        <v>221</v>
      </c>
      <c r="AAB50" s="261" t="s">
        <v>221</v>
      </c>
      <c r="AAC50" s="261" t="s">
        <v>221</v>
      </c>
      <c r="AAD50" s="261" t="s">
        <v>221</v>
      </c>
      <c r="AAE50" s="261" t="s">
        <v>221</v>
      </c>
      <c r="AAF50" s="261" t="s">
        <v>221</v>
      </c>
      <c r="AAG50" s="261" t="s">
        <v>221</v>
      </c>
      <c r="AAH50" s="261" t="s">
        <v>221</v>
      </c>
      <c r="AAI50" s="261" t="s">
        <v>221</v>
      </c>
      <c r="AAJ50" s="261" t="s">
        <v>221</v>
      </c>
      <c r="AAK50" s="261" t="s">
        <v>221</v>
      </c>
      <c r="AAL50" s="261" t="s">
        <v>221</v>
      </c>
      <c r="AAM50" s="261" t="s">
        <v>221</v>
      </c>
      <c r="AAN50" s="261" t="s">
        <v>221</v>
      </c>
      <c r="AAO50" s="261" t="s">
        <v>221</v>
      </c>
      <c r="AAP50" s="261" t="s">
        <v>221</v>
      </c>
      <c r="AAQ50" s="261" t="s">
        <v>221</v>
      </c>
      <c r="AAR50" s="261" t="s">
        <v>221</v>
      </c>
      <c r="AAS50" s="261" t="s">
        <v>221</v>
      </c>
      <c r="AAT50" s="261" t="s">
        <v>221</v>
      </c>
      <c r="AAU50" s="261" t="s">
        <v>221</v>
      </c>
      <c r="AAV50" s="261" t="s">
        <v>221</v>
      </c>
      <c r="AAW50" s="261" t="s">
        <v>221</v>
      </c>
      <c r="AAX50" s="261" t="s">
        <v>221</v>
      </c>
      <c r="AAY50" s="261" t="s">
        <v>221</v>
      </c>
      <c r="AAZ50" s="261" t="s">
        <v>221</v>
      </c>
      <c r="ABA50" s="264" t="s">
        <v>221</v>
      </c>
      <c r="ABB50" s="261" t="s">
        <v>221</v>
      </c>
      <c r="ABC50" s="261" t="s">
        <v>221</v>
      </c>
      <c r="ABD50" s="261" t="s">
        <v>221</v>
      </c>
      <c r="ABE50" s="261" t="s">
        <v>221</v>
      </c>
      <c r="ABF50" s="261" t="s">
        <v>221</v>
      </c>
      <c r="ABG50" s="261" t="s">
        <v>221</v>
      </c>
      <c r="ABH50" s="261" t="s">
        <v>221</v>
      </c>
      <c r="ABI50" s="261" t="s">
        <v>221</v>
      </c>
      <c r="ABJ50" s="261" t="s">
        <v>221</v>
      </c>
      <c r="ABK50" s="261" t="s">
        <v>221</v>
      </c>
      <c r="ABL50" s="261" t="s">
        <v>221</v>
      </c>
      <c r="ABM50" s="261" t="s">
        <v>221</v>
      </c>
      <c r="ABN50" s="261" t="s">
        <v>221</v>
      </c>
      <c r="ABO50" s="261" t="s">
        <v>221</v>
      </c>
      <c r="ABP50" s="261" t="s">
        <v>221</v>
      </c>
      <c r="ABQ50" s="261" t="s">
        <v>221</v>
      </c>
      <c r="ABR50" s="261" t="s">
        <v>221</v>
      </c>
      <c r="ABS50" s="261" t="s">
        <v>221</v>
      </c>
      <c r="ABT50" s="261" t="s">
        <v>221</v>
      </c>
      <c r="ABU50" s="261" t="s">
        <v>221</v>
      </c>
      <c r="ABV50" s="261" t="s">
        <v>221</v>
      </c>
      <c r="ABW50" s="261" t="s">
        <v>221</v>
      </c>
      <c r="ABX50" s="261" t="s">
        <v>221</v>
      </c>
      <c r="ABY50" s="261" t="s">
        <v>221</v>
      </c>
      <c r="ABZ50" s="261" t="s">
        <v>221</v>
      </c>
      <c r="ACA50" s="261" t="s">
        <v>221</v>
      </c>
      <c r="ACB50" s="261" t="s">
        <v>221</v>
      </c>
      <c r="ACC50" s="261" t="s">
        <v>221</v>
      </c>
      <c r="ACD50" s="261" t="s">
        <v>221</v>
      </c>
      <c r="ACE50" s="261" t="s">
        <v>221</v>
      </c>
      <c r="ACF50" s="261" t="s">
        <v>221</v>
      </c>
      <c r="ACG50" s="264" t="s">
        <v>221</v>
      </c>
      <c r="ACH50" s="261" t="s">
        <v>221</v>
      </c>
      <c r="ACI50" s="261" t="s">
        <v>221</v>
      </c>
      <c r="ACJ50" s="261" t="s">
        <v>221</v>
      </c>
      <c r="ACK50" s="261" t="s">
        <v>221</v>
      </c>
      <c r="ACL50" s="261" t="s">
        <v>221</v>
      </c>
      <c r="ACM50" s="261" t="s">
        <v>221</v>
      </c>
      <c r="ACN50" s="261" t="s">
        <v>221</v>
      </c>
      <c r="ACO50" s="261" t="s">
        <v>221</v>
      </c>
      <c r="ACP50" s="261" t="s">
        <v>221</v>
      </c>
      <c r="ACQ50" s="261" t="s">
        <v>221</v>
      </c>
      <c r="ACR50" s="261" t="s">
        <v>221</v>
      </c>
      <c r="ACS50" s="261" t="s">
        <v>221</v>
      </c>
      <c r="ACT50" s="261" t="s">
        <v>221</v>
      </c>
      <c r="ACU50" s="261" t="s">
        <v>221</v>
      </c>
      <c r="ACV50" s="261" t="s">
        <v>221</v>
      </c>
      <c r="ACW50" s="261" t="s">
        <v>221</v>
      </c>
      <c r="ACX50" s="261" t="s">
        <v>221</v>
      </c>
      <c r="ACY50" s="261" t="s">
        <v>221</v>
      </c>
      <c r="ACZ50" s="261" t="s">
        <v>221</v>
      </c>
      <c r="ADA50" s="261" t="s">
        <v>221</v>
      </c>
      <c r="ADB50" s="262" t="s">
        <v>221</v>
      </c>
      <c r="ADC50" s="261" t="s">
        <v>221</v>
      </c>
      <c r="ADD50" s="261" t="s">
        <v>221</v>
      </c>
      <c r="ADE50" s="261" t="s">
        <v>221</v>
      </c>
      <c r="ADF50" s="261" t="s">
        <v>221</v>
      </c>
      <c r="ADG50" s="261" t="s">
        <v>221</v>
      </c>
      <c r="ADH50" s="261" t="s">
        <v>221</v>
      </c>
      <c r="ADI50" s="261" t="s">
        <v>221</v>
      </c>
      <c r="ADJ50" s="261" t="s">
        <v>221</v>
      </c>
      <c r="ADK50" s="261" t="s">
        <v>221</v>
      </c>
      <c r="ADL50" s="261" t="s">
        <v>221</v>
      </c>
      <c r="ADM50" s="261" t="s">
        <v>221</v>
      </c>
      <c r="ADN50" s="261" t="s">
        <v>221</v>
      </c>
      <c r="ADO50" s="261" t="s">
        <v>221</v>
      </c>
      <c r="ADP50" s="261" t="s">
        <v>221</v>
      </c>
      <c r="ADQ50" s="261" t="s">
        <v>221</v>
      </c>
      <c r="ADR50" s="261" t="s">
        <v>221</v>
      </c>
      <c r="ADS50" s="261" t="s">
        <v>221</v>
      </c>
      <c r="ADT50" s="261" t="s">
        <v>221</v>
      </c>
      <c r="ADU50" s="261" t="s">
        <v>221</v>
      </c>
      <c r="ADV50" s="261" t="s">
        <v>221</v>
      </c>
      <c r="ADW50" s="261" t="s">
        <v>221</v>
      </c>
      <c r="ADX50" s="261" t="s">
        <v>221</v>
      </c>
      <c r="ADY50" s="261" t="s">
        <v>221</v>
      </c>
      <c r="ADZ50" s="261" t="s">
        <v>221</v>
      </c>
      <c r="AEA50" s="261" t="s">
        <v>221</v>
      </c>
      <c r="AEB50" s="261" t="s">
        <v>221</v>
      </c>
      <c r="AEC50" s="261" t="s">
        <v>221</v>
      </c>
      <c r="AED50" s="261" t="s">
        <v>221</v>
      </c>
      <c r="AEE50" s="261" t="s">
        <v>221</v>
      </c>
      <c r="AEF50" s="261" t="s">
        <v>221</v>
      </c>
      <c r="AEG50" s="261" t="s">
        <v>221</v>
      </c>
      <c r="AEH50" s="261" t="s">
        <v>221</v>
      </c>
      <c r="AEI50" s="261" t="s">
        <v>221</v>
      </c>
      <c r="AEJ50" s="261" t="s">
        <v>221</v>
      </c>
      <c r="AEK50" s="261" t="s">
        <v>221</v>
      </c>
      <c r="AEL50" s="261" t="s">
        <v>221</v>
      </c>
      <c r="AEM50" s="261" t="s">
        <v>221</v>
      </c>
      <c r="AEN50" s="261" t="s">
        <v>221</v>
      </c>
      <c r="AEO50" s="261" t="s">
        <v>221</v>
      </c>
      <c r="AEP50" s="261" t="s">
        <v>221</v>
      </c>
      <c r="AEQ50" s="261" t="s">
        <v>221</v>
      </c>
      <c r="AER50" s="261" t="s">
        <v>221</v>
      </c>
      <c r="AES50" s="261" t="s">
        <v>221</v>
      </c>
      <c r="AET50" s="261" t="s">
        <v>221</v>
      </c>
      <c r="AEU50" s="261" t="s">
        <v>221</v>
      </c>
      <c r="AEV50" s="261" t="s">
        <v>221</v>
      </c>
      <c r="AEW50" s="261" t="s">
        <v>221</v>
      </c>
      <c r="AEX50" s="144" t="s">
        <v>221</v>
      </c>
    </row>
    <row r="51" spans="1:830" x14ac:dyDescent="0.25">
      <c r="F51" s="32"/>
      <c r="I51" t="s">
        <v>220</v>
      </c>
      <c r="J51" s="27">
        <f>J54</f>
        <v>0</v>
      </c>
      <c r="K51" s="27">
        <f>J51-REKAP!D16</f>
        <v>0</v>
      </c>
      <c r="N51" s="139"/>
      <c r="BZ51" s="140"/>
      <c r="EW51" s="139"/>
      <c r="HC51" s="145"/>
      <c r="KZ51" s="130"/>
      <c r="MR51" s="139"/>
      <c r="NP51" s="145"/>
      <c r="OC51" s="145"/>
      <c r="RM51" s="145"/>
      <c r="UM51" s="139"/>
      <c r="VO51" s="86"/>
      <c r="ABA51" s="86"/>
      <c r="ACG51" s="86"/>
      <c r="ADA51" s="86"/>
    </row>
    <row r="52" spans="1:830" hidden="1" x14ac:dyDescent="0.25">
      <c r="F52" s="32"/>
      <c r="G52" t="s">
        <v>218</v>
      </c>
      <c r="H52" t="s">
        <v>220</v>
      </c>
      <c r="J52" s="27">
        <f>SUMIFS($J$5:$J$49,$H$5:$H$49,H52,$G$5:$G$49,G52)</f>
        <v>0</v>
      </c>
      <c r="N52" s="139"/>
      <c r="BZ52" s="140"/>
      <c r="EW52" s="139"/>
      <c r="HC52" s="145"/>
      <c r="MR52" s="139"/>
      <c r="NG52" s="70">
        <f>SMK!$G15</f>
        <v>0</v>
      </c>
      <c r="NP52" s="145"/>
      <c r="OC52" s="145"/>
      <c r="RM52" s="145"/>
      <c r="UM52" s="139"/>
      <c r="VO52" s="86"/>
      <c r="ABA52" s="86"/>
      <c r="ACG52" s="86"/>
      <c r="ADA52" s="86"/>
    </row>
    <row r="53" spans="1:830" hidden="1" x14ac:dyDescent="0.25">
      <c r="F53" s="32"/>
      <c r="G53" t="s">
        <v>219</v>
      </c>
      <c r="H53" t="s">
        <v>220</v>
      </c>
      <c r="J53" s="27">
        <f>SUMIFS($J$5:$J$49,$H$5:$H$49,H53,$G$5:$G$49,G53)</f>
        <v>0</v>
      </c>
      <c r="N53" s="139"/>
      <c r="BZ53" s="140"/>
      <c r="EW53" s="139"/>
      <c r="HC53" s="145"/>
      <c r="MR53" s="139"/>
      <c r="NG53" s="70">
        <f>SMK!$G16</f>
        <v>0</v>
      </c>
      <c r="NP53" s="145"/>
      <c r="NT53" s="70">
        <f>PROD!G4</f>
        <v>0</v>
      </c>
      <c r="OC53" s="145"/>
      <c r="RM53" s="145"/>
      <c r="SU53" s="70"/>
      <c r="UM53" s="139"/>
      <c r="VO53" s="86"/>
      <c r="ACG53" s="86"/>
      <c r="ADA53" s="86"/>
    </row>
    <row r="54" spans="1:830" hidden="1" x14ac:dyDescent="0.25">
      <c r="F54" s="32"/>
      <c r="G54" t="s">
        <v>639</v>
      </c>
      <c r="J54" s="27">
        <f>J53+J52</f>
        <v>0</v>
      </c>
      <c r="K54" s="27">
        <f>J54-REKAP!D16</f>
        <v>0</v>
      </c>
      <c r="M54" t="s">
        <v>183</v>
      </c>
      <c r="N54" s="139">
        <f t="shared" ref="N54:AS54" si="163">N5/40</f>
        <v>0</v>
      </c>
      <c r="O54" s="139">
        <f t="shared" si="163"/>
        <v>0</v>
      </c>
      <c r="P54" s="139">
        <f t="shared" si="163"/>
        <v>0</v>
      </c>
      <c r="Q54" s="139">
        <f t="shared" si="163"/>
        <v>0</v>
      </c>
      <c r="R54" s="139">
        <f t="shared" si="163"/>
        <v>0</v>
      </c>
      <c r="S54" s="139">
        <f t="shared" si="163"/>
        <v>0</v>
      </c>
      <c r="T54" s="139">
        <f t="shared" si="163"/>
        <v>0</v>
      </c>
      <c r="U54" s="139">
        <f t="shared" si="163"/>
        <v>0</v>
      </c>
      <c r="V54" s="139">
        <f t="shared" si="163"/>
        <v>0</v>
      </c>
      <c r="W54" s="139">
        <f t="shared" si="163"/>
        <v>0</v>
      </c>
      <c r="X54" s="139">
        <f t="shared" si="163"/>
        <v>0</v>
      </c>
      <c r="Y54" s="139">
        <f t="shared" si="163"/>
        <v>0</v>
      </c>
      <c r="Z54" s="139">
        <f t="shared" si="163"/>
        <v>0</v>
      </c>
      <c r="AA54" s="139">
        <f t="shared" si="163"/>
        <v>0</v>
      </c>
      <c r="AB54" s="139">
        <f t="shared" si="163"/>
        <v>0</v>
      </c>
      <c r="AC54" s="139">
        <f t="shared" si="163"/>
        <v>0</v>
      </c>
      <c r="AD54" s="139">
        <f t="shared" si="163"/>
        <v>0</v>
      </c>
      <c r="AE54" s="139">
        <f t="shared" si="163"/>
        <v>0</v>
      </c>
      <c r="AF54" s="139">
        <f t="shared" si="163"/>
        <v>0</v>
      </c>
      <c r="AG54" s="139">
        <f t="shared" si="163"/>
        <v>0</v>
      </c>
      <c r="AH54" s="139">
        <f t="shared" si="163"/>
        <v>0</v>
      </c>
      <c r="AI54" s="139">
        <f t="shared" si="163"/>
        <v>0</v>
      </c>
      <c r="AJ54" s="139">
        <f t="shared" si="163"/>
        <v>0</v>
      </c>
      <c r="AK54" s="139">
        <f t="shared" si="163"/>
        <v>0</v>
      </c>
      <c r="AL54" s="139">
        <f t="shared" si="163"/>
        <v>0</v>
      </c>
      <c r="AM54" s="139">
        <f t="shared" si="163"/>
        <v>0</v>
      </c>
      <c r="AN54" s="139">
        <f t="shared" si="163"/>
        <v>0</v>
      </c>
      <c r="AO54" s="139">
        <f t="shared" si="163"/>
        <v>0</v>
      </c>
      <c r="AP54" s="139">
        <f t="shared" si="163"/>
        <v>0</v>
      </c>
      <c r="AQ54" s="139">
        <f t="shared" si="163"/>
        <v>0</v>
      </c>
      <c r="AR54" s="139">
        <f t="shared" si="163"/>
        <v>0</v>
      </c>
      <c r="AS54" s="139">
        <f t="shared" si="163"/>
        <v>0</v>
      </c>
      <c r="AT54" s="139">
        <f t="shared" ref="AT54:BY54" si="164">AT5/40</f>
        <v>0</v>
      </c>
      <c r="AU54" s="139">
        <f t="shared" si="164"/>
        <v>0</v>
      </c>
      <c r="AV54" s="139">
        <f t="shared" si="164"/>
        <v>0</v>
      </c>
      <c r="AW54" s="139">
        <f t="shared" si="164"/>
        <v>0</v>
      </c>
      <c r="AX54" s="139">
        <f t="shared" si="164"/>
        <v>0</v>
      </c>
      <c r="AY54" s="139">
        <f t="shared" si="164"/>
        <v>0</v>
      </c>
      <c r="AZ54" s="139">
        <f t="shared" si="164"/>
        <v>0</v>
      </c>
      <c r="BA54" s="139">
        <f t="shared" si="164"/>
        <v>0</v>
      </c>
      <c r="BB54" s="139">
        <f t="shared" si="164"/>
        <v>0</v>
      </c>
      <c r="BC54" s="139">
        <f t="shared" si="164"/>
        <v>0</v>
      </c>
      <c r="BD54" s="139">
        <f t="shared" si="164"/>
        <v>0</v>
      </c>
      <c r="BE54" s="139">
        <f t="shared" si="164"/>
        <v>0</v>
      </c>
      <c r="BF54" s="139">
        <f t="shared" si="164"/>
        <v>0</v>
      </c>
      <c r="BG54" s="139">
        <f t="shared" si="164"/>
        <v>0</v>
      </c>
      <c r="BH54" s="139">
        <f t="shared" si="164"/>
        <v>0</v>
      </c>
      <c r="BI54" s="139">
        <f t="shared" si="164"/>
        <v>0</v>
      </c>
      <c r="BJ54" s="139">
        <f t="shared" si="164"/>
        <v>0</v>
      </c>
      <c r="BK54" s="139">
        <f t="shared" si="164"/>
        <v>0</v>
      </c>
      <c r="BL54" s="139">
        <f t="shared" si="164"/>
        <v>0</v>
      </c>
      <c r="BM54" s="139">
        <f t="shared" si="164"/>
        <v>0</v>
      </c>
      <c r="BN54" s="139">
        <f t="shared" si="164"/>
        <v>0</v>
      </c>
      <c r="BO54" s="139">
        <f t="shared" si="164"/>
        <v>0</v>
      </c>
      <c r="BP54" s="139">
        <f t="shared" si="164"/>
        <v>0</v>
      </c>
      <c r="BQ54" s="139">
        <f t="shared" si="164"/>
        <v>0</v>
      </c>
      <c r="BR54" s="139">
        <f t="shared" si="164"/>
        <v>0</v>
      </c>
      <c r="BS54" s="139">
        <f t="shared" si="164"/>
        <v>0</v>
      </c>
      <c r="BT54" s="139">
        <f t="shared" si="164"/>
        <v>0</v>
      </c>
      <c r="BU54" s="139">
        <f t="shared" si="164"/>
        <v>0</v>
      </c>
      <c r="BV54" s="139">
        <f t="shared" si="164"/>
        <v>0</v>
      </c>
      <c r="BW54" s="139">
        <f t="shared" si="164"/>
        <v>0</v>
      </c>
      <c r="BX54" s="139">
        <f t="shared" si="164"/>
        <v>0</v>
      </c>
      <c r="BY54" s="139">
        <f t="shared" si="164"/>
        <v>0</v>
      </c>
      <c r="BZ54" s="139">
        <f t="shared" ref="BZ54:CI54" si="165">BZ5/40</f>
        <v>0</v>
      </c>
      <c r="CA54" s="139">
        <f t="shared" si="165"/>
        <v>0</v>
      </c>
      <c r="CB54" s="139">
        <f t="shared" si="165"/>
        <v>0</v>
      </c>
      <c r="CC54" s="139">
        <f t="shared" si="165"/>
        <v>0</v>
      </c>
      <c r="CD54" s="139">
        <f t="shared" si="165"/>
        <v>0</v>
      </c>
      <c r="CE54" s="139">
        <f t="shared" si="165"/>
        <v>0</v>
      </c>
      <c r="CF54" s="139">
        <f t="shared" si="165"/>
        <v>0</v>
      </c>
      <c r="CG54" s="139">
        <f t="shared" si="165"/>
        <v>0</v>
      </c>
      <c r="CH54" s="139">
        <f t="shared" si="165"/>
        <v>0</v>
      </c>
      <c r="CI54" s="139">
        <f t="shared" si="165"/>
        <v>0</v>
      </c>
      <c r="CJ54" s="139">
        <f t="shared" ref="CJ54:DO54" si="166">CJ5/100</f>
        <v>0</v>
      </c>
      <c r="CK54" s="139">
        <f t="shared" si="166"/>
        <v>0</v>
      </c>
      <c r="CL54" s="139">
        <f t="shared" si="166"/>
        <v>0</v>
      </c>
      <c r="CM54" s="139">
        <f t="shared" si="166"/>
        <v>0</v>
      </c>
      <c r="CN54" s="139">
        <f t="shared" si="166"/>
        <v>0</v>
      </c>
      <c r="CO54" s="139">
        <f t="shared" si="166"/>
        <v>0</v>
      </c>
      <c r="CP54" s="139">
        <f t="shared" si="166"/>
        <v>0</v>
      </c>
      <c r="CQ54" s="139">
        <f t="shared" si="166"/>
        <v>0</v>
      </c>
      <c r="CR54" s="139">
        <f t="shared" si="166"/>
        <v>0</v>
      </c>
      <c r="CS54" s="139">
        <f t="shared" si="166"/>
        <v>0</v>
      </c>
      <c r="CT54" s="139">
        <f t="shared" si="166"/>
        <v>0</v>
      </c>
      <c r="CU54" s="139">
        <f t="shared" si="166"/>
        <v>0</v>
      </c>
      <c r="CV54" s="139">
        <f t="shared" si="166"/>
        <v>0</v>
      </c>
      <c r="CW54" s="139">
        <f t="shared" si="166"/>
        <v>0</v>
      </c>
      <c r="CX54" s="139">
        <f t="shared" si="166"/>
        <v>0</v>
      </c>
      <c r="CY54" s="139">
        <f t="shared" si="166"/>
        <v>0</v>
      </c>
      <c r="CZ54" s="139">
        <f t="shared" si="166"/>
        <v>0</v>
      </c>
      <c r="DA54" s="139">
        <f t="shared" si="166"/>
        <v>0</v>
      </c>
      <c r="DB54" s="139">
        <f t="shared" si="166"/>
        <v>0</v>
      </c>
      <c r="DC54" s="139">
        <f t="shared" si="166"/>
        <v>0</v>
      </c>
      <c r="DD54" s="139">
        <f t="shared" si="166"/>
        <v>0</v>
      </c>
      <c r="DE54" s="139">
        <f t="shared" si="166"/>
        <v>0</v>
      </c>
      <c r="DF54" s="139">
        <f t="shared" si="166"/>
        <v>0</v>
      </c>
      <c r="DG54" s="139">
        <f t="shared" si="166"/>
        <v>0</v>
      </c>
      <c r="DH54" s="139">
        <f t="shared" si="166"/>
        <v>0</v>
      </c>
      <c r="DI54" s="139">
        <f t="shared" si="166"/>
        <v>0</v>
      </c>
      <c r="DJ54" s="139">
        <f t="shared" si="166"/>
        <v>0</v>
      </c>
      <c r="DK54" s="139">
        <f t="shared" si="166"/>
        <v>0</v>
      </c>
      <c r="DL54" s="139">
        <f t="shared" si="166"/>
        <v>0</v>
      </c>
      <c r="DM54" s="139">
        <f t="shared" si="166"/>
        <v>0</v>
      </c>
      <c r="DN54" s="139">
        <f t="shared" si="166"/>
        <v>0</v>
      </c>
      <c r="DO54" s="139">
        <f t="shared" si="166"/>
        <v>0</v>
      </c>
      <c r="DP54" s="139">
        <f t="shared" ref="DP54:EU54" si="167">DP5/100</f>
        <v>0</v>
      </c>
      <c r="DQ54" s="139">
        <f t="shared" si="167"/>
        <v>0</v>
      </c>
      <c r="DR54" s="139">
        <f t="shared" si="167"/>
        <v>0</v>
      </c>
      <c r="DS54" s="139">
        <f t="shared" si="167"/>
        <v>0</v>
      </c>
      <c r="DT54" s="139">
        <f t="shared" si="167"/>
        <v>0</v>
      </c>
      <c r="DU54" s="139">
        <f t="shared" si="167"/>
        <v>0</v>
      </c>
      <c r="DV54" s="139">
        <f t="shared" si="167"/>
        <v>0</v>
      </c>
      <c r="DW54" s="139">
        <f t="shared" si="167"/>
        <v>0</v>
      </c>
      <c r="DX54" s="139">
        <f t="shared" si="167"/>
        <v>0</v>
      </c>
      <c r="DY54" s="139">
        <f t="shared" si="167"/>
        <v>0</v>
      </c>
      <c r="DZ54" s="139">
        <f t="shared" si="167"/>
        <v>0</v>
      </c>
      <c r="EA54" s="139">
        <f t="shared" si="167"/>
        <v>0</v>
      </c>
      <c r="EB54" s="139">
        <f t="shared" si="167"/>
        <v>0</v>
      </c>
      <c r="EC54" s="139">
        <f t="shared" si="167"/>
        <v>0</v>
      </c>
      <c r="ED54" s="139">
        <f t="shared" si="167"/>
        <v>0</v>
      </c>
      <c r="EE54" s="139">
        <f t="shared" si="167"/>
        <v>0</v>
      </c>
      <c r="EF54" s="139">
        <f t="shared" si="167"/>
        <v>0</v>
      </c>
      <c r="EG54" s="139">
        <f t="shared" si="167"/>
        <v>0</v>
      </c>
      <c r="EH54" s="139">
        <f t="shared" si="167"/>
        <v>0</v>
      </c>
      <c r="EI54" s="139">
        <f t="shared" si="167"/>
        <v>0</v>
      </c>
      <c r="EJ54" s="139">
        <f t="shared" si="167"/>
        <v>0</v>
      </c>
      <c r="EK54" s="139">
        <f t="shared" si="167"/>
        <v>0</v>
      </c>
      <c r="EL54" s="139">
        <f t="shared" si="167"/>
        <v>0</v>
      </c>
      <c r="EM54" s="139">
        <f t="shared" si="167"/>
        <v>0</v>
      </c>
      <c r="EN54" s="139">
        <f t="shared" si="167"/>
        <v>0</v>
      </c>
      <c r="EO54" s="139">
        <f t="shared" si="167"/>
        <v>0</v>
      </c>
      <c r="EP54" s="139">
        <f t="shared" si="167"/>
        <v>0</v>
      </c>
      <c r="EQ54" s="139">
        <f t="shared" si="167"/>
        <v>0</v>
      </c>
      <c r="ER54" s="139">
        <f t="shared" si="167"/>
        <v>0</v>
      </c>
      <c r="ES54" s="139">
        <f t="shared" si="167"/>
        <v>0</v>
      </c>
      <c r="ET54" s="139">
        <f t="shared" si="167"/>
        <v>0</v>
      </c>
      <c r="EU54" s="139">
        <f t="shared" si="167"/>
        <v>0</v>
      </c>
      <c r="EV54" s="139">
        <f t="shared" ref="EV54:GA54" si="168">EV5/100</f>
        <v>0</v>
      </c>
      <c r="EW54" s="139">
        <f t="shared" si="168"/>
        <v>0</v>
      </c>
      <c r="EX54" s="139">
        <f t="shared" si="168"/>
        <v>0</v>
      </c>
      <c r="EY54" s="139">
        <f t="shared" si="168"/>
        <v>0</v>
      </c>
      <c r="EZ54" s="139">
        <f t="shared" si="168"/>
        <v>0</v>
      </c>
      <c r="FA54" s="139">
        <f t="shared" si="168"/>
        <v>0</v>
      </c>
      <c r="FB54" s="139">
        <f t="shared" si="168"/>
        <v>0</v>
      </c>
      <c r="FC54" s="139">
        <f t="shared" si="168"/>
        <v>0</v>
      </c>
      <c r="FD54" s="139">
        <f t="shared" si="168"/>
        <v>0</v>
      </c>
      <c r="FE54" s="139">
        <f t="shared" si="168"/>
        <v>0</v>
      </c>
      <c r="FF54" s="139">
        <f t="shared" si="168"/>
        <v>0</v>
      </c>
      <c r="FG54" s="139">
        <f t="shared" si="168"/>
        <v>0</v>
      </c>
      <c r="FH54" s="139">
        <f t="shared" si="168"/>
        <v>0</v>
      </c>
      <c r="FI54" s="139">
        <f t="shared" si="168"/>
        <v>0</v>
      </c>
      <c r="FJ54" s="139">
        <f t="shared" si="168"/>
        <v>0</v>
      </c>
      <c r="FK54" s="139">
        <f t="shared" si="168"/>
        <v>0</v>
      </c>
      <c r="FL54" s="139">
        <f t="shared" si="168"/>
        <v>0</v>
      </c>
      <c r="FM54" s="139">
        <f t="shared" si="168"/>
        <v>0</v>
      </c>
      <c r="FN54" s="139">
        <f t="shared" si="168"/>
        <v>0</v>
      </c>
      <c r="FO54" s="139">
        <f t="shared" si="168"/>
        <v>0</v>
      </c>
      <c r="FP54" s="139">
        <f t="shared" si="168"/>
        <v>0</v>
      </c>
      <c r="FQ54" s="139">
        <f t="shared" si="168"/>
        <v>0</v>
      </c>
      <c r="FR54" s="139">
        <f t="shared" si="168"/>
        <v>0</v>
      </c>
      <c r="FS54" s="139">
        <f t="shared" si="168"/>
        <v>0</v>
      </c>
      <c r="FT54" s="139">
        <f t="shared" si="168"/>
        <v>0</v>
      </c>
      <c r="FU54" s="139">
        <f t="shared" si="168"/>
        <v>0</v>
      </c>
      <c r="FV54" s="139">
        <f t="shared" si="168"/>
        <v>0</v>
      </c>
      <c r="FW54" s="139">
        <f t="shared" si="168"/>
        <v>0</v>
      </c>
      <c r="FX54" s="139">
        <f t="shared" si="168"/>
        <v>0</v>
      </c>
      <c r="FY54" s="139">
        <f t="shared" si="168"/>
        <v>0</v>
      </c>
      <c r="FZ54" s="139">
        <f t="shared" si="168"/>
        <v>0</v>
      </c>
      <c r="GA54" s="139">
        <f t="shared" si="168"/>
        <v>0</v>
      </c>
      <c r="GB54" s="139">
        <f t="shared" ref="GB54:HA54" si="169">GB5/100</f>
        <v>0</v>
      </c>
      <c r="GC54" s="139">
        <f t="shared" si="169"/>
        <v>0</v>
      </c>
      <c r="GD54" s="139">
        <f t="shared" si="169"/>
        <v>0</v>
      </c>
      <c r="GE54" s="139">
        <f t="shared" si="169"/>
        <v>0</v>
      </c>
      <c r="GF54" s="139">
        <f t="shared" si="169"/>
        <v>0</v>
      </c>
      <c r="GG54" s="139">
        <f t="shared" si="169"/>
        <v>0</v>
      </c>
      <c r="GH54" s="139">
        <f t="shared" si="169"/>
        <v>0</v>
      </c>
      <c r="GI54" s="139">
        <f t="shared" si="169"/>
        <v>0</v>
      </c>
      <c r="GJ54" s="139">
        <f t="shared" si="169"/>
        <v>0</v>
      </c>
      <c r="GK54" s="139">
        <f t="shared" si="169"/>
        <v>0</v>
      </c>
      <c r="GL54" s="139">
        <f t="shared" si="169"/>
        <v>0</v>
      </c>
      <c r="GM54" s="139">
        <f t="shared" si="169"/>
        <v>0</v>
      </c>
      <c r="GN54" s="139">
        <f t="shared" si="169"/>
        <v>0</v>
      </c>
      <c r="GO54" s="139">
        <f t="shared" si="169"/>
        <v>0</v>
      </c>
      <c r="GP54" s="139">
        <f t="shared" si="169"/>
        <v>0</v>
      </c>
      <c r="GQ54" s="139">
        <f t="shared" si="169"/>
        <v>0</v>
      </c>
      <c r="GR54" s="139">
        <f t="shared" si="169"/>
        <v>0</v>
      </c>
      <c r="GS54" s="139">
        <f t="shared" si="169"/>
        <v>0</v>
      </c>
      <c r="GT54" s="139">
        <f t="shared" si="169"/>
        <v>0</v>
      </c>
      <c r="GU54" s="139">
        <f t="shared" si="169"/>
        <v>0</v>
      </c>
      <c r="GV54" s="139">
        <f t="shared" si="169"/>
        <v>0</v>
      </c>
      <c r="GW54" s="139">
        <f t="shared" si="169"/>
        <v>0</v>
      </c>
      <c r="GX54" s="139">
        <f t="shared" si="169"/>
        <v>0</v>
      </c>
      <c r="GY54" s="139">
        <f t="shared" si="169"/>
        <v>0</v>
      </c>
      <c r="GZ54" s="139">
        <f t="shared" si="169"/>
        <v>0</v>
      </c>
      <c r="HA54" s="139">
        <f t="shared" si="169"/>
        <v>0</v>
      </c>
      <c r="HB54" s="139">
        <f t="shared" ref="HB54:II54" si="170">HB5/40</f>
        <v>0</v>
      </c>
      <c r="HC54" s="139">
        <f t="shared" si="170"/>
        <v>0</v>
      </c>
      <c r="HD54" s="139">
        <f t="shared" si="170"/>
        <v>0</v>
      </c>
      <c r="HE54" s="139">
        <f t="shared" si="170"/>
        <v>0</v>
      </c>
      <c r="HF54" s="139">
        <f t="shared" si="170"/>
        <v>0</v>
      </c>
      <c r="HG54" s="139">
        <f t="shared" si="170"/>
        <v>0</v>
      </c>
      <c r="HH54" s="139">
        <f t="shared" si="170"/>
        <v>0</v>
      </c>
      <c r="HI54" s="139">
        <f t="shared" si="170"/>
        <v>0</v>
      </c>
      <c r="HJ54" s="139">
        <f t="shared" si="170"/>
        <v>0</v>
      </c>
      <c r="HK54" s="139">
        <f t="shared" si="170"/>
        <v>0</v>
      </c>
      <c r="HL54" s="139">
        <f t="shared" si="170"/>
        <v>0</v>
      </c>
      <c r="HM54" s="139">
        <f t="shared" si="170"/>
        <v>0</v>
      </c>
      <c r="HN54" s="139">
        <f t="shared" si="170"/>
        <v>0</v>
      </c>
      <c r="HO54" s="139">
        <f t="shared" si="170"/>
        <v>0</v>
      </c>
      <c r="HP54" s="139">
        <f t="shared" si="170"/>
        <v>0</v>
      </c>
      <c r="HQ54" s="139">
        <f t="shared" si="170"/>
        <v>0</v>
      </c>
      <c r="HR54" s="139">
        <f t="shared" si="170"/>
        <v>0</v>
      </c>
      <c r="HS54" s="139">
        <f t="shared" si="170"/>
        <v>0</v>
      </c>
      <c r="HT54" s="139">
        <f t="shared" si="170"/>
        <v>0</v>
      </c>
      <c r="HU54" s="139">
        <f t="shared" si="170"/>
        <v>0</v>
      </c>
      <c r="HV54" s="139">
        <f t="shared" si="170"/>
        <v>0</v>
      </c>
      <c r="HW54" s="139">
        <f t="shared" si="170"/>
        <v>0</v>
      </c>
      <c r="HX54" s="139">
        <f t="shared" si="170"/>
        <v>0</v>
      </c>
      <c r="HY54" s="139">
        <f t="shared" si="170"/>
        <v>0</v>
      </c>
      <c r="HZ54" s="139">
        <f t="shared" si="170"/>
        <v>0</v>
      </c>
      <c r="IA54" s="139">
        <f t="shared" si="170"/>
        <v>0</v>
      </c>
      <c r="IB54" s="139">
        <f t="shared" si="170"/>
        <v>0</v>
      </c>
      <c r="IC54" s="139">
        <f t="shared" si="170"/>
        <v>0</v>
      </c>
      <c r="ID54" s="139">
        <f t="shared" si="170"/>
        <v>0</v>
      </c>
      <c r="IE54" s="139">
        <f t="shared" si="170"/>
        <v>0</v>
      </c>
      <c r="IF54" s="139">
        <f t="shared" si="170"/>
        <v>0</v>
      </c>
      <c r="IG54" s="139">
        <f t="shared" si="170"/>
        <v>0</v>
      </c>
      <c r="IH54" s="139">
        <f t="shared" si="170"/>
        <v>0</v>
      </c>
      <c r="II54" s="139">
        <f t="shared" si="170"/>
        <v>0</v>
      </c>
      <c r="IJ54" s="139">
        <f t="shared" ref="IJ54:JM54" si="171">IJ5/100</f>
        <v>0</v>
      </c>
      <c r="IK54" s="139">
        <f t="shared" si="171"/>
        <v>0</v>
      </c>
      <c r="IL54" s="139">
        <f t="shared" si="171"/>
        <v>0</v>
      </c>
      <c r="IM54" s="139">
        <f t="shared" si="171"/>
        <v>0</v>
      </c>
      <c r="IN54" s="139">
        <f t="shared" si="171"/>
        <v>0</v>
      </c>
      <c r="IO54" s="139">
        <f t="shared" si="171"/>
        <v>0</v>
      </c>
      <c r="IP54" s="139">
        <f t="shared" si="171"/>
        <v>0</v>
      </c>
      <c r="IQ54" s="139">
        <f t="shared" si="171"/>
        <v>0</v>
      </c>
      <c r="IR54" s="139">
        <f t="shared" si="171"/>
        <v>0</v>
      </c>
      <c r="IS54" s="139">
        <f t="shared" si="171"/>
        <v>0</v>
      </c>
      <c r="IT54" s="139">
        <f t="shared" si="171"/>
        <v>0</v>
      </c>
      <c r="IU54" s="139">
        <f t="shared" si="171"/>
        <v>0</v>
      </c>
      <c r="IV54" s="139">
        <f t="shared" si="171"/>
        <v>0</v>
      </c>
      <c r="IW54" s="139">
        <f t="shared" si="171"/>
        <v>0</v>
      </c>
      <c r="IX54" s="139">
        <f t="shared" si="171"/>
        <v>0</v>
      </c>
      <c r="IY54" s="139">
        <f t="shared" si="171"/>
        <v>0</v>
      </c>
      <c r="IZ54" s="139">
        <f t="shared" si="171"/>
        <v>0</v>
      </c>
      <c r="JA54" s="139">
        <f t="shared" si="171"/>
        <v>0</v>
      </c>
      <c r="JB54" s="139">
        <f t="shared" si="171"/>
        <v>0</v>
      </c>
      <c r="JC54" s="139">
        <f t="shared" si="171"/>
        <v>0</v>
      </c>
      <c r="JD54" s="139">
        <f t="shared" si="171"/>
        <v>0</v>
      </c>
      <c r="JE54" s="139">
        <f t="shared" si="171"/>
        <v>0</v>
      </c>
      <c r="JF54" s="139">
        <f t="shared" si="171"/>
        <v>0</v>
      </c>
      <c r="JG54" s="139">
        <f t="shared" si="171"/>
        <v>0</v>
      </c>
      <c r="JH54" s="139">
        <f t="shared" si="171"/>
        <v>0</v>
      </c>
      <c r="JI54" s="139">
        <f t="shared" si="171"/>
        <v>0</v>
      </c>
      <c r="JJ54" s="139">
        <f t="shared" si="171"/>
        <v>0</v>
      </c>
      <c r="JK54" s="139">
        <f t="shared" si="171"/>
        <v>0</v>
      </c>
      <c r="JL54" s="139">
        <f t="shared" si="171"/>
        <v>0</v>
      </c>
      <c r="JM54" s="139">
        <f t="shared" si="171"/>
        <v>0</v>
      </c>
      <c r="JN54" s="139">
        <f t="shared" ref="JN54:JS54" si="172">JN5/40</f>
        <v>0</v>
      </c>
      <c r="JO54" s="139">
        <f t="shared" si="172"/>
        <v>0</v>
      </c>
      <c r="JP54" s="139">
        <f t="shared" si="172"/>
        <v>0</v>
      </c>
      <c r="JQ54" s="139">
        <f t="shared" si="172"/>
        <v>0</v>
      </c>
      <c r="JR54" s="139">
        <f t="shared" si="172"/>
        <v>0</v>
      </c>
      <c r="JS54" s="139">
        <f t="shared" si="172"/>
        <v>0</v>
      </c>
      <c r="JT54" s="139">
        <f t="shared" ref="JT54:JY54" si="173">JT5/100</f>
        <v>0</v>
      </c>
      <c r="JU54" s="139">
        <f t="shared" si="173"/>
        <v>0</v>
      </c>
      <c r="JV54" s="139">
        <f t="shared" si="173"/>
        <v>0</v>
      </c>
      <c r="JW54" s="139">
        <f t="shared" si="173"/>
        <v>0</v>
      </c>
      <c r="JX54" s="139">
        <f t="shared" si="173"/>
        <v>0</v>
      </c>
      <c r="JY54" s="139">
        <f t="shared" si="173"/>
        <v>0</v>
      </c>
      <c r="JZ54" s="139">
        <f t="shared" ref="JZ54:KY54" si="174">JZ5/40</f>
        <v>0</v>
      </c>
      <c r="KA54" s="139">
        <f t="shared" si="174"/>
        <v>0</v>
      </c>
      <c r="KB54" s="139">
        <f t="shared" si="174"/>
        <v>0</v>
      </c>
      <c r="KC54" s="139">
        <f t="shared" si="174"/>
        <v>0</v>
      </c>
      <c r="KD54" s="139">
        <f t="shared" si="174"/>
        <v>0</v>
      </c>
      <c r="KE54" s="139">
        <f t="shared" si="174"/>
        <v>0</v>
      </c>
      <c r="KF54" s="139">
        <f t="shared" si="174"/>
        <v>0</v>
      </c>
      <c r="KG54" s="139">
        <f t="shared" si="174"/>
        <v>0</v>
      </c>
      <c r="KH54" s="139">
        <f t="shared" si="174"/>
        <v>0</v>
      </c>
      <c r="KI54" s="139">
        <f t="shared" si="174"/>
        <v>0</v>
      </c>
      <c r="KJ54" s="139">
        <f t="shared" si="174"/>
        <v>0</v>
      </c>
      <c r="KK54" s="139">
        <f t="shared" si="174"/>
        <v>0</v>
      </c>
      <c r="KL54" s="139">
        <f t="shared" si="174"/>
        <v>0</v>
      </c>
      <c r="KM54" s="139">
        <f t="shared" si="174"/>
        <v>0</v>
      </c>
      <c r="KN54" s="139">
        <f t="shared" si="174"/>
        <v>0</v>
      </c>
      <c r="KO54" s="139">
        <f t="shared" si="174"/>
        <v>0</v>
      </c>
      <c r="KP54" s="139">
        <f t="shared" si="174"/>
        <v>0</v>
      </c>
      <c r="KQ54" s="139">
        <f t="shared" si="174"/>
        <v>0</v>
      </c>
      <c r="KR54" s="139">
        <f t="shared" si="174"/>
        <v>0</v>
      </c>
      <c r="KS54" s="139">
        <f t="shared" si="174"/>
        <v>0</v>
      </c>
      <c r="KT54" s="139">
        <f t="shared" si="174"/>
        <v>0</v>
      </c>
      <c r="KU54" s="139">
        <f t="shared" si="174"/>
        <v>0</v>
      </c>
      <c r="KV54" s="139">
        <f t="shared" si="174"/>
        <v>0</v>
      </c>
      <c r="KW54" s="139">
        <f t="shared" si="174"/>
        <v>0</v>
      </c>
      <c r="KX54" s="139">
        <f t="shared" si="174"/>
        <v>0</v>
      </c>
      <c r="KY54" s="139">
        <f t="shared" si="174"/>
        <v>0</v>
      </c>
      <c r="KZ54" s="139">
        <f t="shared" ref="KZ54:ME54" si="175">KZ5/100</f>
        <v>0</v>
      </c>
      <c r="LA54" s="139">
        <f t="shared" si="175"/>
        <v>0</v>
      </c>
      <c r="LB54" s="139">
        <f t="shared" si="175"/>
        <v>0</v>
      </c>
      <c r="LC54" s="139">
        <f t="shared" si="175"/>
        <v>0</v>
      </c>
      <c r="LD54" s="139">
        <f t="shared" si="175"/>
        <v>0</v>
      </c>
      <c r="LE54" s="139">
        <f t="shared" si="175"/>
        <v>0</v>
      </c>
      <c r="LF54" s="139">
        <f t="shared" si="175"/>
        <v>0</v>
      </c>
      <c r="LG54" s="139">
        <f t="shared" si="175"/>
        <v>0</v>
      </c>
      <c r="LH54" s="139">
        <f t="shared" si="175"/>
        <v>0</v>
      </c>
      <c r="LI54" s="139">
        <f t="shared" si="175"/>
        <v>0</v>
      </c>
      <c r="LJ54" s="139">
        <f t="shared" si="175"/>
        <v>0</v>
      </c>
      <c r="LK54" s="139">
        <f t="shared" si="175"/>
        <v>0</v>
      </c>
      <c r="LL54" s="139">
        <f t="shared" si="175"/>
        <v>0</v>
      </c>
      <c r="LM54" s="139">
        <f t="shared" si="175"/>
        <v>0</v>
      </c>
      <c r="LN54" s="139">
        <f t="shared" si="175"/>
        <v>0</v>
      </c>
      <c r="LO54" s="139">
        <f t="shared" si="175"/>
        <v>0</v>
      </c>
      <c r="LP54" s="139">
        <f t="shared" si="175"/>
        <v>0</v>
      </c>
      <c r="LQ54" s="139">
        <f t="shared" si="175"/>
        <v>0</v>
      </c>
      <c r="LR54" s="139">
        <f t="shared" si="175"/>
        <v>0</v>
      </c>
      <c r="LS54" s="139">
        <f t="shared" si="175"/>
        <v>0</v>
      </c>
      <c r="LT54" s="139">
        <f t="shared" si="175"/>
        <v>0</v>
      </c>
      <c r="LU54" s="139">
        <f t="shared" si="175"/>
        <v>0</v>
      </c>
      <c r="LV54" s="139">
        <f t="shared" si="175"/>
        <v>0</v>
      </c>
      <c r="LW54" s="139">
        <f t="shared" si="175"/>
        <v>0</v>
      </c>
      <c r="LX54" s="139">
        <f t="shared" si="175"/>
        <v>0</v>
      </c>
      <c r="LY54" s="139">
        <f t="shared" si="175"/>
        <v>0</v>
      </c>
      <c r="LZ54" s="139">
        <f t="shared" si="175"/>
        <v>0</v>
      </c>
      <c r="MA54" s="139">
        <f t="shared" si="175"/>
        <v>0</v>
      </c>
      <c r="MB54" s="139">
        <f t="shared" si="175"/>
        <v>0</v>
      </c>
      <c r="MC54" s="139">
        <f t="shared" si="175"/>
        <v>0</v>
      </c>
      <c r="MD54" s="139">
        <f t="shared" si="175"/>
        <v>0</v>
      </c>
      <c r="ME54" s="139">
        <f t="shared" si="175"/>
        <v>0</v>
      </c>
      <c r="MF54" s="139">
        <f t="shared" ref="MF54:NK54" si="176">MF5/100</f>
        <v>0</v>
      </c>
      <c r="MG54" s="139">
        <f t="shared" si="176"/>
        <v>0</v>
      </c>
      <c r="MH54" s="139">
        <f t="shared" si="176"/>
        <v>0</v>
      </c>
      <c r="MI54" s="139">
        <f t="shared" si="176"/>
        <v>0</v>
      </c>
      <c r="MJ54" s="139">
        <f t="shared" si="176"/>
        <v>0</v>
      </c>
      <c r="MK54" s="139">
        <f t="shared" si="176"/>
        <v>0</v>
      </c>
      <c r="ML54" s="139">
        <f t="shared" si="176"/>
        <v>0</v>
      </c>
      <c r="MM54" s="139">
        <f t="shared" si="176"/>
        <v>0</v>
      </c>
      <c r="MN54" s="139">
        <f t="shared" si="176"/>
        <v>0</v>
      </c>
      <c r="MO54" s="139">
        <f t="shared" si="176"/>
        <v>0</v>
      </c>
      <c r="MP54" s="139">
        <f t="shared" si="176"/>
        <v>0</v>
      </c>
      <c r="MQ54" s="139">
        <f t="shared" si="176"/>
        <v>0</v>
      </c>
      <c r="MR54" s="139">
        <f t="shared" si="176"/>
        <v>0</v>
      </c>
      <c r="MS54" s="139">
        <f t="shared" si="176"/>
        <v>0</v>
      </c>
      <c r="MT54" s="139">
        <f t="shared" si="176"/>
        <v>0</v>
      </c>
      <c r="MU54" s="139">
        <f t="shared" si="176"/>
        <v>0</v>
      </c>
      <c r="MV54" s="139">
        <f t="shared" si="176"/>
        <v>0</v>
      </c>
      <c r="MW54" s="139">
        <f t="shared" si="176"/>
        <v>0</v>
      </c>
      <c r="MX54" s="139">
        <f t="shared" si="176"/>
        <v>0</v>
      </c>
      <c r="MY54" s="139">
        <f t="shared" si="176"/>
        <v>0</v>
      </c>
      <c r="MZ54" s="139">
        <f t="shared" si="176"/>
        <v>0</v>
      </c>
      <c r="NA54" s="139">
        <f t="shared" si="176"/>
        <v>0</v>
      </c>
      <c r="NB54" s="139">
        <f t="shared" si="176"/>
        <v>0</v>
      </c>
      <c r="NC54" s="139">
        <f t="shared" si="176"/>
        <v>0</v>
      </c>
      <c r="ND54" s="139">
        <f t="shared" si="176"/>
        <v>0</v>
      </c>
      <c r="NE54" s="139">
        <f t="shared" si="176"/>
        <v>0</v>
      </c>
      <c r="NF54" s="139">
        <f t="shared" si="176"/>
        <v>0</v>
      </c>
      <c r="NG54" s="139">
        <f t="shared" si="176"/>
        <v>0</v>
      </c>
      <c r="NH54" s="139">
        <f t="shared" si="176"/>
        <v>0</v>
      </c>
      <c r="NI54" s="139">
        <f t="shared" si="176"/>
        <v>0</v>
      </c>
      <c r="NJ54" s="139">
        <f t="shared" si="176"/>
        <v>0</v>
      </c>
      <c r="NK54" s="139">
        <f t="shared" si="176"/>
        <v>0</v>
      </c>
      <c r="NL54" s="139">
        <f t="shared" ref="NL54:OQ54" si="177">NL5/100</f>
        <v>0</v>
      </c>
      <c r="NM54" s="139">
        <f t="shared" si="177"/>
        <v>0</v>
      </c>
      <c r="NN54" s="139">
        <f t="shared" si="177"/>
        <v>0</v>
      </c>
      <c r="NO54" s="139">
        <f t="shared" si="177"/>
        <v>0</v>
      </c>
      <c r="NP54" s="139">
        <f t="shared" si="177"/>
        <v>0</v>
      </c>
      <c r="NQ54" s="139">
        <f t="shared" si="177"/>
        <v>0</v>
      </c>
      <c r="NR54" s="139">
        <f t="shared" si="177"/>
        <v>0</v>
      </c>
      <c r="NS54" s="139">
        <f t="shared" si="177"/>
        <v>0</v>
      </c>
      <c r="NT54" s="139">
        <f t="shared" si="177"/>
        <v>0</v>
      </c>
      <c r="NU54" s="139">
        <f t="shared" si="177"/>
        <v>0</v>
      </c>
      <c r="NV54" s="139">
        <f t="shared" si="177"/>
        <v>0</v>
      </c>
      <c r="NW54" s="139">
        <f t="shared" si="177"/>
        <v>0</v>
      </c>
      <c r="NX54" s="139">
        <f t="shared" si="177"/>
        <v>0</v>
      </c>
      <c r="NY54" s="139">
        <f t="shared" si="177"/>
        <v>0</v>
      </c>
      <c r="NZ54" s="139">
        <f t="shared" si="177"/>
        <v>0</v>
      </c>
      <c r="OA54" s="139">
        <f t="shared" si="177"/>
        <v>0</v>
      </c>
      <c r="OB54" s="139">
        <f t="shared" si="177"/>
        <v>0</v>
      </c>
      <c r="OC54" s="139">
        <f t="shared" si="177"/>
        <v>0</v>
      </c>
      <c r="OD54" s="139">
        <f t="shared" si="177"/>
        <v>0</v>
      </c>
      <c r="OE54" s="139">
        <f t="shared" si="177"/>
        <v>0</v>
      </c>
      <c r="OF54" s="139">
        <f t="shared" si="177"/>
        <v>0</v>
      </c>
      <c r="OG54" s="139">
        <f t="shared" si="177"/>
        <v>0</v>
      </c>
      <c r="OH54" s="139">
        <f t="shared" si="177"/>
        <v>0</v>
      </c>
      <c r="OI54" s="139">
        <f t="shared" si="177"/>
        <v>0</v>
      </c>
      <c r="OJ54" s="139">
        <f t="shared" si="177"/>
        <v>0</v>
      </c>
      <c r="OK54" s="139">
        <f t="shared" si="177"/>
        <v>0</v>
      </c>
      <c r="OL54" s="139">
        <f t="shared" si="177"/>
        <v>0</v>
      </c>
      <c r="OM54" s="139">
        <f t="shared" si="177"/>
        <v>0</v>
      </c>
      <c r="ON54" s="139">
        <f t="shared" si="177"/>
        <v>0</v>
      </c>
      <c r="OO54" s="139">
        <f t="shared" si="177"/>
        <v>0</v>
      </c>
      <c r="OP54" s="139">
        <f t="shared" si="177"/>
        <v>0</v>
      </c>
      <c r="OQ54" s="139">
        <f t="shared" si="177"/>
        <v>0</v>
      </c>
      <c r="OR54" s="139">
        <f t="shared" ref="OR54:PW54" si="178">OR5/100</f>
        <v>0</v>
      </c>
      <c r="OS54" s="139">
        <f t="shared" si="178"/>
        <v>0</v>
      </c>
      <c r="OT54" s="139">
        <f t="shared" si="178"/>
        <v>0</v>
      </c>
      <c r="OU54" s="139">
        <f t="shared" si="178"/>
        <v>0</v>
      </c>
      <c r="OV54" s="139">
        <f t="shared" si="178"/>
        <v>0</v>
      </c>
      <c r="OW54" s="139">
        <f t="shared" si="178"/>
        <v>0</v>
      </c>
      <c r="OX54" s="139">
        <f t="shared" si="178"/>
        <v>0</v>
      </c>
      <c r="OY54" s="139">
        <f t="shared" si="178"/>
        <v>0</v>
      </c>
      <c r="OZ54" s="139">
        <f t="shared" si="178"/>
        <v>0</v>
      </c>
      <c r="PA54" s="139">
        <f t="shared" si="178"/>
        <v>0</v>
      </c>
      <c r="PB54" s="139">
        <f t="shared" si="178"/>
        <v>0</v>
      </c>
      <c r="PC54" s="139">
        <f t="shared" si="178"/>
        <v>0</v>
      </c>
      <c r="PD54" s="139">
        <f t="shared" si="178"/>
        <v>0</v>
      </c>
      <c r="PE54" s="139">
        <f t="shared" si="178"/>
        <v>0</v>
      </c>
      <c r="PF54" s="139">
        <f t="shared" si="178"/>
        <v>0</v>
      </c>
      <c r="PG54" s="139">
        <f t="shared" si="178"/>
        <v>0</v>
      </c>
      <c r="PH54" s="139">
        <f t="shared" si="178"/>
        <v>0</v>
      </c>
      <c r="PI54" s="139">
        <f t="shared" si="178"/>
        <v>0</v>
      </c>
      <c r="PJ54" s="139">
        <f t="shared" si="178"/>
        <v>0</v>
      </c>
      <c r="PK54" s="139">
        <f t="shared" si="178"/>
        <v>0</v>
      </c>
      <c r="PL54" s="139">
        <f t="shared" si="178"/>
        <v>0</v>
      </c>
      <c r="PM54" s="139">
        <f t="shared" si="178"/>
        <v>0</v>
      </c>
      <c r="PN54" s="139">
        <f t="shared" si="178"/>
        <v>0</v>
      </c>
      <c r="PO54" s="139">
        <f t="shared" si="178"/>
        <v>0</v>
      </c>
      <c r="PP54" s="139">
        <f t="shared" si="178"/>
        <v>0</v>
      </c>
      <c r="PQ54" s="139">
        <f t="shared" si="178"/>
        <v>0</v>
      </c>
      <c r="PR54" s="139">
        <f t="shared" si="178"/>
        <v>0</v>
      </c>
      <c r="PS54" s="139">
        <f t="shared" si="178"/>
        <v>0</v>
      </c>
      <c r="PT54" s="139">
        <f t="shared" si="178"/>
        <v>0</v>
      </c>
      <c r="PU54" s="139">
        <f t="shared" si="178"/>
        <v>0</v>
      </c>
      <c r="PV54" s="139">
        <f t="shared" si="178"/>
        <v>0</v>
      </c>
      <c r="PW54" s="139">
        <f t="shared" si="178"/>
        <v>0</v>
      </c>
      <c r="PX54" s="139">
        <f t="shared" ref="PX54:QN54" si="179">PX5/100</f>
        <v>0</v>
      </c>
      <c r="PY54" s="139">
        <f t="shared" si="179"/>
        <v>0</v>
      </c>
      <c r="PZ54" s="139">
        <f t="shared" si="179"/>
        <v>0</v>
      </c>
      <c r="QA54" s="139">
        <f t="shared" si="179"/>
        <v>0</v>
      </c>
      <c r="QB54" s="139">
        <f t="shared" si="179"/>
        <v>0</v>
      </c>
      <c r="QC54" s="139">
        <f t="shared" si="179"/>
        <v>0</v>
      </c>
      <c r="QD54" s="139">
        <f t="shared" si="179"/>
        <v>0</v>
      </c>
      <c r="QE54" s="139">
        <f t="shared" si="179"/>
        <v>0</v>
      </c>
      <c r="QF54" s="139">
        <f t="shared" si="179"/>
        <v>0</v>
      </c>
      <c r="QG54" s="139">
        <f t="shared" si="179"/>
        <v>0</v>
      </c>
      <c r="QH54" s="139">
        <f t="shared" si="179"/>
        <v>0</v>
      </c>
      <c r="QI54" s="139">
        <f t="shared" si="179"/>
        <v>0</v>
      </c>
      <c r="QJ54" s="139">
        <f t="shared" si="179"/>
        <v>0</v>
      </c>
      <c r="QK54" s="139">
        <f t="shared" si="179"/>
        <v>0</v>
      </c>
      <c r="QL54" s="139">
        <f t="shared" si="179"/>
        <v>0</v>
      </c>
      <c r="QM54" s="139">
        <f t="shared" si="179"/>
        <v>0</v>
      </c>
      <c r="QN54" s="139">
        <f t="shared" si="179"/>
        <v>0</v>
      </c>
      <c r="QO54" s="139">
        <f>QO5/40</f>
        <v>0</v>
      </c>
      <c r="QP54" s="139">
        <f>QP5/100</f>
        <v>0</v>
      </c>
      <c r="QQ54" s="139">
        <f>QQ5/100</f>
        <v>0</v>
      </c>
      <c r="QR54" s="139">
        <f>QR5/40</f>
        <v>0</v>
      </c>
      <c r="QS54" s="139">
        <f>QS5/100</f>
        <v>0</v>
      </c>
      <c r="QT54" s="139">
        <f>QT5/100</f>
        <v>0</v>
      </c>
      <c r="RA54" s="139">
        <f t="shared" ref="RA54:RF54" si="180">RA5/100</f>
        <v>0</v>
      </c>
      <c r="RB54" s="139">
        <f t="shared" si="180"/>
        <v>0</v>
      </c>
      <c r="RC54" s="139">
        <f t="shared" si="180"/>
        <v>0</v>
      </c>
      <c r="RD54" s="139">
        <f t="shared" si="180"/>
        <v>0</v>
      </c>
      <c r="RE54" s="139">
        <f t="shared" si="180"/>
        <v>0</v>
      </c>
      <c r="RF54" s="139">
        <f t="shared" si="180"/>
        <v>0</v>
      </c>
      <c r="RG54" s="70"/>
      <c r="RM54" s="145"/>
      <c r="SB54" s="70">
        <f>SB5/40</f>
        <v>0</v>
      </c>
      <c r="SC54" s="70">
        <f>SC5/40</f>
        <v>0</v>
      </c>
      <c r="SD54" s="70">
        <f>SD5/40</f>
        <v>0</v>
      </c>
      <c r="SE54" s="70">
        <f t="shared" ref="SE54:SU54" si="181">SE5/100</f>
        <v>0</v>
      </c>
      <c r="SF54" s="70">
        <f t="shared" si="181"/>
        <v>0</v>
      </c>
      <c r="SG54" s="70">
        <f t="shared" si="181"/>
        <v>0</v>
      </c>
      <c r="SH54" s="70">
        <f t="shared" si="181"/>
        <v>0</v>
      </c>
      <c r="SI54" s="70">
        <f t="shared" si="181"/>
        <v>0</v>
      </c>
      <c r="SJ54" s="70">
        <f t="shared" si="181"/>
        <v>0</v>
      </c>
      <c r="SK54" s="70">
        <f t="shared" si="181"/>
        <v>0</v>
      </c>
      <c r="SL54" s="70">
        <f t="shared" si="181"/>
        <v>0</v>
      </c>
      <c r="SM54" s="70">
        <f t="shared" si="181"/>
        <v>0</v>
      </c>
      <c r="SN54" s="70">
        <f t="shared" si="181"/>
        <v>0</v>
      </c>
      <c r="SO54" s="70">
        <f t="shared" si="181"/>
        <v>0</v>
      </c>
      <c r="SP54" s="70">
        <f t="shared" si="181"/>
        <v>0</v>
      </c>
      <c r="SQ54" s="70">
        <f t="shared" si="181"/>
        <v>0</v>
      </c>
      <c r="SR54" s="70">
        <f t="shared" si="181"/>
        <v>0</v>
      </c>
      <c r="SS54" s="70">
        <f t="shared" si="181"/>
        <v>0</v>
      </c>
      <c r="ST54" s="70">
        <f t="shared" si="181"/>
        <v>0</v>
      </c>
      <c r="SU54" s="70">
        <f t="shared" si="181"/>
        <v>0</v>
      </c>
      <c r="SV54" s="139">
        <f>SV5/40</f>
        <v>0</v>
      </c>
      <c r="SW54" s="139">
        <f>SW5/40</f>
        <v>0</v>
      </c>
      <c r="SX54" s="70">
        <f t="shared" ref="SX54:TR54" si="182">SX5/100</f>
        <v>0</v>
      </c>
      <c r="SY54" s="70">
        <f t="shared" si="182"/>
        <v>0</v>
      </c>
      <c r="SZ54" s="70">
        <f t="shared" si="182"/>
        <v>0</v>
      </c>
      <c r="TA54" s="70">
        <f t="shared" si="182"/>
        <v>0</v>
      </c>
      <c r="TB54" s="70">
        <f t="shared" si="182"/>
        <v>0</v>
      </c>
      <c r="TC54" s="70">
        <f t="shared" si="182"/>
        <v>0</v>
      </c>
      <c r="TD54" s="70">
        <f t="shared" si="182"/>
        <v>0</v>
      </c>
      <c r="TE54" s="70">
        <f t="shared" si="182"/>
        <v>0</v>
      </c>
      <c r="TF54" s="70">
        <f t="shared" si="182"/>
        <v>0</v>
      </c>
      <c r="TG54" s="70">
        <f t="shared" si="182"/>
        <v>0</v>
      </c>
      <c r="TH54" s="70">
        <f t="shared" si="182"/>
        <v>0</v>
      </c>
      <c r="TI54" s="70">
        <f t="shared" si="182"/>
        <v>0</v>
      </c>
      <c r="TJ54" s="70">
        <f t="shared" si="182"/>
        <v>0</v>
      </c>
      <c r="TK54" s="70">
        <f t="shared" si="182"/>
        <v>0</v>
      </c>
      <c r="TL54" s="70">
        <f t="shared" si="182"/>
        <v>0</v>
      </c>
      <c r="TM54" s="70">
        <f t="shared" si="182"/>
        <v>0</v>
      </c>
      <c r="TN54" s="70">
        <f t="shared" si="182"/>
        <v>0</v>
      </c>
      <c r="TO54" s="70">
        <f t="shared" si="182"/>
        <v>0</v>
      </c>
      <c r="TP54" s="70">
        <f t="shared" si="182"/>
        <v>0</v>
      </c>
      <c r="TQ54" s="70">
        <f t="shared" si="182"/>
        <v>0</v>
      </c>
      <c r="TR54" s="70">
        <f t="shared" si="182"/>
        <v>0</v>
      </c>
      <c r="TS54" s="139">
        <f>TS5/40</f>
        <v>0</v>
      </c>
      <c r="TT54" s="70">
        <f t="shared" ref="TT54:UY54" si="183">TT5/100</f>
        <v>0</v>
      </c>
      <c r="TU54" s="70">
        <f t="shared" si="183"/>
        <v>0</v>
      </c>
      <c r="TV54" s="70">
        <f t="shared" si="183"/>
        <v>0</v>
      </c>
      <c r="TW54" s="70">
        <f t="shared" si="183"/>
        <v>0</v>
      </c>
      <c r="TX54" s="70">
        <f t="shared" si="183"/>
        <v>0</v>
      </c>
      <c r="TY54" s="70">
        <f t="shared" si="183"/>
        <v>0</v>
      </c>
      <c r="TZ54" s="70">
        <f t="shared" si="183"/>
        <v>0</v>
      </c>
      <c r="UA54" s="70">
        <f t="shared" si="183"/>
        <v>0</v>
      </c>
      <c r="UB54" s="70">
        <f t="shared" si="183"/>
        <v>0</v>
      </c>
      <c r="UC54" s="70">
        <f t="shared" si="183"/>
        <v>0</v>
      </c>
      <c r="UD54" s="70">
        <f t="shared" si="183"/>
        <v>0</v>
      </c>
      <c r="UE54" s="70">
        <f t="shared" si="183"/>
        <v>0</v>
      </c>
      <c r="UF54" s="70">
        <f t="shared" si="183"/>
        <v>0</v>
      </c>
      <c r="UG54" s="70">
        <f t="shared" si="183"/>
        <v>0</v>
      </c>
      <c r="UH54" s="70">
        <f t="shared" si="183"/>
        <v>0</v>
      </c>
      <c r="UI54" s="70">
        <f t="shared" si="183"/>
        <v>0</v>
      </c>
      <c r="UJ54" s="70">
        <f t="shared" si="183"/>
        <v>0</v>
      </c>
      <c r="UK54" s="70">
        <f t="shared" si="183"/>
        <v>0</v>
      </c>
      <c r="UL54" s="70">
        <f t="shared" si="183"/>
        <v>0</v>
      </c>
      <c r="UM54" s="70">
        <f t="shared" si="183"/>
        <v>0</v>
      </c>
      <c r="UN54" s="70">
        <f t="shared" si="183"/>
        <v>0</v>
      </c>
      <c r="UO54" s="70">
        <f t="shared" si="183"/>
        <v>0</v>
      </c>
      <c r="UP54" s="70">
        <f t="shared" si="183"/>
        <v>0</v>
      </c>
      <c r="UQ54" s="70">
        <f t="shared" si="183"/>
        <v>0</v>
      </c>
      <c r="UR54" s="70">
        <f t="shared" si="183"/>
        <v>0</v>
      </c>
      <c r="US54" s="70">
        <f t="shared" si="183"/>
        <v>0</v>
      </c>
      <c r="UT54" s="70">
        <f t="shared" si="183"/>
        <v>0</v>
      </c>
      <c r="UU54" s="70">
        <f t="shared" si="183"/>
        <v>0</v>
      </c>
      <c r="UV54" s="70">
        <f t="shared" si="183"/>
        <v>0</v>
      </c>
      <c r="UW54" s="70">
        <f t="shared" si="183"/>
        <v>0</v>
      </c>
      <c r="UX54" s="70">
        <f t="shared" si="183"/>
        <v>0</v>
      </c>
      <c r="UY54" s="70">
        <f t="shared" si="183"/>
        <v>0</v>
      </c>
      <c r="UZ54" s="70">
        <f t="shared" ref="UZ54:WE54" si="184">UZ5/100</f>
        <v>0</v>
      </c>
      <c r="VA54" s="70">
        <f t="shared" si="184"/>
        <v>0</v>
      </c>
      <c r="VB54" s="70">
        <f t="shared" si="184"/>
        <v>0</v>
      </c>
      <c r="VC54" s="70">
        <f t="shared" si="184"/>
        <v>0</v>
      </c>
      <c r="VD54" s="70">
        <f t="shared" si="184"/>
        <v>0</v>
      </c>
      <c r="VE54" s="70">
        <f t="shared" si="184"/>
        <v>0</v>
      </c>
      <c r="VF54" s="70">
        <f t="shared" si="184"/>
        <v>0</v>
      </c>
      <c r="VG54" s="70">
        <f t="shared" si="184"/>
        <v>0</v>
      </c>
      <c r="VH54" s="70">
        <f t="shared" si="184"/>
        <v>0</v>
      </c>
      <c r="VI54" s="70">
        <f t="shared" si="184"/>
        <v>0</v>
      </c>
      <c r="VJ54" s="70">
        <f t="shared" si="184"/>
        <v>0</v>
      </c>
      <c r="VK54" s="70">
        <f t="shared" si="184"/>
        <v>0</v>
      </c>
      <c r="VL54" s="70">
        <f t="shared" si="184"/>
        <v>0</v>
      </c>
      <c r="VM54" s="70">
        <f t="shared" si="184"/>
        <v>0</v>
      </c>
      <c r="VN54" s="70">
        <f t="shared" si="184"/>
        <v>0</v>
      </c>
      <c r="VO54" s="70">
        <f t="shared" si="184"/>
        <v>0</v>
      </c>
      <c r="VP54" s="70">
        <f t="shared" si="184"/>
        <v>0</v>
      </c>
      <c r="VQ54" s="70">
        <f t="shared" si="184"/>
        <v>0</v>
      </c>
      <c r="VR54" s="70">
        <f t="shared" si="184"/>
        <v>0</v>
      </c>
      <c r="VS54" s="70">
        <f t="shared" si="184"/>
        <v>0</v>
      </c>
      <c r="VT54" s="70">
        <f t="shared" si="184"/>
        <v>0</v>
      </c>
      <c r="VU54" s="70">
        <f t="shared" si="184"/>
        <v>0</v>
      </c>
      <c r="VV54" s="70">
        <f t="shared" si="184"/>
        <v>0</v>
      </c>
      <c r="VW54" s="70">
        <f t="shared" si="184"/>
        <v>0</v>
      </c>
      <c r="VX54" s="70">
        <f t="shared" si="184"/>
        <v>0</v>
      </c>
      <c r="VY54" s="70">
        <f t="shared" si="184"/>
        <v>0</v>
      </c>
      <c r="VZ54" s="70">
        <f t="shared" si="184"/>
        <v>0</v>
      </c>
      <c r="WA54" s="70">
        <f t="shared" si="184"/>
        <v>0</v>
      </c>
      <c r="WB54" s="70">
        <f t="shared" si="184"/>
        <v>0</v>
      </c>
      <c r="WC54" s="70">
        <f t="shared" si="184"/>
        <v>0</v>
      </c>
      <c r="WD54" s="70">
        <f t="shared" si="184"/>
        <v>0</v>
      </c>
      <c r="WE54" s="70">
        <f t="shared" si="184"/>
        <v>0</v>
      </c>
      <c r="WF54" s="70">
        <f t="shared" ref="WF54:WS54" si="185">WF5/100</f>
        <v>0</v>
      </c>
      <c r="WG54" s="70">
        <f t="shared" si="185"/>
        <v>0</v>
      </c>
      <c r="WH54" s="70">
        <f t="shared" si="185"/>
        <v>0</v>
      </c>
      <c r="WI54" s="70">
        <f t="shared" si="185"/>
        <v>0</v>
      </c>
      <c r="WJ54" s="70">
        <f t="shared" si="185"/>
        <v>0</v>
      </c>
      <c r="WK54" s="70">
        <f t="shared" si="185"/>
        <v>0</v>
      </c>
      <c r="WL54" s="70">
        <f t="shared" si="185"/>
        <v>0</v>
      </c>
      <c r="WM54" s="70">
        <f t="shared" si="185"/>
        <v>0</v>
      </c>
      <c r="WN54" s="70">
        <f t="shared" si="185"/>
        <v>0</v>
      </c>
      <c r="WO54" s="70">
        <f t="shared" si="185"/>
        <v>0</v>
      </c>
      <c r="WP54" s="70">
        <f t="shared" si="185"/>
        <v>0</v>
      </c>
      <c r="WQ54" s="70">
        <f t="shared" si="185"/>
        <v>0</v>
      </c>
      <c r="WR54" s="70">
        <f t="shared" si="185"/>
        <v>0</v>
      </c>
      <c r="WS54" s="70">
        <f t="shared" si="185"/>
        <v>0</v>
      </c>
      <c r="ACG54" s="86"/>
      <c r="ADA54" s="86"/>
    </row>
    <row r="55" spans="1:830" hidden="1" x14ac:dyDescent="0.25">
      <c r="F55" s="32"/>
      <c r="G55" t="s">
        <v>219</v>
      </c>
      <c r="H55" t="s">
        <v>193</v>
      </c>
      <c r="J55" s="27">
        <f>SUMIFS($J$5:$J$49,$H$5:$H$49,H55,$G$5:$G$49,G55)</f>
        <v>0</v>
      </c>
      <c r="M55" t="s">
        <v>184</v>
      </c>
      <c r="N55" s="139">
        <f t="shared" ref="N55:AS55" si="186">N8/40</f>
        <v>0</v>
      </c>
      <c r="O55" s="139">
        <f t="shared" si="186"/>
        <v>0</v>
      </c>
      <c r="P55" s="139">
        <f t="shared" si="186"/>
        <v>0</v>
      </c>
      <c r="Q55" s="139">
        <f t="shared" si="186"/>
        <v>0</v>
      </c>
      <c r="R55" s="139">
        <f t="shared" si="186"/>
        <v>0</v>
      </c>
      <c r="S55" s="139">
        <f t="shared" si="186"/>
        <v>0</v>
      </c>
      <c r="T55" s="139">
        <f t="shared" si="186"/>
        <v>0</v>
      </c>
      <c r="U55" s="139">
        <f t="shared" si="186"/>
        <v>0</v>
      </c>
      <c r="V55" s="139">
        <f t="shared" si="186"/>
        <v>0</v>
      </c>
      <c r="W55" s="139">
        <f t="shared" si="186"/>
        <v>0</v>
      </c>
      <c r="X55" s="139">
        <f t="shared" si="186"/>
        <v>0</v>
      </c>
      <c r="Y55" s="139">
        <f t="shared" si="186"/>
        <v>0</v>
      </c>
      <c r="Z55" s="139">
        <f t="shared" si="186"/>
        <v>0</v>
      </c>
      <c r="AA55" s="139">
        <f t="shared" si="186"/>
        <v>0</v>
      </c>
      <c r="AB55" s="139">
        <f t="shared" si="186"/>
        <v>0</v>
      </c>
      <c r="AC55" s="139">
        <f t="shared" si="186"/>
        <v>0</v>
      </c>
      <c r="AD55" s="139">
        <f t="shared" si="186"/>
        <v>0</v>
      </c>
      <c r="AE55" s="139">
        <f t="shared" si="186"/>
        <v>0</v>
      </c>
      <c r="AF55" s="139">
        <f t="shared" si="186"/>
        <v>0</v>
      </c>
      <c r="AG55" s="139">
        <f t="shared" si="186"/>
        <v>0</v>
      </c>
      <c r="AH55" s="139">
        <f t="shared" si="186"/>
        <v>0</v>
      </c>
      <c r="AI55" s="139">
        <f t="shared" si="186"/>
        <v>0</v>
      </c>
      <c r="AJ55" s="139">
        <f t="shared" si="186"/>
        <v>0</v>
      </c>
      <c r="AK55" s="139">
        <f t="shared" si="186"/>
        <v>0</v>
      </c>
      <c r="AL55" s="139">
        <f t="shared" si="186"/>
        <v>0</v>
      </c>
      <c r="AM55" s="139">
        <f t="shared" si="186"/>
        <v>0</v>
      </c>
      <c r="AN55" s="139">
        <f t="shared" si="186"/>
        <v>0</v>
      </c>
      <c r="AO55" s="139">
        <f t="shared" si="186"/>
        <v>0</v>
      </c>
      <c r="AP55" s="139">
        <f t="shared" si="186"/>
        <v>0</v>
      </c>
      <c r="AQ55" s="139">
        <f t="shared" si="186"/>
        <v>0</v>
      </c>
      <c r="AR55" s="139">
        <f t="shared" si="186"/>
        <v>0</v>
      </c>
      <c r="AS55" s="139">
        <f t="shared" si="186"/>
        <v>0</v>
      </c>
      <c r="AT55" s="139">
        <f t="shared" ref="AT55:BY55" si="187">AT8/40</f>
        <v>0</v>
      </c>
      <c r="AU55" s="139">
        <f t="shared" si="187"/>
        <v>0</v>
      </c>
      <c r="AV55" s="139">
        <f t="shared" si="187"/>
        <v>0</v>
      </c>
      <c r="AW55" s="139">
        <f t="shared" si="187"/>
        <v>0</v>
      </c>
      <c r="AX55" s="139">
        <f t="shared" si="187"/>
        <v>0</v>
      </c>
      <c r="AY55" s="139">
        <f t="shared" si="187"/>
        <v>0</v>
      </c>
      <c r="AZ55" s="139">
        <f t="shared" si="187"/>
        <v>0</v>
      </c>
      <c r="BA55" s="139">
        <f t="shared" si="187"/>
        <v>0</v>
      </c>
      <c r="BB55" s="139">
        <f t="shared" si="187"/>
        <v>0</v>
      </c>
      <c r="BC55" s="139">
        <f t="shared" si="187"/>
        <v>0</v>
      </c>
      <c r="BD55" s="139">
        <f t="shared" si="187"/>
        <v>0</v>
      </c>
      <c r="BE55" s="139">
        <f t="shared" si="187"/>
        <v>0</v>
      </c>
      <c r="BF55" s="139">
        <f t="shared" si="187"/>
        <v>0</v>
      </c>
      <c r="BG55" s="139">
        <f t="shared" si="187"/>
        <v>0</v>
      </c>
      <c r="BH55" s="139">
        <f t="shared" si="187"/>
        <v>0</v>
      </c>
      <c r="BI55" s="139">
        <f t="shared" si="187"/>
        <v>0</v>
      </c>
      <c r="BJ55" s="139">
        <f t="shared" si="187"/>
        <v>0</v>
      </c>
      <c r="BK55" s="139">
        <f t="shared" si="187"/>
        <v>0</v>
      </c>
      <c r="BL55" s="139">
        <f t="shared" si="187"/>
        <v>0</v>
      </c>
      <c r="BM55" s="139">
        <f t="shared" si="187"/>
        <v>0</v>
      </c>
      <c r="BN55" s="139">
        <f t="shared" si="187"/>
        <v>0</v>
      </c>
      <c r="BO55" s="139">
        <f t="shared" si="187"/>
        <v>0</v>
      </c>
      <c r="BP55" s="139">
        <f t="shared" si="187"/>
        <v>0</v>
      </c>
      <c r="BQ55" s="139">
        <f t="shared" si="187"/>
        <v>0</v>
      </c>
      <c r="BR55" s="139">
        <f t="shared" si="187"/>
        <v>0</v>
      </c>
      <c r="BS55" s="139">
        <f t="shared" si="187"/>
        <v>0</v>
      </c>
      <c r="BT55" s="139">
        <f t="shared" si="187"/>
        <v>0</v>
      </c>
      <c r="BU55" s="139">
        <f t="shared" si="187"/>
        <v>0</v>
      </c>
      <c r="BV55" s="139">
        <f t="shared" si="187"/>
        <v>0</v>
      </c>
      <c r="BW55" s="139">
        <f t="shared" si="187"/>
        <v>0</v>
      </c>
      <c r="BX55" s="139">
        <f t="shared" si="187"/>
        <v>0</v>
      </c>
      <c r="BY55" s="139">
        <f t="shared" si="187"/>
        <v>0</v>
      </c>
      <c r="BZ55" s="139">
        <f t="shared" ref="BZ55:CI55" si="188">BZ8/40</f>
        <v>0</v>
      </c>
      <c r="CA55" s="139">
        <f t="shared" si="188"/>
        <v>0</v>
      </c>
      <c r="CB55" s="139">
        <f t="shared" si="188"/>
        <v>0</v>
      </c>
      <c r="CC55" s="139">
        <f t="shared" si="188"/>
        <v>0</v>
      </c>
      <c r="CD55" s="139">
        <f t="shared" si="188"/>
        <v>0</v>
      </c>
      <c r="CE55" s="139">
        <f t="shared" si="188"/>
        <v>0</v>
      </c>
      <c r="CF55" s="139">
        <f t="shared" si="188"/>
        <v>0</v>
      </c>
      <c r="CG55" s="139">
        <f t="shared" si="188"/>
        <v>0</v>
      </c>
      <c r="CH55" s="139">
        <f t="shared" si="188"/>
        <v>0</v>
      </c>
      <c r="CI55" s="139">
        <f t="shared" si="188"/>
        <v>0</v>
      </c>
      <c r="CJ55" s="139">
        <f t="shared" ref="CJ55:DO55" si="189">CJ8/100</f>
        <v>0</v>
      </c>
      <c r="CK55" s="139">
        <f t="shared" si="189"/>
        <v>0</v>
      </c>
      <c r="CL55" s="139">
        <f t="shared" si="189"/>
        <v>0</v>
      </c>
      <c r="CM55" s="139">
        <f t="shared" si="189"/>
        <v>0</v>
      </c>
      <c r="CN55" s="139">
        <f t="shared" si="189"/>
        <v>0</v>
      </c>
      <c r="CO55" s="139">
        <f t="shared" si="189"/>
        <v>0</v>
      </c>
      <c r="CP55" s="139">
        <f t="shared" si="189"/>
        <v>0</v>
      </c>
      <c r="CQ55" s="139">
        <f t="shared" si="189"/>
        <v>0</v>
      </c>
      <c r="CR55" s="139">
        <f t="shared" si="189"/>
        <v>0</v>
      </c>
      <c r="CS55" s="139">
        <f t="shared" si="189"/>
        <v>0</v>
      </c>
      <c r="CT55" s="139">
        <f t="shared" si="189"/>
        <v>0</v>
      </c>
      <c r="CU55" s="139">
        <f t="shared" si="189"/>
        <v>0</v>
      </c>
      <c r="CV55" s="139">
        <f t="shared" si="189"/>
        <v>0</v>
      </c>
      <c r="CW55" s="139">
        <f t="shared" si="189"/>
        <v>0</v>
      </c>
      <c r="CX55" s="139">
        <f t="shared" si="189"/>
        <v>0</v>
      </c>
      <c r="CY55" s="139">
        <f t="shared" si="189"/>
        <v>0</v>
      </c>
      <c r="CZ55" s="139">
        <f t="shared" si="189"/>
        <v>0</v>
      </c>
      <c r="DA55" s="139">
        <f t="shared" si="189"/>
        <v>0</v>
      </c>
      <c r="DB55" s="139">
        <f t="shared" si="189"/>
        <v>0</v>
      </c>
      <c r="DC55" s="139">
        <f t="shared" si="189"/>
        <v>0</v>
      </c>
      <c r="DD55" s="139">
        <f t="shared" si="189"/>
        <v>0</v>
      </c>
      <c r="DE55" s="139">
        <f t="shared" si="189"/>
        <v>0</v>
      </c>
      <c r="DF55" s="139">
        <f t="shared" si="189"/>
        <v>0</v>
      </c>
      <c r="DG55" s="139">
        <f t="shared" si="189"/>
        <v>0</v>
      </c>
      <c r="DH55" s="139">
        <f t="shared" si="189"/>
        <v>0</v>
      </c>
      <c r="DI55" s="139">
        <f t="shared" si="189"/>
        <v>0</v>
      </c>
      <c r="DJ55" s="139">
        <f t="shared" si="189"/>
        <v>0</v>
      </c>
      <c r="DK55" s="139">
        <f t="shared" si="189"/>
        <v>0</v>
      </c>
      <c r="DL55" s="139">
        <f t="shared" si="189"/>
        <v>0</v>
      </c>
      <c r="DM55" s="139">
        <f t="shared" si="189"/>
        <v>0</v>
      </c>
      <c r="DN55" s="139">
        <f t="shared" si="189"/>
        <v>0</v>
      </c>
      <c r="DO55" s="139">
        <f t="shared" si="189"/>
        <v>0</v>
      </c>
      <c r="DP55" s="139">
        <f t="shared" ref="DP55:EU55" si="190">DP8/100</f>
        <v>0</v>
      </c>
      <c r="DQ55" s="139">
        <f t="shared" si="190"/>
        <v>0</v>
      </c>
      <c r="DR55" s="139">
        <f t="shared" si="190"/>
        <v>0</v>
      </c>
      <c r="DS55" s="139">
        <f t="shared" si="190"/>
        <v>0</v>
      </c>
      <c r="DT55" s="139">
        <f t="shared" si="190"/>
        <v>0</v>
      </c>
      <c r="DU55" s="139">
        <f t="shared" si="190"/>
        <v>0</v>
      </c>
      <c r="DV55" s="139">
        <f t="shared" si="190"/>
        <v>0</v>
      </c>
      <c r="DW55" s="139">
        <f t="shared" si="190"/>
        <v>0</v>
      </c>
      <c r="DX55" s="139">
        <f t="shared" si="190"/>
        <v>0</v>
      </c>
      <c r="DY55" s="139">
        <f t="shared" si="190"/>
        <v>0</v>
      </c>
      <c r="DZ55" s="139">
        <f t="shared" si="190"/>
        <v>0</v>
      </c>
      <c r="EA55" s="139">
        <f t="shared" si="190"/>
        <v>0</v>
      </c>
      <c r="EB55" s="139">
        <f t="shared" si="190"/>
        <v>0</v>
      </c>
      <c r="EC55" s="139">
        <f t="shared" si="190"/>
        <v>0</v>
      </c>
      <c r="ED55" s="139">
        <f t="shared" si="190"/>
        <v>0</v>
      </c>
      <c r="EE55" s="139">
        <f t="shared" si="190"/>
        <v>0</v>
      </c>
      <c r="EF55" s="139">
        <f t="shared" si="190"/>
        <v>0</v>
      </c>
      <c r="EG55" s="139">
        <f t="shared" si="190"/>
        <v>0</v>
      </c>
      <c r="EH55" s="139">
        <f t="shared" si="190"/>
        <v>0</v>
      </c>
      <c r="EI55" s="139">
        <f t="shared" si="190"/>
        <v>0</v>
      </c>
      <c r="EJ55" s="139">
        <f t="shared" si="190"/>
        <v>0</v>
      </c>
      <c r="EK55" s="139">
        <f t="shared" si="190"/>
        <v>0</v>
      </c>
      <c r="EL55" s="139">
        <f t="shared" si="190"/>
        <v>0</v>
      </c>
      <c r="EM55" s="139">
        <f t="shared" si="190"/>
        <v>0</v>
      </c>
      <c r="EN55" s="139">
        <f t="shared" si="190"/>
        <v>0</v>
      </c>
      <c r="EO55" s="139">
        <f t="shared" si="190"/>
        <v>0</v>
      </c>
      <c r="EP55" s="139">
        <f t="shared" si="190"/>
        <v>0</v>
      </c>
      <c r="EQ55" s="139">
        <f t="shared" si="190"/>
        <v>0</v>
      </c>
      <c r="ER55" s="139">
        <f t="shared" si="190"/>
        <v>0</v>
      </c>
      <c r="ES55" s="139">
        <f t="shared" si="190"/>
        <v>0</v>
      </c>
      <c r="ET55" s="139">
        <f t="shared" si="190"/>
        <v>0</v>
      </c>
      <c r="EU55" s="139">
        <f t="shared" si="190"/>
        <v>0</v>
      </c>
      <c r="EV55" s="139">
        <f t="shared" ref="EV55:GA55" si="191">EV8/100</f>
        <v>0</v>
      </c>
      <c r="EW55" s="139">
        <f t="shared" si="191"/>
        <v>0</v>
      </c>
      <c r="EX55" s="139">
        <f t="shared" si="191"/>
        <v>0</v>
      </c>
      <c r="EY55" s="139">
        <f t="shared" si="191"/>
        <v>0</v>
      </c>
      <c r="EZ55" s="139">
        <f t="shared" si="191"/>
        <v>0</v>
      </c>
      <c r="FA55" s="139">
        <f t="shared" si="191"/>
        <v>0</v>
      </c>
      <c r="FB55" s="139">
        <f t="shared" si="191"/>
        <v>0</v>
      </c>
      <c r="FC55" s="139">
        <f t="shared" si="191"/>
        <v>0</v>
      </c>
      <c r="FD55" s="139">
        <f t="shared" si="191"/>
        <v>0</v>
      </c>
      <c r="FE55" s="139">
        <f t="shared" si="191"/>
        <v>0</v>
      </c>
      <c r="FF55" s="139">
        <f t="shared" si="191"/>
        <v>0</v>
      </c>
      <c r="FG55" s="139">
        <f t="shared" si="191"/>
        <v>0</v>
      </c>
      <c r="FH55" s="139">
        <f t="shared" si="191"/>
        <v>0</v>
      </c>
      <c r="FI55" s="139">
        <f t="shared" si="191"/>
        <v>0</v>
      </c>
      <c r="FJ55" s="139">
        <f t="shared" si="191"/>
        <v>0</v>
      </c>
      <c r="FK55" s="139">
        <f t="shared" si="191"/>
        <v>0</v>
      </c>
      <c r="FL55" s="139">
        <f t="shared" si="191"/>
        <v>0</v>
      </c>
      <c r="FM55" s="139">
        <f t="shared" si="191"/>
        <v>0</v>
      </c>
      <c r="FN55" s="139">
        <f t="shared" si="191"/>
        <v>0</v>
      </c>
      <c r="FO55" s="139">
        <f t="shared" si="191"/>
        <v>0</v>
      </c>
      <c r="FP55" s="139">
        <f t="shared" si="191"/>
        <v>0</v>
      </c>
      <c r="FQ55" s="139">
        <f t="shared" si="191"/>
        <v>0</v>
      </c>
      <c r="FR55" s="139">
        <f t="shared" si="191"/>
        <v>0</v>
      </c>
      <c r="FS55" s="139">
        <f t="shared" si="191"/>
        <v>0</v>
      </c>
      <c r="FT55" s="139">
        <f t="shared" si="191"/>
        <v>0</v>
      </c>
      <c r="FU55" s="139">
        <f t="shared" si="191"/>
        <v>0</v>
      </c>
      <c r="FV55" s="139">
        <f t="shared" si="191"/>
        <v>0</v>
      </c>
      <c r="FW55" s="139">
        <f t="shared" si="191"/>
        <v>0</v>
      </c>
      <c r="FX55" s="139">
        <f t="shared" si="191"/>
        <v>0</v>
      </c>
      <c r="FY55" s="139">
        <f t="shared" si="191"/>
        <v>0</v>
      </c>
      <c r="FZ55" s="139">
        <f t="shared" si="191"/>
        <v>0</v>
      </c>
      <c r="GA55" s="139">
        <f t="shared" si="191"/>
        <v>0</v>
      </c>
      <c r="GB55" s="139">
        <f t="shared" ref="GB55:HA55" si="192">GB8/100</f>
        <v>0</v>
      </c>
      <c r="GC55" s="139">
        <f t="shared" si="192"/>
        <v>0</v>
      </c>
      <c r="GD55" s="139">
        <f t="shared" si="192"/>
        <v>0</v>
      </c>
      <c r="GE55" s="139">
        <f t="shared" si="192"/>
        <v>0</v>
      </c>
      <c r="GF55" s="139">
        <f t="shared" si="192"/>
        <v>0</v>
      </c>
      <c r="GG55" s="139">
        <f t="shared" si="192"/>
        <v>0</v>
      </c>
      <c r="GH55" s="139">
        <f t="shared" si="192"/>
        <v>0</v>
      </c>
      <c r="GI55" s="139">
        <f t="shared" si="192"/>
        <v>0</v>
      </c>
      <c r="GJ55" s="139">
        <f t="shared" si="192"/>
        <v>0</v>
      </c>
      <c r="GK55" s="139">
        <f t="shared" si="192"/>
        <v>0</v>
      </c>
      <c r="GL55" s="139">
        <f t="shared" si="192"/>
        <v>0</v>
      </c>
      <c r="GM55" s="139">
        <f t="shared" si="192"/>
        <v>0</v>
      </c>
      <c r="GN55" s="139">
        <f t="shared" si="192"/>
        <v>0</v>
      </c>
      <c r="GO55" s="139">
        <f t="shared" si="192"/>
        <v>0</v>
      </c>
      <c r="GP55" s="139">
        <f t="shared" si="192"/>
        <v>0</v>
      </c>
      <c r="GQ55" s="139">
        <f t="shared" si="192"/>
        <v>0</v>
      </c>
      <c r="GR55" s="139">
        <f t="shared" si="192"/>
        <v>0</v>
      </c>
      <c r="GS55" s="139">
        <f t="shared" si="192"/>
        <v>0</v>
      </c>
      <c r="GT55" s="139">
        <f t="shared" si="192"/>
        <v>0</v>
      </c>
      <c r="GU55" s="139">
        <f t="shared" si="192"/>
        <v>0</v>
      </c>
      <c r="GV55" s="139">
        <f t="shared" si="192"/>
        <v>0</v>
      </c>
      <c r="GW55" s="139">
        <f t="shared" si="192"/>
        <v>0</v>
      </c>
      <c r="GX55" s="139">
        <f t="shared" si="192"/>
        <v>0</v>
      </c>
      <c r="GY55" s="139">
        <f t="shared" si="192"/>
        <v>0</v>
      </c>
      <c r="GZ55" s="139">
        <f t="shared" si="192"/>
        <v>0</v>
      </c>
      <c r="HA55" s="139">
        <f t="shared" si="192"/>
        <v>0</v>
      </c>
      <c r="HB55" s="139">
        <f t="shared" ref="HB55:II55" si="193">HB8/40</f>
        <v>0</v>
      </c>
      <c r="HC55" s="139">
        <f t="shared" si="193"/>
        <v>0</v>
      </c>
      <c r="HD55" s="139">
        <f t="shared" si="193"/>
        <v>0</v>
      </c>
      <c r="HE55" s="139">
        <f t="shared" si="193"/>
        <v>0</v>
      </c>
      <c r="HF55" s="139">
        <f t="shared" si="193"/>
        <v>0</v>
      </c>
      <c r="HG55" s="139">
        <f t="shared" si="193"/>
        <v>0</v>
      </c>
      <c r="HH55" s="139">
        <f t="shared" si="193"/>
        <v>0</v>
      </c>
      <c r="HI55" s="139">
        <f t="shared" si="193"/>
        <v>0</v>
      </c>
      <c r="HJ55" s="139">
        <f t="shared" si="193"/>
        <v>0</v>
      </c>
      <c r="HK55" s="139">
        <f t="shared" si="193"/>
        <v>0</v>
      </c>
      <c r="HL55" s="139">
        <f t="shared" si="193"/>
        <v>0</v>
      </c>
      <c r="HM55" s="139">
        <f t="shared" si="193"/>
        <v>0</v>
      </c>
      <c r="HN55" s="139">
        <f t="shared" si="193"/>
        <v>0</v>
      </c>
      <c r="HO55" s="139">
        <f t="shared" si="193"/>
        <v>0</v>
      </c>
      <c r="HP55" s="139">
        <f t="shared" si="193"/>
        <v>0</v>
      </c>
      <c r="HQ55" s="139">
        <f t="shared" si="193"/>
        <v>0</v>
      </c>
      <c r="HR55" s="139">
        <f t="shared" si="193"/>
        <v>0</v>
      </c>
      <c r="HS55" s="139">
        <f t="shared" si="193"/>
        <v>0</v>
      </c>
      <c r="HT55" s="139">
        <f t="shared" si="193"/>
        <v>0</v>
      </c>
      <c r="HU55" s="139">
        <f t="shared" si="193"/>
        <v>0</v>
      </c>
      <c r="HV55" s="139">
        <f t="shared" si="193"/>
        <v>0</v>
      </c>
      <c r="HW55" s="139">
        <f t="shared" si="193"/>
        <v>0</v>
      </c>
      <c r="HX55" s="139">
        <f t="shared" si="193"/>
        <v>0</v>
      </c>
      <c r="HY55" s="139">
        <f t="shared" si="193"/>
        <v>0</v>
      </c>
      <c r="HZ55" s="139">
        <f t="shared" si="193"/>
        <v>0</v>
      </c>
      <c r="IA55" s="139">
        <f t="shared" si="193"/>
        <v>0</v>
      </c>
      <c r="IB55" s="139">
        <f t="shared" si="193"/>
        <v>0</v>
      </c>
      <c r="IC55" s="139">
        <f t="shared" si="193"/>
        <v>0</v>
      </c>
      <c r="ID55" s="139">
        <f t="shared" si="193"/>
        <v>0</v>
      </c>
      <c r="IE55" s="139">
        <f t="shared" si="193"/>
        <v>0</v>
      </c>
      <c r="IF55" s="139">
        <f t="shared" si="193"/>
        <v>0</v>
      </c>
      <c r="IG55" s="139">
        <f t="shared" si="193"/>
        <v>0</v>
      </c>
      <c r="IH55" s="139">
        <f t="shared" si="193"/>
        <v>0</v>
      </c>
      <c r="II55" s="139">
        <f t="shared" si="193"/>
        <v>0</v>
      </c>
      <c r="IJ55" s="139">
        <f t="shared" ref="IJ55:JM55" si="194">IJ8/100</f>
        <v>0</v>
      </c>
      <c r="IK55" s="139">
        <f t="shared" si="194"/>
        <v>0</v>
      </c>
      <c r="IL55" s="139">
        <f t="shared" si="194"/>
        <v>0</v>
      </c>
      <c r="IM55" s="139">
        <f t="shared" si="194"/>
        <v>0</v>
      </c>
      <c r="IN55" s="139">
        <f t="shared" si="194"/>
        <v>0</v>
      </c>
      <c r="IO55" s="139">
        <f t="shared" si="194"/>
        <v>0</v>
      </c>
      <c r="IP55" s="139">
        <f t="shared" si="194"/>
        <v>0</v>
      </c>
      <c r="IQ55" s="139">
        <f t="shared" si="194"/>
        <v>0</v>
      </c>
      <c r="IR55" s="139">
        <f t="shared" si="194"/>
        <v>0</v>
      </c>
      <c r="IS55" s="139">
        <f t="shared" si="194"/>
        <v>0</v>
      </c>
      <c r="IT55" s="139">
        <f t="shared" si="194"/>
        <v>0</v>
      </c>
      <c r="IU55" s="139">
        <f t="shared" si="194"/>
        <v>0</v>
      </c>
      <c r="IV55" s="139">
        <f t="shared" si="194"/>
        <v>0</v>
      </c>
      <c r="IW55" s="139">
        <f t="shared" si="194"/>
        <v>0</v>
      </c>
      <c r="IX55" s="139">
        <f t="shared" si="194"/>
        <v>0</v>
      </c>
      <c r="IY55" s="139">
        <f t="shared" si="194"/>
        <v>0</v>
      </c>
      <c r="IZ55" s="139">
        <f t="shared" si="194"/>
        <v>0</v>
      </c>
      <c r="JA55" s="139">
        <f t="shared" si="194"/>
        <v>0</v>
      </c>
      <c r="JB55" s="139">
        <f t="shared" si="194"/>
        <v>0</v>
      </c>
      <c r="JC55" s="139">
        <f t="shared" si="194"/>
        <v>0</v>
      </c>
      <c r="JD55" s="139">
        <f t="shared" si="194"/>
        <v>0</v>
      </c>
      <c r="JE55" s="139">
        <f t="shared" si="194"/>
        <v>0</v>
      </c>
      <c r="JF55" s="139">
        <f t="shared" si="194"/>
        <v>0</v>
      </c>
      <c r="JG55" s="139">
        <f t="shared" si="194"/>
        <v>0</v>
      </c>
      <c r="JH55" s="139">
        <f t="shared" si="194"/>
        <v>0</v>
      </c>
      <c r="JI55" s="139">
        <f t="shared" si="194"/>
        <v>0</v>
      </c>
      <c r="JJ55" s="139">
        <f t="shared" si="194"/>
        <v>0</v>
      </c>
      <c r="JK55" s="139">
        <f t="shared" si="194"/>
        <v>0</v>
      </c>
      <c r="JL55" s="139">
        <f t="shared" si="194"/>
        <v>0</v>
      </c>
      <c r="JM55" s="139">
        <f t="shared" si="194"/>
        <v>0</v>
      </c>
      <c r="JN55" s="139">
        <f t="shared" ref="JN55:JS55" si="195">JN8/40</f>
        <v>0</v>
      </c>
      <c r="JO55" s="139">
        <f t="shared" si="195"/>
        <v>0</v>
      </c>
      <c r="JP55" s="139">
        <f t="shared" si="195"/>
        <v>0</v>
      </c>
      <c r="JQ55" s="139">
        <f t="shared" si="195"/>
        <v>0</v>
      </c>
      <c r="JR55" s="139">
        <f t="shared" si="195"/>
        <v>0</v>
      </c>
      <c r="JS55" s="139">
        <f t="shared" si="195"/>
        <v>0</v>
      </c>
      <c r="JT55" s="139">
        <f t="shared" ref="JT55:JY55" si="196">JT8/100</f>
        <v>0</v>
      </c>
      <c r="JU55" s="139">
        <f t="shared" si="196"/>
        <v>0</v>
      </c>
      <c r="JV55" s="139">
        <f t="shared" si="196"/>
        <v>0</v>
      </c>
      <c r="JW55" s="139">
        <f t="shared" si="196"/>
        <v>0</v>
      </c>
      <c r="JX55" s="139">
        <f t="shared" si="196"/>
        <v>0</v>
      </c>
      <c r="JY55" s="139">
        <f t="shared" si="196"/>
        <v>0</v>
      </c>
      <c r="JZ55" s="139">
        <f t="shared" ref="JZ55:KY55" si="197">JZ8/40</f>
        <v>0</v>
      </c>
      <c r="KA55" s="139">
        <f t="shared" si="197"/>
        <v>0</v>
      </c>
      <c r="KB55" s="139">
        <f t="shared" si="197"/>
        <v>0</v>
      </c>
      <c r="KC55" s="139">
        <f t="shared" si="197"/>
        <v>0</v>
      </c>
      <c r="KD55" s="139">
        <f t="shared" si="197"/>
        <v>0</v>
      </c>
      <c r="KE55" s="139">
        <f t="shared" si="197"/>
        <v>0</v>
      </c>
      <c r="KF55" s="139">
        <f t="shared" si="197"/>
        <v>0</v>
      </c>
      <c r="KG55" s="139">
        <f t="shared" si="197"/>
        <v>0</v>
      </c>
      <c r="KH55" s="139">
        <f t="shared" si="197"/>
        <v>0</v>
      </c>
      <c r="KI55" s="139">
        <f t="shared" si="197"/>
        <v>0</v>
      </c>
      <c r="KJ55" s="139">
        <f t="shared" si="197"/>
        <v>0</v>
      </c>
      <c r="KK55" s="139">
        <f t="shared" si="197"/>
        <v>0</v>
      </c>
      <c r="KL55" s="139">
        <f t="shared" si="197"/>
        <v>0</v>
      </c>
      <c r="KM55" s="139">
        <f t="shared" si="197"/>
        <v>0</v>
      </c>
      <c r="KN55" s="139">
        <f t="shared" si="197"/>
        <v>0</v>
      </c>
      <c r="KO55" s="139">
        <f t="shared" si="197"/>
        <v>0</v>
      </c>
      <c r="KP55" s="139">
        <f t="shared" si="197"/>
        <v>0</v>
      </c>
      <c r="KQ55" s="139">
        <f t="shared" si="197"/>
        <v>0</v>
      </c>
      <c r="KR55" s="139">
        <f t="shared" si="197"/>
        <v>0</v>
      </c>
      <c r="KS55" s="139">
        <f t="shared" si="197"/>
        <v>0</v>
      </c>
      <c r="KT55" s="139">
        <f t="shared" si="197"/>
        <v>0</v>
      </c>
      <c r="KU55" s="139">
        <f t="shared" si="197"/>
        <v>0</v>
      </c>
      <c r="KV55" s="139">
        <f t="shared" si="197"/>
        <v>0</v>
      </c>
      <c r="KW55" s="139">
        <f t="shared" si="197"/>
        <v>0</v>
      </c>
      <c r="KX55" s="139">
        <f t="shared" si="197"/>
        <v>0</v>
      </c>
      <c r="KY55" s="139">
        <f t="shared" si="197"/>
        <v>0</v>
      </c>
      <c r="KZ55" s="139">
        <f t="shared" ref="KZ55:ME55" si="198">KZ8/100</f>
        <v>0</v>
      </c>
      <c r="LA55" s="139">
        <f t="shared" si="198"/>
        <v>0</v>
      </c>
      <c r="LB55" s="139">
        <f t="shared" si="198"/>
        <v>0</v>
      </c>
      <c r="LC55" s="139">
        <f t="shared" si="198"/>
        <v>0</v>
      </c>
      <c r="LD55" s="139">
        <f t="shared" si="198"/>
        <v>0</v>
      </c>
      <c r="LE55" s="139">
        <f t="shared" si="198"/>
        <v>0</v>
      </c>
      <c r="LF55" s="139">
        <f t="shared" si="198"/>
        <v>0</v>
      </c>
      <c r="LG55" s="139">
        <f t="shared" si="198"/>
        <v>0</v>
      </c>
      <c r="LH55" s="139">
        <f t="shared" si="198"/>
        <v>0</v>
      </c>
      <c r="LI55" s="139">
        <f t="shared" si="198"/>
        <v>0</v>
      </c>
      <c r="LJ55" s="139">
        <f t="shared" si="198"/>
        <v>0</v>
      </c>
      <c r="LK55" s="139">
        <f t="shared" si="198"/>
        <v>0</v>
      </c>
      <c r="LL55" s="139">
        <f t="shared" si="198"/>
        <v>0</v>
      </c>
      <c r="LM55" s="139">
        <f t="shared" si="198"/>
        <v>0</v>
      </c>
      <c r="LN55" s="139">
        <f t="shared" si="198"/>
        <v>0</v>
      </c>
      <c r="LO55" s="139">
        <f t="shared" si="198"/>
        <v>0</v>
      </c>
      <c r="LP55" s="139">
        <f t="shared" si="198"/>
        <v>0</v>
      </c>
      <c r="LQ55" s="139">
        <f t="shared" si="198"/>
        <v>0</v>
      </c>
      <c r="LR55" s="139">
        <f t="shared" si="198"/>
        <v>0</v>
      </c>
      <c r="LS55" s="139">
        <f t="shared" si="198"/>
        <v>0</v>
      </c>
      <c r="LT55" s="139">
        <f t="shared" si="198"/>
        <v>0</v>
      </c>
      <c r="LU55" s="139">
        <f t="shared" si="198"/>
        <v>0</v>
      </c>
      <c r="LV55" s="139">
        <f t="shared" si="198"/>
        <v>0</v>
      </c>
      <c r="LW55" s="139">
        <f t="shared" si="198"/>
        <v>0</v>
      </c>
      <c r="LX55" s="139">
        <f t="shared" si="198"/>
        <v>0</v>
      </c>
      <c r="LY55" s="139">
        <f t="shared" si="198"/>
        <v>0</v>
      </c>
      <c r="LZ55" s="139">
        <f t="shared" si="198"/>
        <v>0</v>
      </c>
      <c r="MA55" s="139">
        <f t="shared" si="198"/>
        <v>0</v>
      </c>
      <c r="MB55" s="139">
        <f t="shared" si="198"/>
        <v>0</v>
      </c>
      <c r="MC55" s="139">
        <f t="shared" si="198"/>
        <v>0</v>
      </c>
      <c r="MD55" s="139">
        <f t="shared" si="198"/>
        <v>0</v>
      </c>
      <c r="ME55" s="139">
        <f t="shared" si="198"/>
        <v>0</v>
      </c>
      <c r="MF55" s="139">
        <f t="shared" ref="MF55:NK55" si="199">MF8/100</f>
        <v>0</v>
      </c>
      <c r="MG55" s="139">
        <f t="shared" si="199"/>
        <v>0</v>
      </c>
      <c r="MH55" s="139">
        <f t="shared" si="199"/>
        <v>0</v>
      </c>
      <c r="MI55" s="139">
        <f t="shared" si="199"/>
        <v>0</v>
      </c>
      <c r="MJ55" s="139">
        <f t="shared" si="199"/>
        <v>0</v>
      </c>
      <c r="MK55" s="139">
        <f t="shared" si="199"/>
        <v>0</v>
      </c>
      <c r="ML55" s="139">
        <f t="shared" si="199"/>
        <v>0</v>
      </c>
      <c r="MM55" s="139">
        <f t="shared" si="199"/>
        <v>0</v>
      </c>
      <c r="MN55" s="139">
        <f t="shared" si="199"/>
        <v>0</v>
      </c>
      <c r="MO55" s="139">
        <f t="shared" si="199"/>
        <v>0</v>
      </c>
      <c r="MP55" s="139">
        <f t="shared" si="199"/>
        <v>0</v>
      </c>
      <c r="MQ55" s="139">
        <f t="shared" si="199"/>
        <v>0</v>
      </c>
      <c r="MR55" s="139">
        <f t="shared" si="199"/>
        <v>0</v>
      </c>
      <c r="MS55" s="139">
        <f t="shared" si="199"/>
        <v>0</v>
      </c>
      <c r="MT55" s="139">
        <f t="shared" si="199"/>
        <v>0</v>
      </c>
      <c r="MU55" s="139">
        <f t="shared" si="199"/>
        <v>0</v>
      </c>
      <c r="MV55" s="139">
        <f t="shared" si="199"/>
        <v>0</v>
      </c>
      <c r="MW55" s="139">
        <f t="shared" si="199"/>
        <v>0</v>
      </c>
      <c r="MX55" s="139">
        <f t="shared" si="199"/>
        <v>0</v>
      </c>
      <c r="MY55" s="139">
        <f t="shared" si="199"/>
        <v>0</v>
      </c>
      <c r="MZ55" s="139">
        <f t="shared" si="199"/>
        <v>0</v>
      </c>
      <c r="NA55" s="139">
        <f t="shared" si="199"/>
        <v>0</v>
      </c>
      <c r="NB55" s="139">
        <f t="shared" si="199"/>
        <v>0</v>
      </c>
      <c r="NC55" s="139">
        <f t="shared" si="199"/>
        <v>0</v>
      </c>
      <c r="ND55" s="139">
        <f t="shared" si="199"/>
        <v>0</v>
      </c>
      <c r="NE55" s="139">
        <f t="shared" si="199"/>
        <v>0</v>
      </c>
      <c r="NF55" s="139">
        <f t="shared" si="199"/>
        <v>0</v>
      </c>
      <c r="NG55" s="139">
        <f t="shared" si="199"/>
        <v>0</v>
      </c>
      <c r="NH55" s="139">
        <f t="shared" si="199"/>
        <v>0</v>
      </c>
      <c r="NI55" s="139">
        <f t="shared" si="199"/>
        <v>0</v>
      </c>
      <c r="NJ55" s="139">
        <f t="shared" si="199"/>
        <v>0</v>
      </c>
      <c r="NK55" s="139">
        <f t="shared" si="199"/>
        <v>0</v>
      </c>
      <c r="NL55" s="139">
        <f t="shared" ref="NL55:OQ55" si="200">NL8/100</f>
        <v>0</v>
      </c>
      <c r="NM55" s="139">
        <f t="shared" si="200"/>
        <v>0</v>
      </c>
      <c r="NN55" s="139">
        <f t="shared" si="200"/>
        <v>0</v>
      </c>
      <c r="NO55" s="139">
        <f t="shared" si="200"/>
        <v>0</v>
      </c>
      <c r="NP55" s="139">
        <f t="shared" si="200"/>
        <v>0</v>
      </c>
      <c r="NQ55" s="139">
        <f t="shared" si="200"/>
        <v>0</v>
      </c>
      <c r="NR55" s="139">
        <f t="shared" si="200"/>
        <v>0</v>
      </c>
      <c r="NS55" s="139">
        <f t="shared" si="200"/>
        <v>0</v>
      </c>
      <c r="NT55" s="139">
        <f t="shared" si="200"/>
        <v>0</v>
      </c>
      <c r="NU55" s="139">
        <f t="shared" si="200"/>
        <v>0</v>
      </c>
      <c r="NV55" s="139">
        <f t="shared" si="200"/>
        <v>0</v>
      </c>
      <c r="NW55" s="139">
        <f t="shared" si="200"/>
        <v>0</v>
      </c>
      <c r="NX55" s="139">
        <f t="shared" si="200"/>
        <v>0</v>
      </c>
      <c r="NY55" s="139">
        <f t="shared" si="200"/>
        <v>0</v>
      </c>
      <c r="NZ55" s="139">
        <f t="shared" si="200"/>
        <v>0</v>
      </c>
      <c r="OA55" s="139">
        <f t="shared" si="200"/>
        <v>0</v>
      </c>
      <c r="OB55" s="139">
        <f t="shared" si="200"/>
        <v>0</v>
      </c>
      <c r="OC55" s="139">
        <f t="shared" si="200"/>
        <v>0</v>
      </c>
      <c r="OD55" s="139">
        <f t="shared" si="200"/>
        <v>0</v>
      </c>
      <c r="OE55" s="139">
        <f t="shared" si="200"/>
        <v>0</v>
      </c>
      <c r="OF55" s="139">
        <f t="shared" si="200"/>
        <v>0</v>
      </c>
      <c r="OG55" s="139">
        <f t="shared" si="200"/>
        <v>0</v>
      </c>
      <c r="OH55" s="139">
        <f t="shared" si="200"/>
        <v>0</v>
      </c>
      <c r="OI55" s="139">
        <f t="shared" si="200"/>
        <v>0</v>
      </c>
      <c r="OJ55" s="139">
        <f t="shared" si="200"/>
        <v>0</v>
      </c>
      <c r="OK55" s="139">
        <f t="shared" si="200"/>
        <v>0</v>
      </c>
      <c r="OL55" s="139">
        <f t="shared" si="200"/>
        <v>0</v>
      </c>
      <c r="OM55" s="139">
        <f t="shared" si="200"/>
        <v>0</v>
      </c>
      <c r="ON55" s="139">
        <f t="shared" si="200"/>
        <v>0</v>
      </c>
      <c r="OO55" s="139">
        <f t="shared" si="200"/>
        <v>0</v>
      </c>
      <c r="OP55" s="139">
        <f t="shared" si="200"/>
        <v>0</v>
      </c>
      <c r="OQ55" s="139">
        <f t="shared" si="200"/>
        <v>0</v>
      </c>
      <c r="OR55" s="139">
        <f t="shared" ref="OR55:PW55" si="201">OR8/100</f>
        <v>0</v>
      </c>
      <c r="OS55" s="139">
        <f t="shared" si="201"/>
        <v>0</v>
      </c>
      <c r="OT55" s="139">
        <f t="shared" si="201"/>
        <v>0</v>
      </c>
      <c r="OU55" s="139">
        <f t="shared" si="201"/>
        <v>0</v>
      </c>
      <c r="OV55" s="139">
        <f t="shared" si="201"/>
        <v>0</v>
      </c>
      <c r="OW55" s="139">
        <f t="shared" si="201"/>
        <v>0</v>
      </c>
      <c r="OX55" s="139">
        <f t="shared" si="201"/>
        <v>0</v>
      </c>
      <c r="OY55" s="139">
        <f t="shared" si="201"/>
        <v>0</v>
      </c>
      <c r="OZ55" s="139">
        <f t="shared" si="201"/>
        <v>0</v>
      </c>
      <c r="PA55" s="139">
        <f t="shared" si="201"/>
        <v>0</v>
      </c>
      <c r="PB55" s="139">
        <f t="shared" si="201"/>
        <v>0</v>
      </c>
      <c r="PC55" s="139">
        <f t="shared" si="201"/>
        <v>0</v>
      </c>
      <c r="PD55" s="139">
        <f t="shared" si="201"/>
        <v>0</v>
      </c>
      <c r="PE55" s="139">
        <f t="shared" si="201"/>
        <v>0</v>
      </c>
      <c r="PF55" s="139">
        <f t="shared" si="201"/>
        <v>0</v>
      </c>
      <c r="PG55" s="139">
        <f t="shared" si="201"/>
        <v>0</v>
      </c>
      <c r="PH55" s="139">
        <f t="shared" si="201"/>
        <v>0</v>
      </c>
      <c r="PI55" s="139">
        <f t="shared" si="201"/>
        <v>0</v>
      </c>
      <c r="PJ55" s="139">
        <f t="shared" si="201"/>
        <v>0</v>
      </c>
      <c r="PK55" s="139">
        <f t="shared" si="201"/>
        <v>0</v>
      </c>
      <c r="PL55" s="139">
        <f t="shared" si="201"/>
        <v>0</v>
      </c>
      <c r="PM55" s="139">
        <f t="shared" si="201"/>
        <v>0</v>
      </c>
      <c r="PN55" s="139">
        <f t="shared" si="201"/>
        <v>0</v>
      </c>
      <c r="PO55" s="139">
        <f t="shared" si="201"/>
        <v>0</v>
      </c>
      <c r="PP55" s="139">
        <f t="shared" si="201"/>
        <v>0</v>
      </c>
      <c r="PQ55" s="139">
        <f t="shared" si="201"/>
        <v>0</v>
      </c>
      <c r="PR55" s="139">
        <f t="shared" si="201"/>
        <v>0</v>
      </c>
      <c r="PS55" s="139">
        <f t="shared" si="201"/>
        <v>0</v>
      </c>
      <c r="PT55" s="139">
        <f t="shared" si="201"/>
        <v>0</v>
      </c>
      <c r="PU55" s="139">
        <f t="shared" si="201"/>
        <v>0</v>
      </c>
      <c r="PV55" s="139">
        <f t="shared" si="201"/>
        <v>0</v>
      </c>
      <c r="PW55" s="139">
        <f t="shared" si="201"/>
        <v>0</v>
      </c>
      <c r="PX55" s="139">
        <f t="shared" ref="PX55:QN55" si="202">PX8/100</f>
        <v>0</v>
      </c>
      <c r="PY55" s="139">
        <f t="shared" si="202"/>
        <v>0</v>
      </c>
      <c r="PZ55" s="139">
        <f t="shared" si="202"/>
        <v>0</v>
      </c>
      <c r="QA55" s="139">
        <f t="shared" si="202"/>
        <v>0</v>
      </c>
      <c r="QB55" s="139">
        <f t="shared" si="202"/>
        <v>0</v>
      </c>
      <c r="QC55" s="139">
        <f t="shared" si="202"/>
        <v>0</v>
      </c>
      <c r="QD55" s="139">
        <f t="shared" si="202"/>
        <v>0</v>
      </c>
      <c r="QE55" s="139">
        <f t="shared" si="202"/>
        <v>0</v>
      </c>
      <c r="QF55" s="139">
        <f t="shared" si="202"/>
        <v>0</v>
      </c>
      <c r="QG55" s="139">
        <f t="shared" si="202"/>
        <v>0</v>
      </c>
      <c r="QH55" s="139">
        <f t="shared" si="202"/>
        <v>0</v>
      </c>
      <c r="QI55" s="139">
        <f t="shared" si="202"/>
        <v>0</v>
      </c>
      <c r="QJ55" s="139">
        <f t="shared" si="202"/>
        <v>0</v>
      </c>
      <c r="QK55" s="139">
        <f t="shared" si="202"/>
        <v>0</v>
      </c>
      <c r="QL55" s="139">
        <f t="shared" si="202"/>
        <v>0</v>
      </c>
      <c r="QM55" s="139">
        <f t="shared" si="202"/>
        <v>0</v>
      </c>
      <c r="QN55" s="139">
        <f t="shared" si="202"/>
        <v>0</v>
      </c>
      <c r="QO55" s="139">
        <f>QO8/40</f>
        <v>0</v>
      </c>
      <c r="QP55" s="139">
        <f>QP8/100</f>
        <v>0</v>
      </c>
      <c r="QQ55" s="139">
        <f>QQ8/100</f>
        <v>0</v>
      </c>
      <c r="QR55" s="139">
        <f>QR8/40</f>
        <v>0</v>
      </c>
      <c r="QS55" s="139">
        <f>QS8/100</f>
        <v>0</v>
      </c>
      <c r="QT55" s="139">
        <f>QT8/100</f>
        <v>0</v>
      </c>
      <c r="RA55" s="139">
        <f t="shared" ref="RA55:RF55" si="203">RA8/100</f>
        <v>0</v>
      </c>
      <c r="RB55" s="139">
        <f t="shared" si="203"/>
        <v>0</v>
      </c>
      <c r="RC55" s="139">
        <f t="shared" si="203"/>
        <v>0</v>
      </c>
      <c r="RD55" s="139">
        <f t="shared" si="203"/>
        <v>0</v>
      </c>
      <c r="RE55" s="139">
        <f t="shared" si="203"/>
        <v>0</v>
      </c>
      <c r="RF55" s="139">
        <f t="shared" si="203"/>
        <v>0</v>
      </c>
      <c r="RG55" s="70"/>
      <c r="RM55" s="145"/>
      <c r="SB55" s="70">
        <f>SB8/40</f>
        <v>0</v>
      </c>
      <c r="SC55" s="70">
        <f>SC8/40</f>
        <v>0</v>
      </c>
      <c r="SD55" s="70">
        <f>SD8/40</f>
        <v>0</v>
      </c>
      <c r="SE55" s="70">
        <f t="shared" ref="SE55:SU55" si="204">SE8/100</f>
        <v>0</v>
      </c>
      <c r="SF55" s="70">
        <f t="shared" si="204"/>
        <v>0</v>
      </c>
      <c r="SG55" s="70">
        <f t="shared" si="204"/>
        <v>0</v>
      </c>
      <c r="SH55" s="70">
        <f t="shared" si="204"/>
        <v>0</v>
      </c>
      <c r="SI55" s="70">
        <f t="shared" si="204"/>
        <v>0</v>
      </c>
      <c r="SJ55" s="70">
        <f t="shared" si="204"/>
        <v>0</v>
      </c>
      <c r="SK55" s="70">
        <f t="shared" si="204"/>
        <v>0</v>
      </c>
      <c r="SL55" s="70">
        <f t="shared" si="204"/>
        <v>0</v>
      </c>
      <c r="SM55" s="70">
        <f t="shared" si="204"/>
        <v>0</v>
      </c>
      <c r="SN55" s="70">
        <f t="shared" si="204"/>
        <v>0</v>
      </c>
      <c r="SO55" s="70">
        <f t="shared" si="204"/>
        <v>0</v>
      </c>
      <c r="SP55" s="70">
        <f t="shared" si="204"/>
        <v>0</v>
      </c>
      <c r="SQ55" s="70">
        <f t="shared" si="204"/>
        <v>0</v>
      </c>
      <c r="SR55" s="70">
        <f t="shared" si="204"/>
        <v>0</v>
      </c>
      <c r="SS55" s="70">
        <f t="shared" si="204"/>
        <v>0</v>
      </c>
      <c r="ST55" s="70">
        <f t="shared" si="204"/>
        <v>0</v>
      </c>
      <c r="SU55" s="70">
        <f t="shared" si="204"/>
        <v>0</v>
      </c>
      <c r="SV55" s="139">
        <f>SV8/40</f>
        <v>0</v>
      </c>
      <c r="SW55" s="139">
        <f>SW8/40</f>
        <v>0</v>
      </c>
      <c r="SX55" s="70">
        <f t="shared" ref="SX55:TR55" si="205">SX8/100</f>
        <v>0</v>
      </c>
      <c r="SY55" s="70">
        <f t="shared" si="205"/>
        <v>0</v>
      </c>
      <c r="SZ55" s="70">
        <f t="shared" si="205"/>
        <v>0</v>
      </c>
      <c r="TA55" s="70">
        <f t="shared" si="205"/>
        <v>0</v>
      </c>
      <c r="TB55" s="70">
        <f t="shared" si="205"/>
        <v>0</v>
      </c>
      <c r="TC55" s="70">
        <f t="shared" si="205"/>
        <v>0</v>
      </c>
      <c r="TD55" s="70">
        <f t="shared" si="205"/>
        <v>0</v>
      </c>
      <c r="TE55" s="70">
        <f t="shared" si="205"/>
        <v>0</v>
      </c>
      <c r="TF55" s="70">
        <f t="shared" si="205"/>
        <v>0</v>
      </c>
      <c r="TG55" s="70">
        <f t="shared" si="205"/>
        <v>0</v>
      </c>
      <c r="TH55" s="70">
        <f t="shared" si="205"/>
        <v>0</v>
      </c>
      <c r="TI55" s="70">
        <f t="shared" si="205"/>
        <v>0</v>
      </c>
      <c r="TJ55" s="70">
        <f t="shared" si="205"/>
        <v>0</v>
      </c>
      <c r="TK55" s="70">
        <f t="shared" si="205"/>
        <v>0</v>
      </c>
      <c r="TL55" s="70">
        <f t="shared" si="205"/>
        <v>0</v>
      </c>
      <c r="TM55" s="70">
        <f t="shared" si="205"/>
        <v>0</v>
      </c>
      <c r="TN55" s="70">
        <f t="shared" si="205"/>
        <v>0</v>
      </c>
      <c r="TO55" s="70">
        <f t="shared" si="205"/>
        <v>0</v>
      </c>
      <c r="TP55" s="70">
        <f t="shared" si="205"/>
        <v>0</v>
      </c>
      <c r="TQ55" s="70">
        <f t="shared" si="205"/>
        <v>0</v>
      </c>
      <c r="TR55" s="70">
        <f t="shared" si="205"/>
        <v>0</v>
      </c>
      <c r="TS55" s="139">
        <f>TS8/40</f>
        <v>0</v>
      </c>
      <c r="TT55" s="70">
        <f t="shared" ref="TT55:UY55" si="206">TT8/100</f>
        <v>0</v>
      </c>
      <c r="TU55" s="70">
        <f t="shared" si="206"/>
        <v>0</v>
      </c>
      <c r="TV55" s="70">
        <f t="shared" si="206"/>
        <v>0</v>
      </c>
      <c r="TW55" s="70">
        <f t="shared" si="206"/>
        <v>0</v>
      </c>
      <c r="TX55" s="70">
        <f t="shared" si="206"/>
        <v>0</v>
      </c>
      <c r="TY55" s="70">
        <f t="shared" si="206"/>
        <v>0</v>
      </c>
      <c r="TZ55" s="70">
        <f t="shared" si="206"/>
        <v>0</v>
      </c>
      <c r="UA55" s="70">
        <f t="shared" si="206"/>
        <v>0</v>
      </c>
      <c r="UB55" s="70">
        <f t="shared" si="206"/>
        <v>0</v>
      </c>
      <c r="UC55" s="70">
        <f t="shared" si="206"/>
        <v>0</v>
      </c>
      <c r="UD55" s="70">
        <f t="shared" si="206"/>
        <v>0</v>
      </c>
      <c r="UE55" s="70">
        <f t="shared" si="206"/>
        <v>0</v>
      </c>
      <c r="UF55" s="70">
        <f t="shared" si="206"/>
        <v>0</v>
      </c>
      <c r="UG55" s="70">
        <f t="shared" si="206"/>
        <v>0</v>
      </c>
      <c r="UH55" s="70">
        <f t="shared" si="206"/>
        <v>0</v>
      </c>
      <c r="UI55" s="70">
        <f t="shared" si="206"/>
        <v>0</v>
      </c>
      <c r="UJ55" s="70">
        <f t="shared" si="206"/>
        <v>0</v>
      </c>
      <c r="UK55" s="70">
        <f t="shared" si="206"/>
        <v>0</v>
      </c>
      <c r="UL55" s="70">
        <f t="shared" si="206"/>
        <v>0</v>
      </c>
      <c r="UM55" s="70">
        <f t="shared" si="206"/>
        <v>0</v>
      </c>
      <c r="UN55" s="70">
        <f t="shared" si="206"/>
        <v>0</v>
      </c>
      <c r="UO55" s="70">
        <f t="shared" si="206"/>
        <v>0</v>
      </c>
      <c r="UP55" s="70">
        <f t="shared" si="206"/>
        <v>0</v>
      </c>
      <c r="UQ55" s="70">
        <f t="shared" si="206"/>
        <v>0</v>
      </c>
      <c r="UR55" s="70">
        <f t="shared" si="206"/>
        <v>0</v>
      </c>
      <c r="US55" s="70">
        <f t="shared" si="206"/>
        <v>0</v>
      </c>
      <c r="UT55" s="70">
        <f t="shared" si="206"/>
        <v>0</v>
      </c>
      <c r="UU55" s="70">
        <f t="shared" si="206"/>
        <v>0</v>
      </c>
      <c r="UV55" s="70">
        <f t="shared" si="206"/>
        <v>0</v>
      </c>
      <c r="UW55" s="70">
        <f t="shared" si="206"/>
        <v>0</v>
      </c>
      <c r="UX55" s="70">
        <f t="shared" si="206"/>
        <v>0</v>
      </c>
      <c r="UY55" s="70">
        <f t="shared" si="206"/>
        <v>0</v>
      </c>
      <c r="UZ55" s="70">
        <f t="shared" ref="UZ55:WE55" si="207">UZ8/100</f>
        <v>0</v>
      </c>
      <c r="VA55" s="70">
        <f t="shared" si="207"/>
        <v>0</v>
      </c>
      <c r="VB55" s="70">
        <f t="shared" si="207"/>
        <v>0</v>
      </c>
      <c r="VC55" s="70">
        <f t="shared" si="207"/>
        <v>0</v>
      </c>
      <c r="VD55" s="70">
        <f t="shared" si="207"/>
        <v>0</v>
      </c>
      <c r="VE55" s="70">
        <f t="shared" si="207"/>
        <v>0</v>
      </c>
      <c r="VF55" s="70">
        <f t="shared" si="207"/>
        <v>0</v>
      </c>
      <c r="VG55" s="70">
        <f t="shared" si="207"/>
        <v>0</v>
      </c>
      <c r="VH55" s="70">
        <f t="shared" si="207"/>
        <v>0</v>
      </c>
      <c r="VI55" s="70">
        <f t="shared" si="207"/>
        <v>0</v>
      </c>
      <c r="VJ55" s="70">
        <f t="shared" si="207"/>
        <v>0</v>
      </c>
      <c r="VK55" s="70">
        <f t="shared" si="207"/>
        <v>0</v>
      </c>
      <c r="VL55" s="70">
        <f t="shared" si="207"/>
        <v>0</v>
      </c>
      <c r="VM55" s="70">
        <f t="shared" si="207"/>
        <v>0</v>
      </c>
      <c r="VN55" s="70">
        <f t="shared" si="207"/>
        <v>0</v>
      </c>
      <c r="VO55" s="70">
        <f t="shared" si="207"/>
        <v>0</v>
      </c>
      <c r="VP55" s="70">
        <f t="shared" si="207"/>
        <v>0</v>
      </c>
      <c r="VQ55" s="70">
        <f t="shared" si="207"/>
        <v>0</v>
      </c>
      <c r="VR55" s="70">
        <f t="shared" si="207"/>
        <v>0</v>
      </c>
      <c r="VS55" s="70">
        <f t="shared" si="207"/>
        <v>0</v>
      </c>
      <c r="VT55" s="70">
        <f t="shared" si="207"/>
        <v>0</v>
      </c>
      <c r="VU55" s="70">
        <f t="shared" si="207"/>
        <v>0</v>
      </c>
      <c r="VV55" s="70">
        <f t="shared" si="207"/>
        <v>0</v>
      </c>
      <c r="VW55" s="70">
        <f t="shared" si="207"/>
        <v>0</v>
      </c>
      <c r="VX55" s="70">
        <f t="shared" si="207"/>
        <v>0</v>
      </c>
      <c r="VY55" s="70">
        <f t="shared" si="207"/>
        <v>0</v>
      </c>
      <c r="VZ55" s="70">
        <f t="shared" si="207"/>
        <v>0</v>
      </c>
      <c r="WA55" s="70">
        <f t="shared" si="207"/>
        <v>0</v>
      </c>
      <c r="WB55" s="70">
        <f t="shared" si="207"/>
        <v>0</v>
      </c>
      <c r="WC55" s="70">
        <f t="shared" si="207"/>
        <v>0</v>
      </c>
      <c r="WD55" s="70">
        <f t="shared" si="207"/>
        <v>0</v>
      </c>
      <c r="WE55" s="70">
        <f t="shared" si="207"/>
        <v>0</v>
      </c>
      <c r="WF55" s="70">
        <f t="shared" ref="WF55:WS55" si="208">WF8/100</f>
        <v>0</v>
      </c>
      <c r="WG55" s="70">
        <f t="shared" si="208"/>
        <v>0</v>
      </c>
      <c r="WH55" s="70">
        <f t="shared" si="208"/>
        <v>0</v>
      </c>
      <c r="WI55" s="70">
        <f t="shared" si="208"/>
        <v>0</v>
      </c>
      <c r="WJ55" s="70">
        <f t="shared" si="208"/>
        <v>0</v>
      </c>
      <c r="WK55" s="70">
        <f t="shared" si="208"/>
        <v>0</v>
      </c>
      <c r="WL55" s="70">
        <f t="shared" si="208"/>
        <v>0</v>
      </c>
      <c r="WM55" s="70">
        <f t="shared" si="208"/>
        <v>0</v>
      </c>
      <c r="WN55" s="70">
        <f t="shared" si="208"/>
        <v>0</v>
      </c>
      <c r="WO55" s="70">
        <f t="shared" si="208"/>
        <v>0</v>
      </c>
      <c r="WP55" s="70">
        <f t="shared" si="208"/>
        <v>0</v>
      </c>
      <c r="WQ55" s="70">
        <f t="shared" si="208"/>
        <v>0</v>
      </c>
      <c r="WR55" s="70">
        <f t="shared" si="208"/>
        <v>0</v>
      </c>
      <c r="WS55" s="70">
        <f t="shared" si="208"/>
        <v>0</v>
      </c>
      <c r="ACG55" s="86"/>
      <c r="ADA55" s="86"/>
    </row>
    <row r="56" spans="1:830" hidden="1" x14ac:dyDescent="0.25">
      <c r="F56" s="32"/>
      <c r="M56" t="s">
        <v>185</v>
      </c>
      <c r="N56" s="139">
        <f t="shared" ref="N56:AS56" si="209">N11/40</f>
        <v>0</v>
      </c>
      <c r="O56" s="139">
        <f t="shared" si="209"/>
        <v>0</v>
      </c>
      <c r="P56" s="139">
        <f t="shared" si="209"/>
        <v>0</v>
      </c>
      <c r="Q56" s="139">
        <f t="shared" si="209"/>
        <v>0</v>
      </c>
      <c r="R56" s="139">
        <f t="shared" si="209"/>
        <v>0</v>
      </c>
      <c r="S56" s="139">
        <f t="shared" si="209"/>
        <v>0</v>
      </c>
      <c r="T56" s="139">
        <f t="shared" si="209"/>
        <v>0</v>
      </c>
      <c r="U56" s="139">
        <f t="shared" si="209"/>
        <v>0</v>
      </c>
      <c r="V56" s="139">
        <f t="shared" si="209"/>
        <v>0</v>
      </c>
      <c r="W56" s="139">
        <f t="shared" si="209"/>
        <v>0</v>
      </c>
      <c r="X56" s="139">
        <f t="shared" si="209"/>
        <v>0</v>
      </c>
      <c r="Y56" s="139">
        <f t="shared" si="209"/>
        <v>0</v>
      </c>
      <c r="Z56" s="139">
        <f t="shared" si="209"/>
        <v>0</v>
      </c>
      <c r="AA56" s="139">
        <f t="shared" si="209"/>
        <v>0</v>
      </c>
      <c r="AB56" s="139">
        <f t="shared" si="209"/>
        <v>0</v>
      </c>
      <c r="AC56" s="139">
        <f t="shared" si="209"/>
        <v>0</v>
      </c>
      <c r="AD56" s="139">
        <f t="shared" si="209"/>
        <v>0</v>
      </c>
      <c r="AE56" s="139">
        <f t="shared" si="209"/>
        <v>0</v>
      </c>
      <c r="AF56" s="139">
        <f t="shared" si="209"/>
        <v>0</v>
      </c>
      <c r="AG56" s="139">
        <f t="shared" si="209"/>
        <v>0</v>
      </c>
      <c r="AH56" s="139">
        <f t="shared" si="209"/>
        <v>0</v>
      </c>
      <c r="AI56" s="139">
        <f t="shared" si="209"/>
        <v>0</v>
      </c>
      <c r="AJ56" s="139">
        <f t="shared" si="209"/>
        <v>0</v>
      </c>
      <c r="AK56" s="139">
        <f t="shared" si="209"/>
        <v>0</v>
      </c>
      <c r="AL56" s="139">
        <f t="shared" si="209"/>
        <v>0</v>
      </c>
      <c r="AM56" s="139">
        <f t="shared" si="209"/>
        <v>0</v>
      </c>
      <c r="AN56" s="139">
        <f t="shared" si="209"/>
        <v>0</v>
      </c>
      <c r="AO56" s="139">
        <f t="shared" si="209"/>
        <v>0</v>
      </c>
      <c r="AP56" s="139">
        <f t="shared" si="209"/>
        <v>0</v>
      </c>
      <c r="AQ56" s="139">
        <f t="shared" si="209"/>
        <v>0</v>
      </c>
      <c r="AR56" s="139">
        <f t="shared" si="209"/>
        <v>0</v>
      </c>
      <c r="AS56" s="139">
        <f t="shared" si="209"/>
        <v>0</v>
      </c>
      <c r="AT56" s="139">
        <f t="shared" ref="AT56:BY56" si="210">AT11/40</f>
        <v>0</v>
      </c>
      <c r="AU56" s="139">
        <f t="shared" si="210"/>
        <v>0</v>
      </c>
      <c r="AV56" s="139">
        <f t="shared" si="210"/>
        <v>0</v>
      </c>
      <c r="AW56" s="139">
        <f t="shared" si="210"/>
        <v>0</v>
      </c>
      <c r="AX56" s="139">
        <f t="shared" si="210"/>
        <v>0</v>
      </c>
      <c r="AY56" s="139">
        <f t="shared" si="210"/>
        <v>0</v>
      </c>
      <c r="AZ56" s="139">
        <f t="shared" si="210"/>
        <v>0</v>
      </c>
      <c r="BA56" s="139">
        <f t="shared" si="210"/>
        <v>0</v>
      </c>
      <c r="BB56" s="139">
        <f t="shared" si="210"/>
        <v>0</v>
      </c>
      <c r="BC56" s="139">
        <f t="shared" si="210"/>
        <v>0</v>
      </c>
      <c r="BD56" s="139">
        <f t="shared" si="210"/>
        <v>0</v>
      </c>
      <c r="BE56" s="139">
        <f t="shared" si="210"/>
        <v>0</v>
      </c>
      <c r="BF56" s="139">
        <f t="shared" si="210"/>
        <v>0</v>
      </c>
      <c r="BG56" s="139">
        <f t="shared" si="210"/>
        <v>0</v>
      </c>
      <c r="BH56" s="139">
        <f t="shared" si="210"/>
        <v>0</v>
      </c>
      <c r="BI56" s="139">
        <f t="shared" si="210"/>
        <v>0</v>
      </c>
      <c r="BJ56" s="139">
        <f t="shared" si="210"/>
        <v>0</v>
      </c>
      <c r="BK56" s="139">
        <f t="shared" si="210"/>
        <v>0</v>
      </c>
      <c r="BL56" s="139">
        <f t="shared" si="210"/>
        <v>0</v>
      </c>
      <c r="BM56" s="139">
        <f t="shared" si="210"/>
        <v>0</v>
      </c>
      <c r="BN56" s="139">
        <f t="shared" si="210"/>
        <v>0</v>
      </c>
      <c r="BO56" s="139">
        <f t="shared" si="210"/>
        <v>0</v>
      </c>
      <c r="BP56" s="139">
        <f t="shared" si="210"/>
        <v>0</v>
      </c>
      <c r="BQ56" s="139">
        <f t="shared" si="210"/>
        <v>0</v>
      </c>
      <c r="BR56" s="139">
        <f t="shared" si="210"/>
        <v>0</v>
      </c>
      <c r="BS56" s="139">
        <f t="shared" si="210"/>
        <v>0</v>
      </c>
      <c r="BT56" s="139">
        <f t="shared" si="210"/>
        <v>0</v>
      </c>
      <c r="BU56" s="139">
        <f t="shared" si="210"/>
        <v>0</v>
      </c>
      <c r="BV56" s="139">
        <f t="shared" si="210"/>
        <v>0</v>
      </c>
      <c r="BW56" s="139">
        <f t="shared" si="210"/>
        <v>0</v>
      </c>
      <c r="BX56" s="139">
        <f t="shared" si="210"/>
        <v>0</v>
      </c>
      <c r="BY56" s="139">
        <f t="shared" si="210"/>
        <v>0</v>
      </c>
      <c r="BZ56" s="139">
        <f t="shared" ref="BZ56:CI56" si="211">BZ11/40</f>
        <v>0</v>
      </c>
      <c r="CA56" s="139">
        <f t="shared" si="211"/>
        <v>0</v>
      </c>
      <c r="CB56" s="139">
        <f t="shared" si="211"/>
        <v>0</v>
      </c>
      <c r="CC56" s="139">
        <f t="shared" si="211"/>
        <v>0</v>
      </c>
      <c r="CD56" s="139">
        <f t="shared" si="211"/>
        <v>0</v>
      </c>
      <c r="CE56" s="139">
        <f t="shared" si="211"/>
        <v>0</v>
      </c>
      <c r="CF56" s="139">
        <f t="shared" si="211"/>
        <v>0</v>
      </c>
      <c r="CG56" s="139">
        <f t="shared" si="211"/>
        <v>0</v>
      </c>
      <c r="CH56" s="139">
        <f t="shared" si="211"/>
        <v>0</v>
      </c>
      <c r="CI56" s="139">
        <f t="shared" si="211"/>
        <v>0</v>
      </c>
      <c r="CJ56" s="139">
        <f t="shared" ref="CJ56:DO56" si="212">CJ11/100</f>
        <v>0</v>
      </c>
      <c r="CK56" s="139">
        <f t="shared" si="212"/>
        <v>0</v>
      </c>
      <c r="CL56" s="139">
        <f t="shared" si="212"/>
        <v>0</v>
      </c>
      <c r="CM56" s="139">
        <f t="shared" si="212"/>
        <v>0</v>
      </c>
      <c r="CN56" s="139">
        <f t="shared" si="212"/>
        <v>0</v>
      </c>
      <c r="CO56" s="139">
        <f t="shared" si="212"/>
        <v>0</v>
      </c>
      <c r="CP56" s="139">
        <f t="shared" si="212"/>
        <v>0</v>
      </c>
      <c r="CQ56" s="139">
        <f t="shared" si="212"/>
        <v>0</v>
      </c>
      <c r="CR56" s="139">
        <f t="shared" si="212"/>
        <v>0</v>
      </c>
      <c r="CS56" s="139">
        <f t="shared" si="212"/>
        <v>0</v>
      </c>
      <c r="CT56" s="139">
        <f t="shared" si="212"/>
        <v>0</v>
      </c>
      <c r="CU56" s="139">
        <f t="shared" si="212"/>
        <v>0</v>
      </c>
      <c r="CV56" s="139">
        <f t="shared" si="212"/>
        <v>0</v>
      </c>
      <c r="CW56" s="139">
        <f t="shared" si="212"/>
        <v>0</v>
      </c>
      <c r="CX56" s="139">
        <f t="shared" si="212"/>
        <v>0</v>
      </c>
      <c r="CY56" s="139">
        <f t="shared" si="212"/>
        <v>0</v>
      </c>
      <c r="CZ56" s="139">
        <f t="shared" si="212"/>
        <v>0</v>
      </c>
      <c r="DA56" s="139">
        <f t="shared" si="212"/>
        <v>0</v>
      </c>
      <c r="DB56" s="139">
        <f t="shared" si="212"/>
        <v>0</v>
      </c>
      <c r="DC56" s="139">
        <f t="shared" si="212"/>
        <v>0</v>
      </c>
      <c r="DD56" s="139">
        <f t="shared" si="212"/>
        <v>0</v>
      </c>
      <c r="DE56" s="139">
        <f t="shared" si="212"/>
        <v>0</v>
      </c>
      <c r="DF56" s="139">
        <f t="shared" si="212"/>
        <v>0</v>
      </c>
      <c r="DG56" s="139">
        <f t="shared" si="212"/>
        <v>0</v>
      </c>
      <c r="DH56" s="139">
        <f t="shared" si="212"/>
        <v>0</v>
      </c>
      <c r="DI56" s="139">
        <f t="shared" si="212"/>
        <v>0</v>
      </c>
      <c r="DJ56" s="139">
        <f t="shared" si="212"/>
        <v>0</v>
      </c>
      <c r="DK56" s="139">
        <f t="shared" si="212"/>
        <v>0</v>
      </c>
      <c r="DL56" s="139">
        <f t="shared" si="212"/>
        <v>0</v>
      </c>
      <c r="DM56" s="139">
        <f t="shared" si="212"/>
        <v>0</v>
      </c>
      <c r="DN56" s="139">
        <f t="shared" si="212"/>
        <v>0</v>
      </c>
      <c r="DO56" s="139">
        <f t="shared" si="212"/>
        <v>0</v>
      </c>
      <c r="DP56" s="139">
        <f t="shared" ref="DP56:EU56" si="213">DP11/100</f>
        <v>0</v>
      </c>
      <c r="DQ56" s="139">
        <f t="shared" si="213"/>
        <v>0</v>
      </c>
      <c r="DR56" s="139">
        <f t="shared" si="213"/>
        <v>0</v>
      </c>
      <c r="DS56" s="139">
        <f t="shared" si="213"/>
        <v>0</v>
      </c>
      <c r="DT56" s="139">
        <f t="shared" si="213"/>
        <v>0</v>
      </c>
      <c r="DU56" s="139">
        <f t="shared" si="213"/>
        <v>0</v>
      </c>
      <c r="DV56" s="139">
        <f t="shared" si="213"/>
        <v>0</v>
      </c>
      <c r="DW56" s="139">
        <f t="shared" si="213"/>
        <v>0</v>
      </c>
      <c r="DX56" s="139">
        <f t="shared" si="213"/>
        <v>0</v>
      </c>
      <c r="DY56" s="139">
        <f t="shared" si="213"/>
        <v>0</v>
      </c>
      <c r="DZ56" s="139">
        <f t="shared" si="213"/>
        <v>0</v>
      </c>
      <c r="EA56" s="139">
        <f t="shared" si="213"/>
        <v>0</v>
      </c>
      <c r="EB56" s="139">
        <f t="shared" si="213"/>
        <v>0</v>
      </c>
      <c r="EC56" s="139">
        <f t="shared" si="213"/>
        <v>0</v>
      </c>
      <c r="ED56" s="139">
        <f t="shared" si="213"/>
        <v>0</v>
      </c>
      <c r="EE56" s="139">
        <f t="shared" si="213"/>
        <v>0</v>
      </c>
      <c r="EF56" s="139">
        <f t="shared" si="213"/>
        <v>0</v>
      </c>
      <c r="EG56" s="139">
        <f t="shared" si="213"/>
        <v>0</v>
      </c>
      <c r="EH56" s="139">
        <f t="shared" si="213"/>
        <v>0</v>
      </c>
      <c r="EI56" s="139">
        <f t="shared" si="213"/>
        <v>0</v>
      </c>
      <c r="EJ56" s="139">
        <f t="shared" si="213"/>
        <v>0</v>
      </c>
      <c r="EK56" s="139">
        <f t="shared" si="213"/>
        <v>0</v>
      </c>
      <c r="EL56" s="139">
        <f t="shared" si="213"/>
        <v>0</v>
      </c>
      <c r="EM56" s="139">
        <f t="shared" si="213"/>
        <v>0</v>
      </c>
      <c r="EN56" s="139">
        <f t="shared" si="213"/>
        <v>0</v>
      </c>
      <c r="EO56" s="139">
        <f t="shared" si="213"/>
        <v>0</v>
      </c>
      <c r="EP56" s="139">
        <f t="shared" si="213"/>
        <v>0</v>
      </c>
      <c r="EQ56" s="139">
        <f t="shared" si="213"/>
        <v>0</v>
      </c>
      <c r="ER56" s="139">
        <f t="shared" si="213"/>
        <v>0</v>
      </c>
      <c r="ES56" s="139">
        <f t="shared" si="213"/>
        <v>0</v>
      </c>
      <c r="ET56" s="139">
        <f t="shared" si="213"/>
        <v>0</v>
      </c>
      <c r="EU56" s="139">
        <f t="shared" si="213"/>
        <v>0</v>
      </c>
      <c r="EV56" s="139">
        <f t="shared" ref="EV56:GA56" si="214">EV11/100</f>
        <v>0</v>
      </c>
      <c r="EW56" s="139">
        <f t="shared" si="214"/>
        <v>0</v>
      </c>
      <c r="EX56" s="139">
        <f t="shared" si="214"/>
        <v>0</v>
      </c>
      <c r="EY56" s="139">
        <f t="shared" si="214"/>
        <v>0</v>
      </c>
      <c r="EZ56" s="139">
        <f t="shared" si="214"/>
        <v>0</v>
      </c>
      <c r="FA56" s="139">
        <f t="shared" si="214"/>
        <v>0</v>
      </c>
      <c r="FB56" s="139">
        <f t="shared" si="214"/>
        <v>0</v>
      </c>
      <c r="FC56" s="139">
        <f t="shared" si="214"/>
        <v>0</v>
      </c>
      <c r="FD56" s="139">
        <f t="shared" si="214"/>
        <v>0</v>
      </c>
      <c r="FE56" s="139">
        <f t="shared" si="214"/>
        <v>0</v>
      </c>
      <c r="FF56" s="139">
        <f t="shared" si="214"/>
        <v>0</v>
      </c>
      <c r="FG56" s="139">
        <f t="shared" si="214"/>
        <v>0</v>
      </c>
      <c r="FH56" s="139">
        <f t="shared" si="214"/>
        <v>0</v>
      </c>
      <c r="FI56" s="139">
        <f t="shared" si="214"/>
        <v>0</v>
      </c>
      <c r="FJ56" s="139">
        <f t="shared" si="214"/>
        <v>0</v>
      </c>
      <c r="FK56" s="139">
        <f t="shared" si="214"/>
        <v>0</v>
      </c>
      <c r="FL56" s="139">
        <f t="shared" si="214"/>
        <v>0</v>
      </c>
      <c r="FM56" s="139">
        <f t="shared" si="214"/>
        <v>0</v>
      </c>
      <c r="FN56" s="139">
        <f t="shared" si="214"/>
        <v>0</v>
      </c>
      <c r="FO56" s="139">
        <f t="shared" si="214"/>
        <v>0</v>
      </c>
      <c r="FP56" s="139">
        <f t="shared" si="214"/>
        <v>0</v>
      </c>
      <c r="FQ56" s="139">
        <f t="shared" si="214"/>
        <v>0</v>
      </c>
      <c r="FR56" s="139">
        <f t="shared" si="214"/>
        <v>0</v>
      </c>
      <c r="FS56" s="139">
        <f t="shared" si="214"/>
        <v>0</v>
      </c>
      <c r="FT56" s="139">
        <f t="shared" si="214"/>
        <v>0</v>
      </c>
      <c r="FU56" s="139">
        <f t="shared" si="214"/>
        <v>0</v>
      </c>
      <c r="FV56" s="139">
        <f t="shared" si="214"/>
        <v>0</v>
      </c>
      <c r="FW56" s="139">
        <f t="shared" si="214"/>
        <v>0</v>
      </c>
      <c r="FX56" s="139">
        <f t="shared" si="214"/>
        <v>0</v>
      </c>
      <c r="FY56" s="139">
        <f t="shared" si="214"/>
        <v>0</v>
      </c>
      <c r="FZ56" s="139">
        <f t="shared" si="214"/>
        <v>0</v>
      </c>
      <c r="GA56" s="139">
        <f t="shared" si="214"/>
        <v>0</v>
      </c>
      <c r="GB56" s="139">
        <f t="shared" ref="GB56:HA56" si="215">GB11/100</f>
        <v>0</v>
      </c>
      <c r="GC56" s="139">
        <f t="shared" si="215"/>
        <v>0</v>
      </c>
      <c r="GD56" s="139">
        <f t="shared" si="215"/>
        <v>0</v>
      </c>
      <c r="GE56" s="139">
        <f t="shared" si="215"/>
        <v>0</v>
      </c>
      <c r="GF56" s="139">
        <f t="shared" si="215"/>
        <v>0</v>
      </c>
      <c r="GG56" s="139">
        <f t="shared" si="215"/>
        <v>0</v>
      </c>
      <c r="GH56" s="139">
        <f t="shared" si="215"/>
        <v>0</v>
      </c>
      <c r="GI56" s="139">
        <f t="shared" si="215"/>
        <v>0</v>
      </c>
      <c r="GJ56" s="139">
        <f t="shared" si="215"/>
        <v>0</v>
      </c>
      <c r="GK56" s="139">
        <f t="shared" si="215"/>
        <v>0</v>
      </c>
      <c r="GL56" s="139">
        <f t="shared" si="215"/>
        <v>0</v>
      </c>
      <c r="GM56" s="139">
        <f t="shared" si="215"/>
        <v>0</v>
      </c>
      <c r="GN56" s="139">
        <f t="shared" si="215"/>
        <v>0</v>
      </c>
      <c r="GO56" s="139">
        <f t="shared" si="215"/>
        <v>0</v>
      </c>
      <c r="GP56" s="139">
        <f t="shared" si="215"/>
        <v>0</v>
      </c>
      <c r="GQ56" s="139">
        <f t="shared" si="215"/>
        <v>0</v>
      </c>
      <c r="GR56" s="139">
        <f t="shared" si="215"/>
        <v>0</v>
      </c>
      <c r="GS56" s="139">
        <f t="shared" si="215"/>
        <v>0</v>
      </c>
      <c r="GT56" s="139">
        <f t="shared" si="215"/>
        <v>0</v>
      </c>
      <c r="GU56" s="139">
        <f t="shared" si="215"/>
        <v>0</v>
      </c>
      <c r="GV56" s="139">
        <f t="shared" si="215"/>
        <v>0</v>
      </c>
      <c r="GW56" s="139">
        <f t="shared" si="215"/>
        <v>0</v>
      </c>
      <c r="GX56" s="139">
        <f t="shared" si="215"/>
        <v>0</v>
      </c>
      <c r="GY56" s="139">
        <f t="shared" si="215"/>
        <v>0</v>
      </c>
      <c r="GZ56" s="139">
        <f t="shared" si="215"/>
        <v>0</v>
      </c>
      <c r="HA56" s="139">
        <f t="shared" si="215"/>
        <v>0</v>
      </c>
      <c r="HB56" s="139">
        <f t="shared" ref="HB56:II56" si="216">HB11/40</f>
        <v>0</v>
      </c>
      <c r="HC56" s="139">
        <f t="shared" si="216"/>
        <v>0</v>
      </c>
      <c r="HD56" s="139">
        <f t="shared" si="216"/>
        <v>0</v>
      </c>
      <c r="HE56" s="139">
        <f t="shared" si="216"/>
        <v>0</v>
      </c>
      <c r="HF56" s="139">
        <f t="shared" si="216"/>
        <v>0</v>
      </c>
      <c r="HG56" s="139">
        <f t="shared" si="216"/>
        <v>0</v>
      </c>
      <c r="HH56" s="139">
        <f t="shared" si="216"/>
        <v>0</v>
      </c>
      <c r="HI56" s="139">
        <f t="shared" si="216"/>
        <v>0</v>
      </c>
      <c r="HJ56" s="139">
        <f t="shared" si="216"/>
        <v>0</v>
      </c>
      <c r="HK56" s="139">
        <f t="shared" si="216"/>
        <v>0</v>
      </c>
      <c r="HL56" s="139">
        <f t="shared" si="216"/>
        <v>0</v>
      </c>
      <c r="HM56" s="139">
        <f t="shared" si="216"/>
        <v>0</v>
      </c>
      <c r="HN56" s="139">
        <f t="shared" si="216"/>
        <v>0</v>
      </c>
      <c r="HO56" s="139">
        <f t="shared" si="216"/>
        <v>0</v>
      </c>
      <c r="HP56" s="139">
        <f t="shared" si="216"/>
        <v>0</v>
      </c>
      <c r="HQ56" s="139">
        <f t="shared" si="216"/>
        <v>0</v>
      </c>
      <c r="HR56" s="139">
        <f t="shared" si="216"/>
        <v>0</v>
      </c>
      <c r="HS56" s="139">
        <f t="shared" si="216"/>
        <v>0</v>
      </c>
      <c r="HT56" s="139">
        <f t="shared" si="216"/>
        <v>0</v>
      </c>
      <c r="HU56" s="139">
        <f t="shared" si="216"/>
        <v>0</v>
      </c>
      <c r="HV56" s="139">
        <f t="shared" si="216"/>
        <v>0</v>
      </c>
      <c r="HW56" s="139">
        <f t="shared" si="216"/>
        <v>0</v>
      </c>
      <c r="HX56" s="139">
        <f t="shared" si="216"/>
        <v>0</v>
      </c>
      <c r="HY56" s="139">
        <f t="shared" si="216"/>
        <v>0</v>
      </c>
      <c r="HZ56" s="139">
        <f t="shared" si="216"/>
        <v>0</v>
      </c>
      <c r="IA56" s="139">
        <f t="shared" si="216"/>
        <v>0</v>
      </c>
      <c r="IB56" s="139">
        <f t="shared" si="216"/>
        <v>0</v>
      </c>
      <c r="IC56" s="139">
        <f t="shared" si="216"/>
        <v>0</v>
      </c>
      <c r="ID56" s="139">
        <f t="shared" si="216"/>
        <v>0</v>
      </c>
      <c r="IE56" s="139">
        <f t="shared" si="216"/>
        <v>0</v>
      </c>
      <c r="IF56" s="139">
        <f t="shared" si="216"/>
        <v>0</v>
      </c>
      <c r="IG56" s="139">
        <f t="shared" si="216"/>
        <v>0</v>
      </c>
      <c r="IH56" s="139">
        <f t="shared" si="216"/>
        <v>0</v>
      </c>
      <c r="II56" s="139">
        <f t="shared" si="216"/>
        <v>0</v>
      </c>
      <c r="IJ56" s="139">
        <f t="shared" ref="IJ56:JM56" si="217">IJ11/100</f>
        <v>0</v>
      </c>
      <c r="IK56" s="139">
        <f t="shared" si="217"/>
        <v>0</v>
      </c>
      <c r="IL56" s="139">
        <f t="shared" si="217"/>
        <v>0</v>
      </c>
      <c r="IM56" s="139">
        <f t="shared" si="217"/>
        <v>0</v>
      </c>
      <c r="IN56" s="139">
        <f t="shared" si="217"/>
        <v>0</v>
      </c>
      <c r="IO56" s="139">
        <f t="shared" si="217"/>
        <v>0</v>
      </c>
      <c r="IP56" s="139">
        <f t="shared" si="217"/>
        <v>0</v>
      </c>
      <c r="IQ56" s="139">
        <f t="shared" si="217"/>
        <v>0</v>
      </c>
      <c r="IR56" s="139">
        <f t="shared" si="217"/>
        <v>0</v>
      </c>
      <c r="IS56" s="139">
        <f t="shared" si="217"/>
        <v>0</v>
      </c>
      <c r="IT56" s="139">
        <f t="shared" si="217"/>
        <v>0</v>
      </c>
      <c r="IU56" s="139">
        <f t="shared" si="217"/>
        <v>0</v>
      </c>
      <c r="IV56" s="139">
        <f t="shared" si="217"/>
        <v>0</v>
      </c>
      <c r="IW56" s="139">
        <f t="shared" si="217"/>
        <v>0</v>
      </c>
      <c r="IX56" s="139">
        <f t="shared" si="217"/>
        <v>0</v>
      </c>
      <c r="IY56" s="139">
        <f t="shared" si="217"/>
        <v>0</v>
      </c>
      <c r="IZ56" s="139">
        <f t="shared" si="217"/>
        <v>0</v>
      </c>
      <c r="JA56" s="139">
        <f t="shared" si="217"/>
        <v>0</v>
      </c>
      <c r="JB56" s="139">
        <f t="shared" si="217"/>
        <v>0</v>
      </c>
      <c r="JC56" s="139">
        <f t="shared" si="217"/>
        <v>0</v>
      </c>
      <c r="JD56" s="139">
        <f t="shared" si="217"/>
        <v>0</v>
      </c>
      <c r="JE56" s="139">
        <f t="shared" si="217"/>
        <v>0</v>
      </c>
      <c r="JF56" s="139">
        <f t="shared" si="217"/>
        <v>0</v>
      </c>
      <c r="JG56" s="139">
        <f t="shared" si="217"/>
        <v>0</v>
      </c>
      <c r="JH56" s="139">
        <f t="shared" si="217"/>
        <v>0</v>
      </c>
      <c r="JI56" s="139">
        <f t="shared" si="217"/>
        <v>0</v>
      </c>
      <c r="JJ56" s="139">
        <f t="shared" si="217"/>
        <v>0</v>
      </c>
      <c r="JK56" s="139">
        <f t="shared" si="217"/>
        <v>0</v>
      </c>
      <c r="JL56" s="139">
        <f t="shared" si="217"/>
        <v>0</v>
      </c>
      <c r="JM56" s="139">
        <f t="shared" si="217"/>
        <v>0</v>
      </c>
      <c r="JN56" s="139">
        <f t="shared" ref="JN56:JS56" si="218">JN11/40</f>
        <v>0</v>
      </c>
      <c r="JO56" s="139">
        <f t="shared" si="218"/>
        <v>0</v>
      </c>
      <c r="JP56" s="139">
        <f t="shared" si="218"/>
        <v>0</v>
      </c>
      <c r="JQ56" s="139">
        <f t="shared" si="218"/>
        <v>0</v>
      </c>
      <c r="JR56" s="139">
        <f t="shared" si="218"/>
        <v>0</v>
      </c>
      <c r="JS56" s="139">
        <f t="shared" si="218"/>
        <v>0</v>
      </c>
      <c r="JT56" s="139">
        <f t="shared" ref="JT56:JY56" si="219">JT11/100</f>
        <v>0</v>
      </c>
      <c r="JU56" s="139">
        <f t="shared" si="219"/>
        <v>0</v>
      </c>
      <c r="JV56" s="139">
        <f t="shared" si="219"/>
        <v>0</v>
      </c>
      <c r="JW56" s="139">
        <f t="shared" si="219"/>
        <v>0</v>
      </c>
      <c r="JX56" s="139">
        <f t="shared" si="219"/>
        <v>0</v>
      </c>
      <c r="JY56" s="139">
        <f t="shared" si="219"/>
        <v>0</v>
      </c>
      <c r="JZ56" s="139">
        <f t="shared" ref="JZ56:KY56" si="220">JZ11/40</f>
        <v>0</v>
      </c>
      <c r="KA56" s="139">
        <f t="shared" si="220"/>
        <v>0</v>
      </c>
      <c r="KB56" s="139">
        <f t="shared" si="220"/>
        <v>0</v>
      </c>
      <c r="KC56" s="139">
        <f t="shared" si="220"/>
        <v>0</v>
      </c>
      <c r="KD56" s="139">
        <f t="shared" si="220"/>
        <v>0</v>
      </c>
      <c r="KE56" s="139">
        <f t="shared" si="220"/>
        <v>0</v>
      </c>
      <c r="KF56" s="139">
        <f t="shared" si="220"/>
        <v>0</v>
      </c>
      <c r="KG56" s="139">
        <f t="shared" si="220"/>
        <v>0</v>
      </c>
      <c r="KH56" s="139">
        <f t="shared" si="220"/>
        <v>0</v>
      </c>
      <c r="KI56" s="139">
        <f t="shared" si="220"/>
        <v>0</v>
      </c>
      <c r="KJ56" s="139">
        <f t="shared" si="220"/>
        <v>0</v>
      </c>
      <c r="KK56" s="139">
        <f t="shared" si="220"/>
        <v>0</v>
      </c>
      <c r="KL56" s="139">
        <f t="shared" si="220"/>
        <v>0</v>
      </c>
      <c r="KM56" s="139">
        <f t="shared" si="220"/>
        <v>0</v>
      </c>
      <c r="KN56" s="139">
        <f t="shared" si="220"/>
        <v>0</v>
      </c>
      <c r="KO56" s="139">
        <f t="shared" si="220"/>
        <v>0</v>
      </c>
      <c r="KP56" s="139">
        <f t="shared" si="220"/>
        <v>0</v>
      </c>
      <c r="KQ56" s="139">
        <f t="shared" si="220"/>
        <v>0</v>
      </c>
      <c r="KR56" s="139">
        <f t="shared" si="220"/>
        <v>0</v>
      </c>
      <c r="KS56" s="139">
        <f t="shared" si="220"/>
        <v>0</v>
      </c>
      <c r="KT56" s="139">
        <f t="shared" si="220"/>
        <v>0</v>
      </c>
      <c r="KU56" s="139">
        <f t="shared" si="220"/>
        <v>0</v>
      </c>
      <c r="KV56" s="139">
        <f t="shared" si="220"/>
        <v>0</v>
      </c>
      <c r="KW56" s="139">
        <f t="shared" si="220"/>
        <v>0</v>
      </c>
      <c r="KX56" s="139">
        <f t="shared" si="220"/>
        <v>0</v>
      </c>
      <c r="KY56" s="139">
        <f t="shared" si="220"/>
        <v>0</v>
      </c>
      <c r="KZ56" s="139">
        <f t="shared" ref="KZ56:ME56" si="221">KZ11/100</f>
        <v>0</v>
      </c>
      <c r="LA56" s="139">
        <f t="shared" si="221"/>
        <v>0</v>
      </c>
      <c r="LB56" s="139">
        <f t="shared" si="221"/>
        <v>0</v>
      </c>
      <c r="LC56" s="139">
        <f t="shared" si="221"/>
        <v>0</v>
      </c>
      <c r="LD56" s="139">
        <f t="shared" si="221"/>
        <v>0</v>
      </c>
      <c r="LE56" s="139">
        <f t="shared" si="221"/>
        <v>0</v>
      </c>
      <c r="LF56" s="139">
        <f t="shared" si="221"/>
        <v>0</v>
      </c>
      <c r="LG56" s="139">
        <f t="shared" si="221"/>
        <v>0</v>
      </c>
      <c r="LH56" s="139">
        <f t="shared" si="221"/>
        <v>0</v>
      </c>
      <c r="LI56" s="139">
        <f t="shared" si="221"/>
        <v>0</v>
      </c>
      <c r="LJ56" s="139">
        <f t="shared" si="221"/>
        <v>0</v>
      </c>
      <c r="LK56" s="139">
        <f t="shared" si="221"/>
        <v>0</v>
      </c>
      <c r="LL56" s="139">
        <f t="shared" si="221"/>
        <v>0</v>
      </c>
      <c r="LM56" s="139">
        <f t="shared" si="221"/>
        <v>0</v>
      </c>
      <c r="LN56" s="139">
        <f t="shared" si="221"/>
        <v>0</v>
      </c>
      <c r="LO56" s="139">
        <f t="shared" si="221"/>
        <v>0</v>
      </c>
      <c r="LP56" s="139">
        <f t="shared" si="221"/>
        <v>0</v>
      </c>
      <c r="LQ56" s="139">
        <f t="shared" si="221"/>
        <v>0</v>
      </c>
      <c r="LR56" s="139">
        <f t="shared" si="221"/>
        <v>0</v>
      </c>
      <c r="LS56" s="139">
        <f t="shared" si="221"/>
        <v>0</v>
      </c>
      <c r="LT56" s="139">
        <f t="shared" si="221"/>
        <v>0</v>
      </c>
      <c r="LU56" s="139">
        <f t="shared" si="221"/>
        <v>0</v>
      </c>
      <c r="LV56" s="139">
        <f t="shared" si="221"/>
        <v>0</v>
      </c>
      <c r="LW56" s="139">
        <f t="shared" si="221"/>
        <v>0</v>
      </c>
      <c r="LX56" s="139">
        <f t="shared" si="221"/>
        <v>0</v>
      </c>
      <c r="LY56" s="139">
        <f t="shared" si="221"/>
        <v>0</v>
      </c>
      <c r="LZ56" s="139">
        <f t="shared" si="221"/>
        <v>0</v>
      </c>
      <c r="MA56" s="139">
        <f t="shared" si="221"/>
        <v>0</v>
      </c>
      <c r="MB56" s="139">
        <f t="shared" si="221"/>
        <v>0</v>
      </c>
      <c r="MC56" s="139">
        <f t="shared" si="221"/>
        <v>0</v>
      </c>
      <c r="MD56" s="139">
        <f t="shared" si="221"/>
        <v>0</v>
      </c>
      <c r="ME56" s="139">
        <f t="shared" si="221"/>
        <v>0</v>
      </c>
      <c r="MF56" s="139">
        <f t="shared" ref="MF56:NK56" si="222">MF11/100</f>
        <v>0</v>
      </c>
      <c r="MG56" s="139">
        <f t="shared" si="222"/>
        <v>0</v>
      </c>
      <c r="MH56" s="139">
        <f t="shared" si="222"/>
        <v>0</v>
      </c>
      <c r="MI56" s="139">
        <f t="shared" si="222"/>
        <v>0</v>
      </c>
      <c r="MJ56" s="139">
        <f t="shared" si="222"/>
        <v>0</v>
      </c>
      <c r="MK56" s="139">
        <f t="shared" si="222"/>
        <v>0</v>
      </c>
      <c r="ML56" s="139">
        <f t="shared" si="222"/>
        <v>0</v>
      </c>
      <c r="MM56" s="139">
        <f t="shared" si="222"/>
        <v>0</v>
      </c>
      <c r="MN56" s="139">
        <f t="shared" si="222"/>
        <v>0</v>
      </c>
      <c r="MO56" s="139">
        <f t="shared" si="222"/>
        <v>0</v>
      </c>
      <c r="MP56" s="139">
        <f t="shared" si="222"/>
        <v>0</v>
      </c>
      <c r="MQ56" s="139">
        <f t="shared" si="222"/>
        <v>0</v>
      </c>
      <c r="MR56" s="139">
        <f t="shared" si="222"/>
        <v>0</v>
      </c>
      <c r="MS56" s="139">
        <f t="shared" si="222"/>
        <v>0</v>
      </c>
      <c r="MT56" s="139">
        <f t="shared" si="222"/>
        <v>0</v>
      </c>
      <c r="MU56" s="139">
        <f t="shared" si="222"/>
        <v>0</v>
      </c>
      <c r="MV56" s="139">
        <f t="shared" si="222"/>
        <v>0</v>
      </c>
      <c r="MW56" s="139">
        <f t="shared" si="222"/>
        <v>0</v>
      </c>
      <c r="MX56" s="139">
        <f t="shared" si="222"/>
        <v>0</v>
      </c>
      <c r="MY56" s="139">
        <f t="shared" si="222"/>
        <v>0</v>
      </c>
      <c r="MZ56" s="139">
        <f t="shared" si="222"/>
        <v>0</v>
      </c>
      <c r="NA56" s="139">
        <f t="shared" si="222"/>
        <v>0</v>
      </c>
      <c r="NB56" s="139">
        <f t="shared" si="222"/>
        <v>0</v>
      </c>
      <c r="NC56" s="139">
        <f t="shared" si="222"/>
        <v>0</v>
      </c>
      <c r="ND56" s="139">
        <f t="shared" si="222"/>
        <v>0</v>
      </c>
      <c r="NE56" s="139">
        <f t="shared" si="222"/>
        <v>0</v>
      </c>
      <c r="NF56" s="139">
        <f t="shared" si="222"/>
        <v>0</v>
      </c>
      <c r="NG56" s="139">
        <f t="shared" si="222"/>
        <v>0</v>
      </c>
      <c r="NH56" s="139">
        <f t="shared" si="222"/>
        <v>0</v>
      </c>
      <c r="NI56" s="139">
        <f t="shared" si="222"/>
        <v>0</v>
      </c>
      <c r="NJ56" s="139">
        <f t="shared" si="222"/>
        <v>0</v>
      </c>
      <c r="NK56" s="139">
        <f t="shared" si="222"/>
        <v>0</v>
      </c>
      <c r="NL56" s="139">
        <f t="shared" ref="NL56:OQ56" si="223">NL11/100</f>
        <v>0</v>
      </c>
      <c r="NM56" s="139">
        <f t="shared" si="223"/>
        <v>0</v>
      </c>
      <c r="NN56" s="139">
        <f t="shared" si="223"/>
        <v>0</v>
      </c>
      <c r="NO56" s="139">
        <f t="shared" si="223"/>
        <v>0</v>
      </c>
      <c r="NP56" s="139">
        <f t="shared" si="223"/>
        <v>0</v>
      </c>
      <c r="NQ56" s="139">
        <f t="shared" si="223"/>
        <v>0</v>
      </c>
      <c r="NR56" s="139">
        <f t="shared" si="223"/>
        <v>0</v>
      </c>
      <c r="NS56" s="139">
        <f t="shared" si="223"/>
        <v>0</v>
      </c>
      <c r="NT56" s="139">
        <f t="shared" si="223"/>
        <v>0</v>
      </c>
      <c r="NU56" s="139">
        <f t="shared" si="223"/>
        <v>0</v>
      </c>
      <c r="NV56" s="139">
        <f t="shared" si="223"/>
        <v>0</v>
      </c>
      <c r="NW56" s="139">
        <f t="shared" si="223"/>
        <v>0</v>
      </c>
      <c r="NX56" s="139">
        <f t="shared" si="223"/>
        <v>0</v>
      </c>
      <c r="NY56" s="139">
        <f t="shared" si="223"/>
        <v>0</v>
      </c>
      <c r="NZ56" s="139">
        <f t="shared" si="223"/>
        <v>0</v>
      </c>
      <c r="OA56" s="139">
        <f t="shared" si="223"/>
        <v>0</v>
      </c>
      <c r="OB56" s="139">
        <f t="shared" si="223"/>
        <v>0</v>
      </c>
      <c r="OC56" s="139">
        <f t="shared" si="223"/>
        <v>0</v>
      </c>
      <c r="OD56" s="139">
        <f t="shared" si="223"/>
        <v>0</v>
      </c>
      <c r="OE56" s="139">
        <f t="shared" si="223"/>
        <v>0</v>
      </c>
      <c r="OF56" s="139">
        <f t="shared" si="223"/>
        <v>0</v>
      </c>
      <c r="OG56" s="139">
        <f t="shared" si="223"/>
        <v>0</v>
      </c>
      <c r="OH56" s="139">
        <f t="shared" si="223"/>
        <v>0</v>
      </c>
      <c r="OI56" s="139">
        <f t="shared" si="223"/>
        <v>0</v>
      </c>
      <c r="OJ56" s="139">
        <f t="shared" si="223"/>
        <v>0</v>
      </c>
      <c r="OK56" s="139">
        <f t="shared" si="223"/>
        <v>0</v>
      </c>
      <c r="OL56" s="139">
        <f t="shared" si="223"/>
        <v>0</v>
      </c>
      <c r="OM56" s="139">
        <f t="shared" si="223"/>
        <v>0</v>
      </c>
      <c r="ON56" s="139">
        <f t="shared" si="223"/>
        <v>0</v>
      </c>
      <c r="OO56" s="139">
        <f t="shared" si="223"/>
        <v>0</v>
      </c>
      <c r="OP56" s="139">
        <f t="shared" si="223"/>
        <v>0</v>
      </c>
      <c r="OQ56" s="139">
        <f t="shared" si="223"/>
        <v>0</v>
      </c>
      <c r="OR56" s="139">
        <f t="shared" ref="OR56:PW56" si="224">OR11/100</f>
        <v>0</v>
      </c>
      <c r="OS56" s="139">
        <f t="shared" si="224"/>
        <v>0</v>
      </c>
      <c r="OT56" s="139">
        <f t="shared" si="224"/>
        <v>0</v>
      </c>
      <c r="OU56" s="139">
        <f t="shared" si="224"/>
        <v>0</v>
      </c>
      <c r="OV56" s="139">
        <f t="shared" si="224"/>
        <v>0</v>
      </c>
      <c r="OW56" s="139">
        <f t="shared" si="224"/>
        <v>0</v>
      </c>
      <c r="OX56" s="139">
        <f t="shared" si="224"/>
        <v>0</v>
      </c>
      <c r="OY56" s="139">
        <f t="shared" si="224"/>
        <v>0</v>
      </c>
      <c r="OZ56" s="139">
        <f t="shared" si="224"/>
        <v>0</v>
      </c>
      <c r="PA56" s="139">
        <f t="shared" si="224"/>
        <v>0</v>
      </c>
      <c r="PB56" s="139">
        <f t="shared" si="224"/>
        <v>0</v>
      </c>
      <c r="PC56" s="139">
        <f t="shared" si="224"/>
        <v>0</v>
      </c>
      <c r="PD56" s="139">
        <f t="shared" si="224"/>
        <v>0</v>
      </c>
      <c r="PE56" s="139">
        <f t="shared" si="224"/>
        <v>0</v>
      </c>
      <c r="PF56" s="139">
        <f t="shared" si="224"/>
        <v>0</v>
      </c>
      <c r="PG56" s="139">
        <f t="shared" si="224"/>
        <v>0</v>
      </c>
      <c r="PH56" s="139">
        <f t="shared" si="224"/>
        <v>0</v>
      </c>
      <c r="PI56" s="139">
        <f t="shared" si="224"/>
        <v>0</v>
      </c>
      <c r="PJ56" s="139">
        <f t="shared" si="224"/>
        <v>0</v>
      </c>
      <c r="PK56" s="139">
        <f t="shared" si="224"/>
        <v>0</v>
      </c>
      <c r="PL56" s="139">
        <f t="shared" si="224"/>
        <v>0</v>
      </c>
      <c r="PM56" s="139">
        <f t="shared" si="224"/>
        <v>0</v>
      </c>
      <c r="PN56" s="139">
        <f t="shared" si="224"/>
        <v>0</v>
      </c>
      <c r="PO56" s="139">
        <f t="shared" si="224"/>
        <v>0</v>
      </c>
      <c r="PP56" s="139">
        <f t="shared" si="224"/>
        <v>0</v>
      </c>
      <c r="PQ56" s="139">
        <f t="shared" si="224"/>
        <v>0</v>
      </c>
      <c r="PR56" s="139">
        <f t="shared" si="224"/>
        <v>0</v>
      </c>
      <c r="PS56" s="139">
        <f t="shared" si="224"/>
        <v>0</v>
      </c>
      <c r="PT56" s="139">
        <f t="shared" si="224"/>
        <v>0</v>
      </c>
      <c r="PU56" s="139">
        <f t="shared" si="224"/>
        <v>0</v>
      </c>
      <c r="PV56" s="139">
        <f t="shared" si="224"/>
        <v>0</v>
      </c>
      <c r="PW56" s="139">
        <f t="shared" si="224"/>
        <v>0</v>
      </c>
      <c r="PX56" s="139">
        <f t="shared" ref="PX56:QN56" si="225">PX11/100</f>
        <v>0</v>
      </c>
      <c r="PY56" s="139">
        <f t="shared" si="225"/>
        <v>0</v>
      </c>
      <c r="PZ56" s="139">
        <f t="shared" si="225"/>
        <v>0</v>
      </c>
      <c r="QA56" s="139">
        <f t="shared" si="225"/>
        <v>0</v>
      </c>
      <c r="QB56" s="139">
        <f t="shared" si="225"/>
        <v>0</v>
      </c>
      <c r="QC56" s="139">
        <f t="shared" si="225"/>
        <v>0</v>
      </c>
      <c r="QD56" s="139">
        <f t="shared" si="225"/>
        <v>0</v>
      </c>
      <c r="QE56" s="139">
        <f t="shared" si="225"/>
        <v>0</v>
      </c>
      <c r="QF56" s="139">
        <f t="shared" si="225"/>
        <v>0</v>
      </c>
      <c r="QG56" s="139">
        <f t="shared" si="225"/>
        <v>0</v>
      </c>
      <c r="QH56" s="139">
        <f t="shared" si="225"/>
        <v>0</v>
      </c>
      <c r="QI56" s="139">
        <f t="shared" si="225"/>
        <v>0</v>
      </c>
      <c r="QJ56" s="139">
        <f t="shared" si="225"/>
        <v>0</v>
      </c>
      <c r="QK56" s="139">
        <f t="shared" si="225"/>
        <v>0</v>
      </c>
      <c r="QL56" s="139">
        <f t="shared" si="225"/>
        <v>0</v>
      </c>
      <c r="QM56" s="139">
        <f t="shared" si="225"/>
        <v>0</v>
      </c>
      <c r="QN56" s="139">
        <f t="shared" si="225"/>
        <v>0</v>
      </c>
      <c r="QO56" s="139">
        <f>QO11/40</f>
        <v>0</v>
      </c>
      <c r="QP56" s="139">
        <f>QP11/100</f>
        <v>0</v>
      </c>
      <c r="QQ56" s="139">
        <f>QQ11/100</f>
        <v>0</v>
      </c>
      <c r="QR56" s="139">
        <f>QR11/40</f>
        <v>0</v>
      </c>
      <c r="QS56" s="139">
        <f>QS11/100</f>
        <v>0</v>
      </c>
      <c r="QT56" s="139">
        <f>QT11/100</f>
        <v>0</v>
      </c>
      <c r="RA56" s="139">
        <f t="shared" ref="RA56:RF56" si="226">RA11/100</f>
        <v>0</v>
      </c>
      <c r="RB56" s="139">
        <f t="shared" si="226"/>
        <v>0</v>
      </c>
      <c r="RC56" s="139">
        <f t="shared" si="226"/>
        <v>0</v>
      </c>
      <c r="RD56" s="139">
        <f t="shared" si="226"/>
        <v>0</v>
      </c>
      <c r="RE56" s="139">
        <f t="shared" si="226"/>
        <v>0</v>
      </c>
      <c r="RF56" s="139">
        <f t="shared" si="226"/>
        <v>0</v>
      </c>
      <c r="RG56" s="70"/>
      <c r="RM56" s="145"/>
      <c r="SB56" s="70">
        <f>SB11/40</f>
        <v>0</v>
      </c>
      <c r="SC56" s="70">
        <f>SC11/40</f>
        <v>0</v>
      </c>
      <c r="SD56" s="70">
        <f>SD11/40</f>
        <v>0</v>
      </c>
      <c r="SE56" s="70">
        <f t="shared" ref="SE56:SU56" si="227">SE11/100</f>
        <v>0</v>
      </c>
      <c r="SF56" s="70">
        <f t="shared" si="227"/>
        <v>0</v>
      </c>
      <c r="SG56" s="70">
        <f t="shared" si="227"/>
        <v>0</v>
      </c>
      <c r="SH56" s="70">
        <f t="shared" si="227"/>
        <v>0</v>
      </c>
      <c r="SI56" s="70">
        <f t="shared" si="227"/>
        <v>0</v>
      </c>
      <c r="SJ56" s="70">
        <f t="shared" si="227"/>
        <v>0</v>
      </c>
      <c r="SK56" s="70">
        <f t="shared" si="227"/>
        <v>0</v>
      </c>
      <c r="SL56" s="70">
        <f t="shared" si="227"/>
        <v>0</v>
      </c>
      <c r="SM56" s="70">
        <f t="shared" si="227"/>
        <v>0</v>
      </c>
      <c r="SN56" s="70">
        <f t="shared" si="227"/>
        <v>0</v>
      </c>
      <c r="SO56" s="70">
        <f t="shared" si="227"/>
        <v>0</v>
      </c>
      <c r="SP56" s="70">
        <f t="shared" si="227"/>
        <v>0</v>
      </c>
      <c r="SQ56" s="70">
        <f t="shared" si="227"/>
        <v>0</v>
      </c>
      <c r="SR56" s="70">
        <f t="shared" si="227"/>
        <v>0</v>
      </c>
      <c r="SS56" s="70">
        <f t="shared" si="227"/>
        <v>0</v>
      </c>
      <c r="ST56" s="70">
        <f t="shared" si="227"/>
        <v>0</v>
      </c>
      <c r="SU56" s="70">
        <f t="shared" si="227"/>
        <v>0</v>
      </c>
      <c r="SV56" s="139">
        <f>SV11/40</f>
        <v>0</v>
      </c>
      <c r="SW56" s="139">
        <f>SW11/40</f>
        <v>0</v>
      </c>
      <c r="SX56" s="70">
        <f t="shared" ref="SX56:TR56" si="228">SX11/100</f>
        <v>0</v>
      </c>
      <c r="SY56" s="70">
        <f t="shared" si="228"/>
        <v>0</v>
      </c>
      <c r="SZ56" s="70">
        <f t="shared" si="228"/>
        <v>0</v>
      </c>
      <c r="TA56" s="70">
        <f t="shared" si="228"/>
        <v>0</v>
      </c>
      <c r="TB56" s="70">
        <f t="shared" si="228"/>
        <v>0</v>
      </c>
      <c r="TC56" s="70">
        <f t="shared" si="228"/>
        <v>0</v>
      </c>
      <c r="TD56" s="70">
        <f t="shared" si="228"/>
        <v>0</v>
      </c>
      <c r="TE56" s="70">
        <f t="shared" si="228"/>
        <v>0</v>
      </c>
      <c r="TF56" s="70">
        <f t="shared" si="228"/>
        <v>0</v>
      </c>
      <c r="TG56" s="70">
        <f t="shared" si="228"/>
        <v>0</v>
      </c>
      <c r="TH56" s="70">
        <f t="shared" si="228"/>
        <v>0</v>
      </c>
      <c r="TI56" s="70">
        <f t="shared" si="228"/>
        <v>0</v>
      </c>
      <c r="TJ56" s="70">
        <f t="shared" si="228"/>
        <v>0</v>
      </c>
      <c r="TK56" s="70">
        <f t="shared" si="228"/>
        <v>0</v>
      </c>
      <c r="TL56" s="70">
        <f t="shared" si="228"/>
        <v>0</v>
      </c>
      <c r="TM56" s="70">
        <f t="shared" si="228"/>
        <v>0</v>
      </c>
      <c r="TN56" s="70">
        <f t="shared" si="228"/>
        <v>0</v>
      </c>
      <c r="TO56" s="70">
        <f t="shared" si="228"/>
        <v>0</v>
      </c>
      <c r="TP56" s="70">
        <f t="shared" si="228"/>
        <v>0</v>
      </c>
      <c r="TQ56" s="70">
        <f t="shared" si="228"/>
        <v>0</v>
      </c>
      <c r="TR56" s="70">
        <f t="shared" si="228"/>
        <v>0</v>
      </c>
      <c r="TS56" s="139">
        <f>TS11/40</f>
        <v>0</v>
      </c>
      <c r="TT56" s="70">
        <f t="shared" ref="TT56:UY56" si="229">TT11/100</f>
        <v>0</v>
      </c>
      <c r="TU56" s="70">
        <f t="shared" si="229"/>
        <v>0</v>
      </c>
      <c r="TV56" s="70">
        <f t="shared" si="229"/>
        <v>0</v>
      </c>
      <c r="TW56" s="70">
        <f t="shared" si="229"/>
        <v>0</v>
      </c>
      <c r="TX56" s="70">
        <f t="shared" si="229"/>
        <v>0</v>
      </c>
      <c r="TY56" s="70">
        <f t="shared" si="229"/>
        <v>0</v>
      </c>
      <c r="TZ56" s="70">
        <f t="shared" si="229"/>
        <v>0</v>
      </c>
      <c r="UA56" s="70">
        <f t="shared" si="229"/>
        <v>0</v>
      </c>
      <c r="UB56" s="70">
        <f t="shared" si="229"/>
        <v>0</v>
      </c>
      <c r="UC56" s="70">
        <f t="shared" si="229"/>
        <v>0</v>
      </c>
      <c r="UD56" s="70">
        <f t="shared" si="229"/>
        <v>0</v>
      </c>
      <c r="UE56" s="70">
        <f t="shared" si="229"/>
        <v>0</v>
      </c>
      <c r="UF56" s="70">
        <f t="shared" si="229"/>
        <v>0</v>
      </c>
      <c r="UG56" s="70">
        <f t="shared" si="229"/>
        <v>0</v>
      </c>
      <c r="UH56" s="70">
        <f t="shared" si="229"/>
        <v>0</v>
      </c>
      <c r="UI56" s="70">
        <f t="shared" si="229"/>
        <v>0</v>
      </c>
      <c r="UJ56" s="70">
        <f t="shared" si="229"/>
        <v>0</v>
      </c>
      <c r="UK56" s="70">
        <f t="shared" si="229"/>
        <v>0</v>
      </c>
      <c r="UL56" s="70">
        <f t="shared" si="229"/>
        <v>0</v>
      </c>
      <c r="UM56" s="70">
        <f t="shared" si="229"/>
        <v>0</v>
      </c>
      <c r="UN56" s="70">
        <f t="shared" si="229"/>
        <v>0</v>
      </c>
      <c r="UO56" s="70">
        <f t="shared" si="229"/>
        <v>0</v>
      </c>
      <c r="UP56" s="70">
        <f t="shared" si="229"/>
        <v>0</v>
      </c>
      <c r="UQ56" s="70">
        <f t="shared" si="229"/>
        <v>0</v>
      </c>
      <c r="UR56" s="70">
        <f t="shared" si="229"/>
        <v>0</v>
      </c>
      <c r="US56" s="70">
        <f t="shared" si="229"/>
        <v>0</v>
      </c>
      <c r="UT56" s="70">
        <f t="shared" si="229"/>
        <v>0</v>
      </c>
      <c r="UU56" s="70">
        <f t="shared" si="229"/>
        <v>0</v>
      </c>
      <c r="UV56" s="70">
        <f t="shared" si="229"/>
        <v>0</v>
      </c>
      <c r="UW56" s="70">
        <f t="shared" si="229"/>
        <v>0</v>
      </c>
      <c r="UX56" s="70">
        <f t="shared" si="229"/>
        <v>0</v>
      </c>
      <c r="UY56" s="70">
        <f t="shared" si="229"/>
        <v>0</v>
      </c>
      <c r="UZ56" s="70">
        <f t="shared" ref="UZ56:WE56" si="230">UZ11/100</f>
        <v>0</v>
      </c>
      <c r="VA56" s="70">
        <f t="shared" si="230"/>
        <v>0</v>
      </c>
      <c r="VB56" s="70">
        <f t="shared" si="230"/>
        <v>0</v>
      </c>
      <c r="VC56" s="70">
        <f t="shared" si="230"/>
        <v>0</v>
      </c>
      <c r="VD56" s="70">
        <f t="shared" si="230"/>
        <v>0</v>
      </c>
      <c r="VE56" s="70">
        <f t="shared" si="230"/>
        <v>0</v>
      </c>
      <c r="VF56" s="70">
        <f t="shared" si="230"/>
        <v>0</v>
      </c>
      <c r="VG56" s="70">
        <f t="shared" si="230"/>
        <v>0</v>
      </c>
      <c r="VH56" s="70">
        <f t="shared" si="230"/>
        <v>0</v>
      </c>
      <c r="VI56" s="70">
        <f t="shared" si="230"/>
        <v>0</v>
      </c>
      <c r="VJ56" s="70">
        <f t="shared" si="230"/>
        <v>0</v>
      </c>
      <c r="VK56" s="70">
        <f t="shared" si="230"/>
        <v>0</v>
      </c>
      <c r="VL56" s="70">
        <f t="shared" si="230"/>
        <v>0</v>
      </c>
      <c r="VM56" s="70">
        <f t="shared" si="230"/>
        <v>0</v>
      </c>
      <c r="VN56" s="70">
        <f t="shared" si="230"/>
        <v>0</v>
      </c>
      <c r="VO56" s="70">
        <f t="shared" si="230"/>
        <v>0</v>
      </c>
      <c r="VP56" s="70">
        <f t="shared" si="230"/>
        <v>0</v>
      </c>
      <c r="VQ56" s="70">
        <f t="shared" si="230"/>
        <v>0</v>
      </c>
      <c r="VR56" s="70">
        <f t="shared" si="230"/>
        <v>0</v>
      </c>
      <c r="VS56" s="70">
        <f t="shared" si="230"/>
        <v>0</v>
      </c>
      <c r="VT56" s="70">
        <f t="shared" si="230"/>
        <v>0</v>
      </c>
      <c r="VU56" s="70">
        <f t="shared" si="230"/>
        <v>0</v>
      </c>
      <c r="VV56" s="70">
        <f t="shared" si="230"/>
        <v>0</v>
      </c>
      <c r="VW56" s="70">
        <f t="shared" si="230"/>
        <v>0</v>
      </c>
      <c r="VX56" s="70">
        <f t="shared" si="230"/>
        <v>0</v>
      </c>
      <c r="VY56" s="70">
        <f t="shared" si="230"/>
        <v>0</v>
      </c>
      <c r="VZ56" s="70">
        <f t="shared" si="230"/>
        <v>0</v>
      </c>
      <c r="WA56" s="70">
        <f t="shared" si="230"/>
        <v>0</v>
      </c>
      <c r="WB56" s="70">
        <f t="shared" si="230"/>
        <v>0</v>
      </c>
      <c r="WC56" s="70">
        <f t="shared" si="230"/>
        <v>0</v>
      </c>
      <c r="WD56" s="70">
        <f t="shared" si="230"/>
        <v>0</v>
      </c>
      <c r="WE56" s="70">
        <f t="shared" si="230"/>
        <v>0</v>
      </c>
      <c r="WF56" s="70">
        <f t="shared" ref="WF56:WS56" si="231">WF11/100</f>
        <v>0</v>
      </c>
      <c r="WG56" s="70">
        <f t="shared" si="231"/>
        <v>0</v>
      </c>
      <c r="WH56" s="70">
        <f t="shared" si="231"/>
        <v>0</v>
      </c>
      <c r="WI56" s="70">
        <f t="shared" si="231"/>
        <v>0</v>
      </c>
      <c r="WJ56" s="70">
        <f t="shared" si="231"/>
        <v>0</v>
      </c>
      <c r="WK56" s="70">
        <f t="shared" si="231"/>
        <v>0</v>
      </c>
      <c r="WL56" s="70">
        <f t="shared" si="231"/>
        <v>0</v>
      </c>
      <c r="WM56" s="70">
        <f t="shared" si="231"/>
        <v>0</v>
      </c>
      <c r="WN56" s="70">
        <f t="shared" si="231"/>
        <v>0</v>
      </c>
      <c r="WO56" s="70">
        <f t="shared" si="231"/>
        <v>0</v>
      </c>
      <c r="WP56" s="70">
        <f t="shared" si="231"/>
        <v>0</v>
      </c>
      <c r="WQ56" s="70">
        <f t="shared" si="231"/>
        <v>0</v>
      </c>
      <c r="WR56" s="70">
        <f t="shared" si="231"/>
        <v>0</v>
      </c>
      <c r="WS56" s="70">
        <f t="shared" si="231"/>
        <v>0</v>
      </c>
    </row>
    <row r="57" spans="1:830" hidden="1" x14ac:dyDescent="0.25">
      <c r="F57" s="32"/>
      <c r="M57" t="s">
        <v>186</v>
      </c>
      <c r="N57" s="139">
        <f t="shared" ref="N57:AS57" si="232">N14/40</f>
        <v>0</v>
      </c>
      <c r="O57" s="139">
        <f t="shared" si="232"/>
        <v>0</v>
      </c>
      <c r="P57" s="139">
        <f t="shared" si="232"/>
        <v>0</v>
      </c>
      <c r="Q57" s="139">
        <f t="shared" si="232"/>
        <v>0</v>
      </c>
      <c r="R57" s="139">
        <f t="shared" si="232"/>
        <v>0</v>
      </c>
      <c r="S57" s="139">
        <f t="shared" si="232"/>
        <v>0</v>
      </c>
      <c r="T57" s="139">
        <f t="shared" si="232"/>
        <v>0</v>
      </c>
      <c r="U57" s="139">
        <f t="shared" si="232"/>
        <v>0</v>
      </c>
      <c r="V57" s="139">
        <f t="shared" si="232"/>
        <v>0</v>
      </c>
      <c r="W57" s="139">
        <f t="shared" si="232"/>
        <v>0</v>
      </c>
      <c r="X57" s="139">
        <f t="shared" si="232"/>
        <v>0</v>
      </c>
      <c r="Y57" s="139">
        <f t="shared" si="232"/>
        <v>0</v>
      </c>
      <c r="Z57" s="139">
        <f t="shared" si="232"/>
        <v>0</v>
      </c>
      <c r="AA57" s="139">
        <f t="shared" si="232"/>
        <v>0</v>
      </c>
      <c r="AB57" s="139">
        <f t="shared" si="232"/>
        <v>0</v>
      </c>
      <c r="AC57" s="139">
        <f t="shared" si="232"/>
        <v>0</v>
      </c>
      <c r="AD57" s="139">
        <f t="shared" si="232"/>
        <v>0</v>
      </c>
      <c r="AE57" s="139">
        <f t="shared" si="232"/>
        <v>0</v>
      </c>
      <c r="AF57" s="139">
        <f t="shared" si="232"/>
        <v>0</v>
      </c>
      <c r="AG57" s="139">
        <f t="shared" si="232"/>
        <v>0</v>
      </c>
      <c r="AH57" s="139">
        <f t="shared" si="232"/>
        <v>0</v>
      </c>
      <c r="AI57" s="139">
        <f t="shared" si="232"/>
        <v>0</v>
      </c>
      <c r="AJ57" s="139">
        <f t="shared" si="232"/>
        <v>0</v>
      </c>
      <c r="AK57" s="139">
        <f t="shared" si="232"/>
        <v>0</v>
      </c>
      <c r="AL57" s="139">
        <f t="shared" si="232"/>
        <v>0</v>
      </c>
      <c r="AM57" s="139">
        <f t="shared" si="232"/>
        <v>0</v>
      </c>
      <c r="AN57" s="139">
        <f t="shared" si="232"/>
        <v>0</v>
      </c>
      <c r="AO57" s="139">
        <f t="shared" si="232"/>
        <v>0</v>
      </c>
      <c r="AP57" s="139">
        <f t="shared" si="232"/>
        <v>0</v>
      </c>
      <c r="AQ57" s="139">
        <f t="shared" si="232"/>
        <v>0</v>
      </c>
      <c r="AR57" s="139">
        <f t="shared" si="232"/>
        <v>0</v>
      </c>
      <c r="AS57" s="139">
        <f t="shared" si="232"/>
        <v>0</v>
      </c>
      <c r="AT57" s="139">
        <f t="shared" ref="AT57:BY57" si="233">AT14/40</f>
        <v>0</v>
      </c>
      <c r="AU57" s="139">
        <f t="shared" si="233"/>
        <v>0</v>
      </c>
      <c r="AV57" s="139">
        <f t="shared" si="233"/>
        <v>0</v>
      </c>
      <c r="AW57" s="139">
        <f t="shared" si="233"/>
        <v>0</v>
      </c>
      <c r="AX57" s="139">
        <f t="shared" si="233"/>
        <v>0</v>
      </c>
      <c r="AY57" s="139">
        <f t="shared" si="233"/>
        <v>0</v>
      </c>
      <c r="AZ57" s="139">
        <f t="shared" si="233"/>
        <v>0</v>
      </c>
      <c r="BA57" s="139">
        <f t="shared" si="233"/>
        <v>0</v>
      </c>
      <c r="BB57" s="139">
        <f t="shared" si="233"/>
        <v>0</v>
      </c>
      <c r="BC57" s="139">
        <f t="shared" si="233"/>
        <v>0</v>
      </c>
      <c r="BD57" s="139">
        <f t="shared" si="233"/>
        <v>0</v>
      </c>
      <c r="BE57" s="139">
        <f t="shared" si="233"/>
        <v>0</v>
      </c>
      <c r="BF57" s="139">
        <f t="shared" si="233"/>
        <v>0</v>
      </c>
      <c r="BG57" s="139">
        <f t="shared" si="233"/>
        <v>0</v>
      </c>
      <c r="BH57" s="139">
        <f t="shared" si="233"/>
        <v>0</v>
      </c>
      <c r="BI57" s="139">
        <f t="shared" si="233"/>
        <v>0</v>
      </c>
      <c r="BJ57" s="139">
        <f t="shared" si="233"/>
        <v>0</v>
      </c>
      <c r="BK57" s="139">
        <f t="shared" si="233"/>
        <v>0</v>
      </c>
      <c r="BL57" s="139">
        <f t="shared" si="233"/>
        <v>0</v>
      </c>
      <c r="BM57" s="139">
        <f t="shared" si="233"/>
        <v>0</v>
      </c>
      <c r="BN57" s="139">
        <f t="shared" si="233"/>
        <v>0</v>
      </c>
      <c r="BO57" s="139">
        <f t="shared" si="233"/>
        <v>0</v>
      </c>
      <c r="BP57" s="139">
        <f t="shared" si="233"/>
        <v>0</v>
      </c>
      <c r="BQ57" s="139">
        <f t="shared" si="233"/>
        <v>0</v>
      </c>
      <c r="BR57" s="139">
        <f t="shared" si="233"/>
        <v>0</v>
      </c>
      <c r="BS57" s="139">
        <f t="shared" si="233"/>
        <v>0</v>
      </c>
      <c r="BT57" s="139">
        <f t="shared" si="233"/>
        <v>0</v>
      </c>
      <c r="BU57" s="139">
        <f t="shared" si="233"/>
        <v>0</v>
      </c>
      <c r="BV57" s="139">
        <f t="shared" si="233"/>
        <v>0</v>
      </c>
      <c r="BW57" s="139">
        <f t="shared" si="233"/>
        <v>0</v>
      </c>
      <c r="BX57" s="139">
        <f t="shared" si="233"/>
        <v>0</v>
      </c>
      <c r="BY57" s="139">
        <f t="shared" si="233"/>
        <v>0</v>
      </c>
      <c r="BZ57" s="139">
        <f t="shared" ref="BZ57:CI57" si="234">BZ14/40</f>
        <v>0</v>
      </c>
      <c r="CA57" s="139">
        <f t="shared" si="234"/>
        <v>0</v>
      </c>
      <c r="CB57" s="139">
        <f t="shared" si="234"/>
        <v>0</v>
      </c>
      <c r="CC57" s="139">
        <f t="shared" si="234"/>
        <v>0</v>
      </c>
      <c r="CD57" s="139">
        <f t="shared" si="234"/>
        <v>0</v>
      </c>
      <c r="CE57" s="139">
        <f t="shared" si="234"/>
        <v>0</v>
      </c>
      <c r="CF57" s="139">
        <f t="shared" si="234"/>
        <v>0</v>
      </c>
      <c r="CG57" s="139">
        <f t="shared" si="234"/>
        <v>0</v>
      </c>
      <c r="CH57" s="139">
        <f t="shared" si="234"/>
        <v>0</v>
      </c>
      <c r="CI57" s="139">
        <f t="shared" si="234"/>
        <v>0</v>
      </c>
      <c r="CJ57" s="139">
        <f t="shared" ref="CJ57:DO57" si="235">CJ14/100</f>
        <v>0</v>
      </c>
      <c r="CK57" s="139">
        <f t="shared" si="235"/>
        <v>0</v>
      </c>
      <c r="CL57" s="139">
        <f t="shared" si="235"/>
        <v>0</v>
      </c>
      <c r="CM57" s="139">
        <f t="shared" si="235"/>
        <v>0</v>
      </c>
      <c r="CN57" s="139">
        <f t="shared" si="235"/>
        <v>0</v>
      </c>
      <c r="CO57" s="139">
        <f t="shared" si="235"/>
        <v>0</v>
      </c>
      <c r="CP57" s="139">
        <f t="shared" si="235"/>
        <v>0</v>
      </c>
      <c r="CQ57" s="139">
        <f t="shared" si="235"/>
        <v>0</v>
      </c>
      <c r="CR57" s="139">
        <f t="shared" si="235"/>
        <v>0</v>
      </c>
      <c r="CS57" s="139">
        <f t="shared" si="235"/>
        <v>0</v>
      </c>
      <c r="CT57" s="139">
        <f t="shared" si="235"/>
        <v>0</v>
      </c>
      <c r="CU57" s="139">
        <f t="shared" si="235"/>
        <v>0</v>
      </c>
      <c r="CV57" s="139">
        <f t="shared" si="235"/>
        <v>0</v>
      </c>
      <c r="CW57" s="139">
        <f t="shared" si="235"/>
        <v>0</v>
      </c>
      <c r="CX57" s="139">
        <f t="shared" si="235"/>
        <v>0</v>
      </c>
      <c r="CY57" s="139">
        <f t="shared" si="235"/>
        <v>0</v>
      </c>
      <c r="CZ57" s="139">
        <f t="shared" si="235"/>
        <v>0</v>
      </c>
      <c r="DA57" s="139">
        <f t="shared" si="235"/>
        <v>0</v>
      </c>
      <c r="DB57" s="139">
        <f t="shared" si="235"/>
        <v>0</v>
      </c>
      <c r="DC57" s="139">
        <f t="shared" si="235"/>
        <v>0</v>
      </c>
      <c r="DD57" s="139">
        <f t="shared" si="235"/>
        <v>0</v>
      </c>
      <c r="DE57" s="139">
        <f t="shared" si="235"/>
        <v>0</v>
      </c>
      <c r="DF57" s="139">
        <f t="shared" si="235"/>
        <v>0</v>
      </c>
      <c r="DG57" s="139">
        <f t="shared" si="235"/>
        <v>0</v>
      </c>
      <c r="DH57" s="139">
        <f t="shared" si="235"/>
        <v>0</v>
      </c>
      <c r="DI57" s="139">
        <f t="shared" si="235"/>
        <v>0</v>
      </c>
      <c r="DJ57" s="139">
        <f t="shared" si="235"/>
        <v>0</v>
      </c>
      <c r="DK57" s="139">
        <f t="shared" si="235"/>
        <v>0</v>
      </c>
      <c r="DL57" s="139">
        <f t="shared" si="235"/>
        <v>0</v>
      </c>
      <c r="DM57" s="139">
        <f t="shared" si="235"/>
        <v>0</v>
      </c>
      <c r="DN57" s="139">
        <f t="shared" si="235"/>
        <v>0</v>
      </c>
      <c r="DO57" s="139">
        <f t="shared" si="235"/>
        <v>0</v>
      </c>
      <c r="DP57" s="139">
        <f t="shared" ref="DP57:EU57" si="236">DP14/100</f>
        <v>0</v>
      </c>
      <c r="DQ57" s="139">
        <f t="shared" si="236"/>
        <v>0</v>
      </c>
      <c r="DR57" s="139">
        <f t="shared" si="236"/>
        <v>0</v>
      </c>
      <c r="DS57" s="139">
        <f t="shared" si="236"/>
        <v>0</v>
      </c>
      <c r="DT57" s="139">
        <f t="shared" si="236"/>
        <v>0</v>
      </c>
      <c r="DU57" s="139">
        <f t="shared" si="236"/>
        <v>0</v>
      </c>
      <c r="DV57" s="139">
        <f t="shared" si="236"/>
        <v>0</v>
      </c>
      <c r="DW57" s="139">
        <f t="shared" si="236"/>
        <v>0</v>
      </c>
      <c r="DX57" s="139">
        <f t="shared" si="236"/>
        <v>0</v>
      </c>
      <c r="DY57" s="139">
        <f t="shared" si="236"/>
        <v>0</v>
      </c>
      <c r="DZ57" s="139">
        <f t="shared" si="236"/>
        <v>0</v>
      </c>
      <c r="EA57" s="139">
        <f t="shared" si="236"/>
        <v>0</v>
      </c>
      <c r="EB57" s="139">
        <f t="shared" si="236"/>
        <v>0</v>
      </c>
      <c r="EC57" s="139">
        <f t="shared" si="236"/>
        <v>0</v>
      </c>
      <c r="ED57" s="139">
        <f t="shared" si="236"/>
        <v>0</v>
      </c>
      <c r="EE57" s="139">
        <f t="shared" si="236"/>
        <v>0</v>
      </c>
      <c r="EF57" s="139">
        <f t="shared" si="236"/>
        <v>0</v>
      </c>
      <c r="EG57" s="139">
        <f t="shared" si="236"/>
        <v>0</v>
      </c>
      <c r="EH57" s="139">
        <f t="shared" si="236"/>
        <v>0</v>
      </c>
      <c r="EI57" s="139">
        <f t="shared" si="236"/>
        <v>0</v>
      </c>
      <c r="EJ57" s="139">
        <f t="shared" si="236"/>
        <v>0</v>
      </c>
      <c r="EK57" s="139">
        <f t="shared" si="236"/>
        <v>0</v>
      </c>
      <c r="EL57" s="139">
        <f t="shared" si="236"/>
        <v>0</v>
      </c>
      <c r="EM57" s="139">
        <f t="shared" si="236"/>
        <v>0</v>
      </c>
      <c r="EN57" s="139">
        <f t="shared" si="236"/>
        <v>0</v>
      </c>
      <c r="EO57" s="139">
        <f t="shared" si="236"/>
        <v>0</v>
      </c>
      <c r="EP57" s="139">
        <f t="shared" si="236"/>
        <v>0</v>
      </c>
      <c r="EQ57" s="139">
        <f t="shared" si="236"/>
        <v>0</v>
      </c>
      <c r="ER57" s="139">
        <f t="shared" si="236"/>
        <v>0</v>
      </c>
      <c r="ES57" s="139">
        <f t="shared" si="236"/>
        <v>0</v>
      </c>
      <c r="ET57" s="139">
        <f t="shared" si="236"/>
        <v>0</v>
      </c>
      <c r="EU57" s="139">
        <f t="shared" si="236"/>
        <v>0</v>
      </c>
      <c r="EV57" s="139">
        <f t="shared" ref="EV57:GA57" si="237">EV14/100</f>
        <v>0</v>
      </c>
      <c r="EW57" s="139">
        <f t="shared" si="237"/>
        <v>0</v>
      </c>
      <c r="EX57" s="139">
        <f t="shared" si="237"/>
        <v>0</v>
      </c>
      <c r="EY57" s="139">
        <f t="shared" si="237"/>
        <v>0</v>
      </c>
      <c r="EZ57" s="139">
        <f t="shared" si="237"/>
        <v>0</v>
      </c>
      <c r="FA57" s="139">
        <f t="shared" si="237"/>
        <v>0</v>
      </c>
      <c r="FB57" s="139">
        <f t="shared" si="237"/>
        <v>0</v>
      </c>
      <c r="FC57" s="139">
        <f t="shared" si="237"/>
        <v>0</v>
      </c>
      <c r="FD57" s="139">
        <f t="shared" si="237"/>
        <v>0</v>
      </c>
      <c r="FE57" s="139">
        <f t="shared" si="237"/>
        <v>0</v>
      </c>
      <c r="FF57" s="139">
        <f t="shared" si="237"/>
        <v>0</v>
      </c>
      <c r="FG57" s="139">
        <f t="shared" si="237"/>
        <v>0</v>
      </c>
      <c r="FH57" s="139">
        <f t="shared" si="237"/>
        <v>0</v>
      </c>
      <c r="FI57" s="139">
        <f t="shared" si="237"/>
        <v>0</v>
      </c>
      <c r="FJ57" s="139">
        <f t="shared" si="237"/>
        <v>0</v>
      </c>
      <c r="FK57" s="139">
        <f t="shared" si="237"/>
        <v>0</v>
      </c>
      <c r="FL57" s="139">
        <f t="shared" si="237"/>
        <v>0</v>
      </c>
      <c r="FM57" s="139">
        <f t="shared" si="237"/>
        <v>0</v>
      </c>
      <c r="FN57" s="139">
        <f t="shared" si="237"/>
        <v>0</v>
      </c>
      <c r="FO57" s="139">
        <f t="shared" si="237"/>
        <v>0</v>
      </c>
      <c r="FP57" s="139">
        <f t="shared" si="237"/>
        <v>0</v>
      </c>
      <c r="FQ57" s="139">
        <f t="shared" si="237"/>
        <v>0</v>
      </c>
      <c r="FR57" s="139">
        <f t="shared" si="237"/>
        <v>0</v>
      </c>
      <c r="FS57" s="139">
        <f t="shared" si="237"/>
        <v>0</v>
      </c>
      <c r="FT57" s="139">
        <f t="shared" si="237"/>
        <v>0</v>
      </c>
      <c r="FU57" s="139">
        <f t="shared" si="237"/>
        <v>0</v>
      </c>
      <c r="FV57" s="139">
        <f t="shared" si="237"/>
        <v>0</v>
      </c>
      <c r="FW57" s="139">
        <f t="shared" si="237"/>
        <v>0</v>
      </c>
      <c r="FX57" s="139">
        <f t="shared" si="237"/>
        <v>0</v>
      </c>
      <c r="FY57" s="139">
        <f t="shared" si="237"/>
        <v>0</v>
      </c>
      <c r="FZ57" s="139">
        <f t="shared" si="237"/>
        <v>0</v>
      </c>
      <c r="GA57" s="139">
        <f t="shared" si="237"/>
        <v>0</v>
      </c>
      <c r="GB57" s="139">
        <f t="shared" ref="GB57:HA57" si="238">GB14/100</f>
        <v>0</v>
      </c>
      <c r="GC57" s="139">
        <f t="shared" si="238"/>
        <v>0</v>
      </c>
      <c r="GD57" s="139">
        <f t="shared" si="238"/>
        <v>0</v>
      </c>
      <c r="GE57" s="139">
        <f t="shared" si="238"/>
        <v>0</v>
      </c>
      <c r="GF57" s="139">
        <f t="shared" si="238"/>
        <v>0</v>
      </c>
      <c r="GG57" s="139">
        <f t="shared" si="238"/>
        <v>0</v>
      </c>
      <c r="GH57" s="139">
        <f t="shared" si="238"/>
        <v>0</v>
      </c>
      <c r="GI57" s="139">
        <f t="shared" si="238"/>
        <v>0</v>
      </c>
      <c r="GJ57" s="139">
        <f t="shared" si="238"/>
        <v>0</v>
      </c>
      <c r="GK57" s="139">
        <f t="shared" si="238"/>
        <v>0</v>
      </c>
      <c r="GL57" s="139">
        <f t="shared" si="238"/>
        <v>0</v>
      </c>
      <c r="GM57" s="139">
        <f t="shared" si="238"/>
        <v>0</v>
      </c>
      <c r="GN57" s="139">
        <f t="shared" si="238"/>
        <v>0</v>
      </c>
      <c r="GO57" s="139">
        <f t="shared" si="238"/>
        <v>0</v>
      </c>
      <c r="GP57" s="139">
        <f t="shared" si="238"/>
        <v>0</v>
      </c>
      <c r="GQ57" s="139">
        <f t="shared" si="238"/>
        <v>0</v>
      </c>
      <c r="GR57" s="139">
        <f t="shared" si="238"/>
        <v>0</v>
      </c>
      <c r="GS57" s="139">
        <f t="shared" si="238"/>
        <v>0</v>
      </c>
      <c r="GT57" s="139">
        <f t="shared" si="238"/>
        <v>0</v>
      </c>
      <c r="GU57" s="139">
        <f t="shared" si="238"/>
        <v>0</v>
      </c>
      <c r="GV57" s="139">
        <f t="shared" si="238"/>
        <v>0</v>
      </c>
      <c r="GW57" s="139">
        <f t="shared" si="238"/>
        <v>0</v>
      </c>
      <c r="GX57" s="139">
        <f t="shared" si="238"/>
        <v>0</v>
      </c>
      <c r="GY57" s="139">
        <f t="shared" si="238"/>
        <v>0</v>
      </c>
      <c r="GZ57" s="139">
        <f t="shared" si="238"/>
        <v>0</v>
      </c>
      <c r="HA57" s="139">
        <f t="shared" si="238"/>
        <v>0</v>
      </c>
      <c r="HB57" s="139">
        <f t="shared" ref="HB57:II57" si="239">HB14/40</f>
        <v>0</v>
      </c>
      <c r="HC57" s="139">
        <f t="shared" si="239"/>
        <v>0</v>
      </c>
      <c r="HD57" s="139">
        <f t="shared" si="239"/>
        <v>0</v>
      </c>
      <c r="HE57" s="139">
        <f t="shared" si="239"/>
        <v>0</v>
      </c>
      <c r="HF57" s="139">
        <f t="shared" si="239"/>
        <v>0</v>
      </c>
      <c r="HG57" s="139">
        <f t="shared" si="239"/>
        <v>0</v>
      </c>
      <c r="HH57" s="139">
        <f t="shared" si="239"/>
        <v>0</v>
      </c>
      <c r="HI57" s="139">
        <f t="shared" si="239"/>
        <v>0</v>
      </c>
      <c r="HJ57" s="139">
        <f t="shared" si="239"/>
        <v>0</v>
      </c>
      <c r="HK57" s="139">
        <f t="shared" si="239"/>
        <v>0</v>
      </c>
      <c r="HL57" s="139">
        <f t="shared" si="239"/>
        <v>0</v>
      </c>
      <c r="HM57" s="139">
        <f t="shared" si="239"/>
        <v>0</v>
      </c>
      <c r="HN57" s="139">
        <f t="shared" si="239"/>
        <v>0</v>
      </c>
      <c r="HO57" s="139">
        <f t="shared" si="239"/>
        <v>0</v>
      </c>
      <c r="HP57" s="139">
        <f t="shared" si="239"/>
        <v>0</v>
      </c>
      <c r="HQ57" s="139">
        <f t="shared" si="239"/>
        <v>0</v>
      </c>
      <c r="HR57" s="139">
        <f t="shared" si="239"/>
        <v>0</v>
      </c>
      <c r="HS57" s="139">
        <f t="shared" si="239"/>
        <v>0</v>
      </c>
      <c r="HT57" s="139">
        <f t="shared" si="239"/>
        <v>0</v>
      </c>
      <c r="HU57" s="139">
        <f t="shared" si="239"/>
        <v>0</v>
      </c>
      <c r="HV57" s="139">
        <f t="shared" si="239"/>
        <v>0</v>
      </c>
      <c r="HW57" s="139">
        <f t="shared" si="239"/>
        <v>0</v>
      </c>
      <c r="HX57" s="139">
        <f t="shared" si="239"/>
        <v>0</v>
      </c>
      <c r="HY57" s="139">
        <f t="shared" si="239"/>
        <v>0</v>
      </c>
      <c r="HZ57" s="139">
        <f t="shared" si="239"/>
        <v>0</v>
      </c>
      <c r="IA57" s="139">
        <f t="shared" si="239"/>
        <v>0</v>
      </c>
      <c r="IB57" s="139">
        <f t="shared" si="239"/>
        <v>0</v>
      </c>
      <c r="IC57" s="139">
        <f t="shared" si="239"/>
        <v>0</v>
      </c>
      <c r="ID57" s="139">
        <f t="shared" si="239"/>
        <v>0</v>
      </c>
      <c r="IE57" s="139">
        <f t="shared" si="239"/>
        <v>0</v>
      </c>
      <c r="IF57" s="139">
        <f t="shared" si="239"/>
        <v>0</v>
      </c>
      <c r="IG57" s="139">
        <f t="shared" si="239"/>
        <v>0</v>
      </c>
      <c r="IH57" s="139">
        <f t="shared" si="239"/>
        <v>0</v>
      </c>
      <c r="II57" s="139">
        <f t="shared" si="239"/>
        <v>0</v>
      </c>
      <c r="IJ57" s="139">
        <f t="shared" ref="IJ57:JM57" si="240">IJ14/100</f>
        <v>0</v>
      </c>
      <c r="IK57" s="139">
        <f t="shared" si="240"/>
        <v>0</v>
      </c>
      <c r="IL57" s="139">
        <f t="shared" si="240"/>
        <v>0</v>
      </c>
      <c r="IM57" s="139">
        <f t="shared" si="240"/>
        <v>0</v>
      </c>
      <c r="IN57" s="139">
        <f t="shared" si="240"/>
        <v>0</v>
      </c>
      <c r="IO57" s="139">
        <f t="shared" si="240"/>
        <v>0</v>
      </c>
      <c r="IP57" s="139">
        <f t="shared" si="240"/>
        <v>0</v>
      </c>
      <c r="IQ57" s="139">
        <f t="shared" si="240"/>
        <v>0</v>
      </c>
      <c r="IR57" s="139">
        <f t="shared" si="240"/>
        <v>0</v>
      </c>
      <c r="IS57" s="139">
        <f t="shared" si="240"/>
        <v>0</v>
      </c>
      <c r="IT57" s="139">
        <f t="shared" si="240"/>
        <v>0</v>
      </c>
      <c r="IU57" s="139">
        <f t="shared" si="240"/>
        <v>0</v>
      </c>
      <c r="IV57" s="139">
        <f t="shared" si="240"/>
        <v>0</v>
      </c>
      <c r="IW57" s="139">
        <f t="shared" si="240"/>
        <v>0</v>
      </c>
      <c r="IX57" s="139">
        <f t="shared" si="240"/>
        <v>0</v>
      </c>
      <c r="IY57" s="139">
        <f t="shared" si="240"/>
        <v>0</v>
      </c>
      <c r="IZ57" s="139">
        <f t="shared" si="240"/>
        <v>0</v>
      </c>
      <c r="JA57" s="139">
        <f t="shared" si="240"/>
        <v>0</v>
      </c>
      <c r="JB57" s="139">
        <f t="shared" si="240"/>
        <v>0</v>
      </c>
      <c r="JC57" s="139">
        <f t="shared" si="240"/>
        <v>0</v>
      </c>
      <c r="JD57" s="139">
        <f t="shared" si="240"/>
        <v>0</v>
      </c>
      <c r="JE57" s="139">
        <f t="shared" si="240"/>
        <v>0</v>
      </c>
      <c r="JF57" s="139">
        <f t="shared" si="240"/>
        <v>0</v>
      </c>
      <c r="JG57" s="139">
        <f t="shared" si="240"/>
        <v>0</v>
      </c>
      <c r="JH57" s="139">
        <f t="shared" si="240"/>
        <v>0</v>
      </c>
      <c r="JI57" s="139">
        <f t="shared" si="240"/>
        <v>0</v>
      </c>
      <c r="JJ57" s="139">
        <f t="shared" si="240"/>
        <v>0</v>
      </c>
      <c r="JK57" s="139">
        <f t="shared" si="240"/>
        <v>0</v>
      </c>
      <c r="JL57" s="139">
        <f t="shared" si="240"/>
        <v>0</v>
      </c>
      <c r="JM57" s="139">
        <f t="shared" si="240"/>
        <v>0</v>
      </c>
      <c r="JN57" s="139">
        <f t="shared" ref="JN57:JS57" si="241">JN14/40</f>
        <v>0</v>
      </c>
      <c r="JO57" s="139">
        <f t="shared" si="241"/>
        <v>0</v>
      </c>
      <c r="JP57" s="139">
        <f t="shared" si="241"/>
        <v>0</v>
      </c>
      <c r="JQ57" s="139">
        <f t="shared" si="241"/>
        <v>0</v>
      </c>
      <c r="JR57" s="139">
        <f t="shared" si="241"/>
        <v>0</v>
      </c>
      <c r="JS57" s="139">
        <f t="shared" si="241"/>
        <v>0</v>
      </c>
      <c r="JT57" s="139">
        <f t="shared" ref="JT57:JY57" si="242">JT14/100</f>
        <v>0</v>
      </c>
      <c r="JU57" s="139">
        <f t="shared" si="242"/>
        <v>0</v>
      </c>
      <c r="JV57" s="139">
        <f t="shared" si="242"/>
        <v>0</v>
      </c>
      <c r="JW57" s="139">
        <f t="shared" si="242"/>
        <v>0</v>
      </c>
      <c r="JX57" s="139">
        <f t="shared" si="242"/>
        <v>0</v>
      </c>
      <c r="JY57" s="139">
        <f t="shared" si="242"/>
        <v>0</v>
      </c>
      <c r="JZ57" s="139">
        <f t="shared" ref="JZ57:KY57" si="243">JZ14/40</f>
        <v>0</v>
      </c>
      <c r="KA57" s="139">
        <f t="shared" si="243"/>
        <v>0</v>
      </c>
      <c r="KB57" s="139">
        <f t="shared" si="243"/>
        <v>0</v>
      </c>
      <c r="KC57" s="139">
        <f t="shared" si="243"/>
        <v>0</v>
      </c>
      <c r="KD57" s="139">
        <f t="shared" si="243"/>
        <v>0</v>
      </c>
      <c r="KE57" s="139">
        <f t="shared" si="243"/>
        <v>0</v>
      </c>
      <c r="KF57" s="139">
        <f t="shared" si="243"/>
        <v>0</v>
      </c>
      <c r="KG57" s="139">
        <f t="shared" si="243"/>
        <v>0</v>
      </c>
      <c r="KH57" s="139">
        <f t="shared" si="243"/>
        <v>0</v>
      </c>
      <c r="KI57" s="139">
        <f t="shared" si="243"/>
        <v>0</v>
      </c>
      <c r="KJ57" s="139">
        <f t="shared" si="243"/>
        <v>0</v>
      </c>
      <c r="KK57" s="139">
        <f t="shared" si="243"/>
        <v>0</v>
      </c>
      <c r="KL57" s="139">
        <f t="shared" si="243"/>
        <v>0</v>
      </c>
      <c r="KM57" s="139">
        <f t="shared" si="243"/>
        <v>0</v>
      </c>
      <c r="KN57" s="139">
        <f t="shared" si="243"/>
        <v>0</v>
      </c>
      <c r="KO57" s="139">
        <f t="shared" si="243"/>
        <v>0</v>
      </c>
      <c r="KP57" s="139">
        <f t="shared" si="243"/>
        <v>0</v>
      </c>
      <c r="KQ57" s="139">
        <f t="shared" si="243"/>
        <v>0</v>
      </c>
      <c r="KR57" s="139">
        <f t="shared" si="243"/>
        <v>0</v>
      </c>
      <c r="KS57" s="139">
        <f t="shared" si="243"/>
        <v>0</v>
      </c>
      <c r="KT57" s="139">
        <f t="shared" si="243"/>
        <v>0</v>
      </c>
      <c r="KU57" s="139">
        <f t="shared" si="243"/>
        <v>0</v>
      </c>
      <c r="KV57" s="139">
        <f t="shared" si="243"/>
        <v>0</v>
      </c>
      <c r="KW57" s="139">
        <f t="shared" si="243"/>
        <v>0</v>
      </c>
      <c r="KX57" s="139">
        <f t="shared" si="243"/>
        <v>0</v>
      </c>
      <c r="KY57" s="139">
        <f t="shared" si="243"/>
        <v>0</v>
      </c>
      <c r="KZ57" s="139">
        <f t="shared" ref="KZ57:ME57" si="244">KZ14/100</f>
        <v>0</v>
      </c>
      <c r="LA57" s="139">
        <f t="shared" si="244"/>
        <v>0</v>
      </c>
      <c r="LB57" s="139">
        <f t="shared" si="244"/>
        <v>0</v>
      </c>
      <c r="LC57" s="139">
        <f t="shared" si="244"/>
        <v>0</v>
      </c>
      <c r="LD57" s="139">
        <f t="shared" si="244"/>
        <v>0</v>
      </c>
      <c r="LE57" s="139">
        <f t="shared" si="244"/>
        <v>0</v>
      </c>
      <c r="LF57" s="139">
        <f t="shared" si="244"/>
        <v>0</v>
      </c>
      <c r="LG57" s="139">
        <f t="shared" si="244"/>
        <v>0</v>
      </c>
      <c r="LH57" s="139">
        <f t="shared" si="244"/>
        <v>0</v>
      </c>
      <c r="LI57" s="139">
        <f t="shared" si="244"/>
        <v>0</v>
      </c>
      <c r="LJ57" s="139">
        <f t="shared" si="244"/>
        <v>0</v>
      </c>
      <c r="LK57" s="139">
        <f t="shared" si="244"/>
        <v>0</v>
      </c>
      <c r="LL57" s="139">
        <f t="shared" si="244"/>
        <v>0</v>
      </c>
      <c r="LM57" s="139">
        <f t="shared" si="244"/>
        <v>0</v>
      </c>
      <c r="LN57" s="139">
        <f t="shared" si="244"/>
        <v>0</v>
      </c>
      <c r="LO57" s="139">
        <f t="shared" si="244"/>
        <v>0</v>
      </c>
      <c r="LP57" s="139">
        <f t="shared" si="244"/>
        <v>0</v>
      </c>
      <c r="LQ57" s="139">
        <f t="shared" si="244"/>
        <v>0</v>
      </c>
      <c r="LR57" s="139">
        <f t="shared" si="244"/>
        <v>0</v>
      </c>
      <c r="LS57" s="139">
        <f t="shared" si="244"/>
        <v>0</v>
      </c>
      <c r="LT57" s="139">
        <f t="shared" si="244"/>
        <v>0</v>
      </c>
      <c r="LU57" s="139">
        <f t="shared" si="244"/>
        <v>0</v>
      </c>
      <c r="LV57" s="139">
        <f t="shared" si="244"/>
        <v>0</v>
      </c>
      <c r="LW57" s="139">
        <f t="shared" si="244"/>
        <v>0</v>
      </c>
      <c r="LX57" s="139">
        <f t="shared" si="244"/>
        <v>0</v>
      </c>
      <c r="LY57" s="139">
        <f t="shared" si="244"/>
        <v>0</v>
      </c>
      <c r="LZ57" s="139">
        <f t="shared" si="244"/>
        <v>0</v>
      </c>
      <c r="MA57" s="139">
        <f t="shared" si="244"/>
        <v>0</v>
      </c>
      <c r="MB57" s="139">
        <f t="shared" si="244"/>
        <v>0</v>
      </c>
      <c r="MC57" s="139">
        <f t="shared" si="244"/>
        <v>0</v>
      </c>
      <c r="MD57" s="139">
        <f t="shared" si="244"/>
        <v>0</v>
      </c>
      <c r="ME57" s="139">
        <f t="shared" si="244"/>
        <v>0</v>
      </c>
      <c r="MF57" s="139">
        <f t="shared" ref="MF57:NK57" si="245">MF14/100</f>
        <v>0</v>
      </c>
      <c r="MG57" s="139">
        <f t="shared" si="245"/>
        <v>0</v>
      </c>
      <c r="MH57" s="139">
        <f t="shared" si="245"/>
        <v>0</v>
      </c>
      <c r="MI57" s="139">
        <f t="shared" si="245"/>
        <v>0</v>
      </c>
      <c r="MJ57" s="139">
        <f t="shared" si="245"/>
        <v>0</v>
      </c>
      <c r="MK57" s="139">
        <f t="shared" si="245"/>
        <v>0</v>
      </c>
      <c r="ML57" s="139">
        <f t="shared" si="245"/>
        <v>0</v>
      </c>
      <c r="MM57" s="139">
        <f t="shared" si="245"/>
        <v>0</v>
      </c>
      <c r="MN57" s="139">
        <f t="shared" si="245"/>
        <v>0</v>
      </c>
      <c r="MO57" s="139">
        <f t="shared" si="245"/>
        <v>0</v>
      </c>
      <c r="MP57" s="139">
        <f t="shared" si="245"/>
        <v>0</v>
      </c>
      <c r="MQ57" s="139">
        <f t="shared" si="245"/>
        <v>0</v>
      </c>
      <c r="MR57" s="139">
        <f t="shared" si="245"/>
        <v>0</v>
      </c>
      <c r="MS57" s="139">
        <f t="shared" si="245"/>
        <v>0</v>
      </c>
      <c r="MT57" s="139">
        <f t="shared" si="245"/>
        <v>0</v>
      </c>
      <c r="MU57" s="139">
        <f t="shared" si="245"/>
        <v>0</v>
      </c>
      <c r="MV57" s="139">
        <f t="shared" si="245"/>
        <v>0</v>
      </c>
      <c r="MW57" s="139">
        <f t="shared" si="245"/>
        <v>0</v>
      </c>
      <c r="MX57" s="139">
        <f t="shared" si="245"/>
        <v>0</v>
      </c>
      <c r="MY57" s="139">
        <f t="shared" si="245"/>
        <v>0</v>
      </c>
      <c r="MZ57" s="139">
        <f t="shared" si="245"/>
        <v>0</v>
      </c>
      <c r="NA57" s="139">
        <f t="shared" si="245"/>
        <v>0</v>
      </c>
      <c r="NB57" s="139">
        <f t="shared" si="245"/>
        <v>0</v>
      </c>
      <c r="NC57" s="139">
        <f t="shared" si="245"/>
        <v>0</v>
      </c>
      <c r="ND57" s="139">
        <f t="shared" si="245"/>
        <v>0</v>
      </c>
      <c r="NE57" s="139">
        <f t="shared" si="245"/>
        <v>0</v>
      </c>
      <c r="NF57" s="139">
        <f t="shared" si="245"/>
        <v>0</v>
      </c>
      <c r="NG57" s="139">
        <f t="shared" si="245"/>
        <v>0</v>
      </c>
      <c r="NH57" s="139">
        <f t="shared" si="245"/>
        <v>0</v>
      </c>
      <c r="NI57" s="139">
        <f t="shared" si="245"/>
        <v>0</v>
      </c>
      <c r="NJ57" s="139">
        <f t="shared" si="245"/>
        <v>0</v>
      </c>
      <c r="NK57" s="139">
        <f t="shared" si="245"/>
        <v>0</v>
      </c>
      <c r="NL57" s="139">
        <f t="shared" ref="NL57:OQ57" si="246">NL14/100</f>
        <v>0</v>
      </c>
      <c r="NM57" s="139">
        <f t="shared" si="246"/>
        <v>0</v>
      </c>
      <c r="NN57" s="139">
        <f t="shared" si="246"/>
        <v>0</v>
      </c>
      <c r="NO57" s="139">
        <f t="shared" si="246"/>
        <v>0</v>
      </c>
      <c r="NP57" s="139">
        <f t="shared" si="246"/>
        <v>0</v>
      </c>
      <c r="NQ57" s="139">
        <f t="shared" si="246"/>
        <v>0</v>
      </c>
      <c r="NR57" s="139">
        <f t="shared" si="246"/>
        <v>0</v>
      </c>
      <c r="NS57" s="139">
        <f t="shared" si="246"/>
        <v>0</v>
      </c>
      <c r="NT57" s="139">
        <f t="shared" si="246"/>
        <v>0</v>
      </c>
      <c r="NU57" s="139">
        <f t="shared" si="246"/>
        <v>0</v>
      </c>
      <c r="NV57" s="139">
        <f t="shared" si="246"/>
        <v>0</v>
      </c>
      <c r="NW57" s="139">
        <f t="shared" si="246"/>
        <v>0</v>
      </c>
      <c r="NX57" s="139">
        <f t="shared" si="246"/>
        <v>0</v>
      </c>
      <c r="NY57" s="139">
        <f t="shared" si="246"/>
        <v>0</v>
      </c>
      <c r="NZ57" s="139">
        <f t="shared" si="246"/>
        <v>0</v>
      </c>
      <c r="OA57" s="139">
        <f t="shared" si="246"/>
        <v>0</v>
      </c>
      <c r="OB57" s="139">
        <f t="shared" si="246"/>
        <v>0</v>
      </c>
      <c r="OC57" s="139">
        <f t="shared" si="246"/>
        <v>0</v>
      </c>
      <c r="OD57" s="139">
        <f t="shared" si="246"/>
        <v>0</v>
      </c>
      <c r="OE57" s="139">
        <f t="shared" si="246"/>
        <v>0</v>
      </c>
      <c r="OF57" s="139">
        <f t="shared" si="246"/>
        <v>0</v>
      </c>
      <c r="OG57" s="139">
        <f t="shared" si="246"/>
        <v>0</v>
      </c>
      <c r="OH57" s="139">
        <f t="shared" si="246"/>
        <v>0</v>
      </c>
      <c r="OI57" s="139">
        <f t="shared" si="246"/>
        <v>0</v>
      </c>
      <c r="OJ57" s="139">
        <f t="shared" si="246"/>
        <v>0</v>
      </c>
      <c r="OK57" s="139">
        <f t="shared" si="246"/>
        <v>0</v>
      </c>
      <c r="OL57" s="139">
        <f t="shared" si="246"/>
        <v>0</v>
      </c>
      <c r="OM57" s="139">
        <f t="shared" si="246"/>
        <v>0</v>
      </c>
      <c r="ON57" s="139">
        <f t="shared" si="246"/>
        <v>0</v>
      </c>
      <c r="OO57" s="139">
        <f t="shared" si="246"/>
        <v>0</v>
      </c>
      <c r="OP57" s="139">
        <f t="shared" si="246"/>
        <v>0</v>
      </c>
      <c r="OQ57" s="139">
        <f t="shared" si="246"/>
        <v>0</v>
      </c>
      <c r="OR57" s="139">
        <f t="shared" ref="OR57:PW57" si="247">OR14/100</f>
        <v>0</v>
      </c>
      <c r="OS57" s="139">
        <f t="shared" si="247"/>
        <v>0</v>
      </c>
      <c r="OT57" s="139">
        <f t="shared" si="247"/>
        <v>0</v>
      </c>
      <c r="OU57" s="139">
        <f t="shared" si="247"/>
        <v>0</v>
      </c>
      <c r="OV57" s="139">
        <f t="shared" si="247"/>
        <v>0</v>
      </c>
      <c r="OW57" s="139">
        <f t="shared" si="247"/>
        <v>0</v>
      </c>
      <c r="OX57" s="139">
        <f t="shared" si="247"/>
        <v>0</v>
      </c>
      <c r="OY57" s="139">
        <f t="shared" si="247"/>
        <v>0</v>
      </c>
      <c r="OZ57" s="139">
        <f t="shared" si="247"/>
        <v>0</v>
      </c>
      <c r="PA57" s="139">
        <f t="shared" si="247"/>
        <v>0</v>
      </c>
      <c r="PB57" s="139">
        <f t="shared" si="247"/>
        <v>0</v>
      </c>
      <c r="PC57" s="139">
        <f t="shared" si="247"/>
        <v>0</v>
      </c>
      <c r="PD57" s="139">
        <f t="shared" si="247"/>
        <v>0</v>
      </c>
      <c r="PE57" s="139">
        <f t="shared" si="247"/>
        <v>0</v>
      </c>
      <c r="PF57" s="139">
        <f t="shared" si="247"/>
        <v>0</v>
      </c>
      <c r="PG57" s="139">
        <f t="shared" si="247"/>
        <v>0</v>
      </c>
      <c r="PH57" s="139">
        <f t="shared" si="247"/>
        <v>0</v>
      </c>
      <c r="PI57" s="139">
        <f t="shared" si="247"/>
        <v>0</v>
      </c>
      <c r="PJ57" s="139">
        <f t="shared" si="247"/>
        <v>0</v>
      </c>
      <c r="PK57" s="139">
        <f t="shared" si="247"/>
        <v>0</v>
      </c>
      <c r="PL57" s="139">
        <f t="shared" si="247"/>
        <v>0</v>
      </c>
      <c r="PM57" s="139">
        <f t="shared" si="247"/>
        <v>0</v>
      </c>
      <c r="PN57" s="139">
        <f t="shared" si="247"/>
        <v>0</v>
      </c>
      <c r="PO57" s="139">
        <f t="shared" si="247"/>
        <v>0</v>
      </c>
      <c r="PP57" s="139">
        <f t="shared" si="247"/>
        <v>0</v>
      </c>
      <c r="PQ57" s="139">
        <f t="shared" si="247"/>
        <v>0</v>
      </c>
      <c r="PR57" s="139">
        <f t="shared" si="247"/>
        <v>0</v>
      </c>
      <c r="PS57" s="139">
        <f t="shared" si="247"/>
        <v>0</v>
      </c>
      <c r="PT57" s="139">
        <f t="shared" si="247"/>
        <v>0</v>
      </c>
      <c r="PU57" s="139">
        <f t="shared" si="247"/>
        <v>0</v>
      </c>
      <c r="PV57" s="139">
        <f t="shared" si="247"/>
        <v>0</v>
      </c>
      <c r="PW57" s="139">
        <f t="shared" si="247"/>
        <v>0</v>
      </c>
      <c r="PX57" s="139">
        <f t="shared" ref="PX57:QN57" si="248">PX14/100</f>
        <v>0</v>
      </c>
      <c r="PY57" s="139">
        <f t="shared" si="248"/>
        <v>0</v>
      </c>
      <c r="PZ57" s="139">
        <f t="shared" si="248"/>
        <v>0</v>
      </c>
      <c r="QA57" s="139">
        <f t="shared" si="248"/>
        <v>0</v>
      </c>
      <c r="QB57" s="139">
        <f t="shared" si="248"/>
        <v>0</v>
      </c>
      <c r="QC57" s="139">
        <f t="shared" si="248"/>
        <v>0</v>
      </c>
      <c r="QD57" s="139">
        <f t="shared" si="248"/>
        <v>0</v>
      </c>
      <c r="QE57" s="139">
        <f t="shared" si="248"/>
        <v>0</v>
      </c>
      <c r="QF57" s="139">
        <f t="shared" si="248"/>
        <v>0</v>
      </c>
      <c r="QG57" s="139">
        <f t="shared" si="248"/>
        <v>0</v>
      </c>
      <c r="QH57" s="139">
        <f t="shared" si="248"/>
        <v>0</v>
      </c>
      <c r="QI57" s="139">
        <f t="shared" si="248"/>
        <v>0</v>
      </c>
      <c r="QJ57" s="139">
        <f t="shared" si="248"/>
        <v>0</v>
      </c>
      <c r="QK57" s="139">
        <f t="shared" si="248"/>
        <v>0</v>
      </c>
      <c r="QL57" s="139">
        <f t="shared" si="248"/>
        <v>0</v>
      </c>
      <c r="QM57" s="139">
        <f t="shared" si="248"/>
        <v>0</v>
      </c>
      <c r="QN57" s="139">
        <f t="shared" si="248"/>
        <v>0</v>
      </c>
      <c r="QO57" s="139">
        <f>QO14/40</f>
        <v>0</v>
      </c>
      <c r="QP57" s="139">
        <f>QP14/100</f>
        <v>0</v>
      </c>
      <c r="QQ57" s="139">
        <f>QQ14/100</f>
        <v>0</v>
      </c>
      <c r="QR57" s="139">
        <f>QR14/40</f>
        <v>0</v>
      </c>
      <c r="QS57" s="139">
        <f>QS14/100</f>
        <v>0</v>
      </c>
      <c r="QT57" s="139">
        <f>QT14/100</f>
        <v>0</v>
      </c>
      <c r="RA57" s="139">
        <f t="shared" ref="RA57:RF57" si="249">RA14/100</f>
        <v>0</v>
      </c>
      <c r="RB57" s="139">
        <f t="shared" si="249"/>
        <v>0</v>
      </c>
      <c r="RC57" s="139">
        <f t="shared" si="249"/>
        <v>0</v>
      </c>
      <c r="RD57" s="139">
        <f t="shared" si="249"/>
        <v>0</v>
      </c>
      <c r="RE57" s="139">
        <f t="shared" si="249"/>
        <v>0</v>
      </c>
      <c r="RF57" s="139">
        <f t="shared" si="249"/>
        <v>0</v>
      </c>
      <c r="RG57" s="70"/>
      <c r="RM57" s="145"/>
      <c r="SB57" s="70">
        <f>SB14/40</f>
        <v>0</v>
      </c>
      <c r="SC57" s="70">
        <f>SC14/40</f>
        <v>0</v>
      </c>
      <c r="SD57" s="70">
        <f>SD14/40</f>
        <v>0</v>
      </c>
      <c r="SE57" s="70">
        <f t="shared" ref="SE57:SU57" si="250">SE14/100</f>
        <v>0</v>
      </c>
      <c r="SF57" s="70">
        <f t="shared" si="250"/>
        <v>0</v>
      </c>
      <c r="SG57" s="70">
        <f t="shared" si="250"/>
        <v>0</v>
      </c>
      <c r="SH57" s="70">
        <f t="shared" si="250"/>
        <v>0</v>
      </c>
      <c r="SI57" s="70">
        <f t="shared" si="250"/>
        <v>0</v>
      </c>
      <c r="SJ57" s="70">
        <f t="shared" si="250"/>
        <v>0</v>
      </c>
      <c r="SK57" s="70">
        <f t="shared" si="250"/>
        <v>0</v>
      </c>
      <c r="SL57" s="70">
        <f t="shared" si="250"/>
        <v>0</v>
      </c>
      <c r="SM57" s="70">
        <f t="shared" si="250"/>
        <v>0</v>
      </c>
      <c r="SN57" s="70">
        <f t="shared" si="250"/>
        <v>0</v>
      </c>
      <c r="SO57" s="70">
        <f t="shared" si="250"/>
        <v>0</v>
      </c>
      <c r="SP57" s="70">
        <f t="shared" si="250"/>
        <v>0</v>
      </c>
      <c r="SQ57" s="70">
        <f t="shared" si="250"/>
        <v>0</v>
      </c>
      <c r="SR57" s="70">
        <f t="shared" si="250"/>
        <v>0</v>
      </c>
      <c r="SS57" s="70">
        <f t="shared" si="250"/>
        <v>0</v>
      </c>
      <c r="ST57" s="70">
        <f t="shared" si="250"/>
        <v>0</v>
      </c>
      <c r="SU57" s="70">
        <f t="shared" si="250"/>
        <v>0</v>
      </c>
      <c r="SV57" s="139">
        <f>SV14/40</f>
        <v>0</v>
      </c>
      <c r="SW57" s="139">
        <f>SW14/40</f>
        <v>0</v>
      </c>
      <c r="SX57" s="70">
        <f t="shared" ref="SX57:TR57" si="251">SX14/100</f>
        <v>0</v>
      </c>
      <c r="SY57" s="70">
        <f t="shared" si="251"/>
        <v>0</v>
      </c>
      <c r="SZ57" s="70">
        <f t="shared" si="251"/>
        <v>0</v>
      </c>
      <c r="TA57" s="70">
        <f t="shared" si="251"/>
        <v>0</v>
      </c>
      <c r="TB57" s="70">
        <f t="shared" si="251"/>
        <v>0</v>
      </c>
      <c r="TC57" s="70">
        <f t="shared" si="251"/>
        <v>0</v>
      </c>
      <c r="TD57" s="70">
        <f t="shared" si="251"/>
        <v>0</v>
      </c>
      <c r="TE57" s="70">
        <f t="shared" si="251"/>
        <v>0</v>
      </c>
      <c r="TF57" s="70">
        <f t="shared" si="251"/>
        <v>0</v>
      </c>
      <c r="TG57" s="70">
        <f t="shared" si="251"/>
        <v>0</v>
      </c>
      <c r="TH57" s="70">
        <f t="shared" si="251"/>
        <v>0</v>
      </c>
      <c r="TI57" s="70">
        <f t="shared" si="251"/>
        <v>0</v>
      </c>
      <c r="TJ57" s="70">
        <f t="shared" si="251"/>
        <v>0</v>
      </c>
      <c r="TK57" s="70">
        <f t="shared" si="251"/>
        <v>0</v>
      </c>
      <c r="TL57" s="70">
        <f t="shared" si="251"/>
        <v>0</v>
      </c>
      <c r="TM57" s="70">
        <f t="shared" si="251"/>
        <v>0</v>
      </c>
      <c r="TN57" s="70">
        <f t="shared" si="251"/>
        <v>0</v>
      </c>
      <c r="TO57" s="70">
        <f t="shared" si="251"/>
        <v>0</v>
      </c>
      <c r="TP57" s="70">
        <f t="shared" si="251"/>
        <v>0</v>
      </c>
      <c r="TQ57" s="70">
        <f t="shared" si="251"/>
        <v>0</v>
      </c>
      <c r="TR57" s="70">
        <f t="shared" si="251"/>
        <v>0</v>
      </c>
      <c r="TS57" s="139">
        <f>TS14/40</f>
        <v>0</v>
      </c>
      <c r="TT57" s="70">
        <f t="shared" ref="TT57:UY57" si="252">TT14/100</f>
        <v>0</v>
      </c>
      <c r="TU57" s="70">
        <f t="shared" si="252"/>
        <v>0</v>
      </c>
      <c r="TV57" s="70">
        <f t="shared" si="252"/>
        <v>0</v>
      </c>
      <c r="TW57" s="70">
        <f t="shared" si="252"/>
        <v>0</v>
      </c>
      <c r="TX57" s="70">
        <f t="shared" si="252"/>
        <v>0</v>
      </c>
      <c r="TY57" s="70">
        <f t="shared" si="252"/>
        <v>0</v>
      </c>
      <c r="TZ57" s="70">
        <f t="shared" si="252"/>
        <v>0</v>
      </c>
      <c r="UA57" s="70">
        <f t="shared" si="252"/>
        <v>0</v>
      </c>
      <c r="UB57" s="70">
        <f t="shared" si="252"/>
        <v>0</v>
      </c>
      <c r="UC57" s="70">
        <f t="shared" si="252"/>
        <v>0</v>
      </c>
      <c r="UD57" s="70">
        <f t="shared" si="252"/>
        <v>0</v>
      </c>
      <c r="UE57" s="70">
        <f t="shared" si="252"/>
        <v>0</v>
      </c>
      <c r="UF57" s="70">
        <f t="shared" si="252"/>
        <v>0</v>
      </c>
      <c r="UG57" s="70">
        <f t="shared" si="252"/>
        <v>0</v>
      </c>
      <c r="UH57" s="70">
        <f t="shared" si="252"/>
        <v>0</v>
      </c>
      <c r="UI57" s="70">
        <f t="shared" si="252"/>
        <v>0</v>
      </c>
      <c r="UJ57" s="70">
        <f t="shared" si="252"/>
        <v>0</v>
      </c>
      <c r="UK57" s="70">
        <f t="shared" si="252"/>
        <v>0</v>
      </c>
      <c r="UL57" s="70">
        <f t="shared" si="252"/>
        <v>0</v>
      </c>
      <c r="UM57" s="70">
        <f t="shared" si="252"/>
        <v>0</v>
      </c>
      <c r="UN57" s="70">
        <f t="shared" si="252"/>
        <v>0</v>
      </c>
      <c r="UO57" s="70">
        <f t="shared" si="252"/>
        <v>0</v>
      </c>
      <c r="UP57" s="70">
        <f t="shared" si="252"/>
        <v>0</v>
      </c>
      <c r="UQ57" s="70">
        <f t="shared" si="252"/>
        <v>0</v>
      </c>
      <c r="UR57" s="70">
        <f t="shared" si="252"/>
        <v>0</v>
      </c>
      <c r="US57" s="70">
        <f t="shared" si="252"/>
        <v>0</v>
      </c>
      <c r="UT57" s="70">
        <f t="shared" si="252"/>
        <v>0</v>
      </c>
      <c r="UU57" s="70">
        <f t="shared" si="252"/>
        <v>0</v>
      </c>
      <c r="UV57" s="70">
        <f t="shared" si="252"/>
        <v>0</v>
      </c>
      <c r="UW57" s="70">
        <f t="shared" si="252"/>
        <v>0</v>
      </c>
      <c r="UX57" s="70">
        <f t="shared" si="252"/>
        <v>0</v>
      </c>
      <c r="UY57" s="70">
        <f t="shared" si="252"/>
        <v>0</v>
      </c>
      <c r="UZ57" s="70">
        <f t="shared" ref="UZ57:WE57" si="253">UZ14/100</f>
        <v>0</v>
      </c>
      <c r="VA57" s="70">
        <f t="shared" si="253"/>
        <v>0</v>
      </c>
      <c r="VB57" s="70">
        <f t="shared" si="253"/>
        <v>0</v>
      </c>
      <c r="VC57" s="70">
        <f t="shared" si="253"/>
        <v>0</v>
      </c>
      <c r="VD57" s="70">
        <f t="shared" si="253"/>
        <v>0</v>
      </c>
      <c r="VE57" s="70">
        <f t="shared" si="253"/>
        <v>0</v>
      </c>
      <c r="VF57" s="70">
        <f t="shared" si="253"/>
        <v>0</v>
      </c>
      <c r="VG57" s="70">
        <f t="shared" si="253"/>
        <v>0</v>
      </c>
      <c r="VH57" s="70">
        <f t="shared" si="253"/>
        <v>0</v>
      </c>
      <c r="VI57" s="70">
        <f t="shared" si="253"/>
        <v>0</v>
      </c>
      <c r="VJ57" s="70">
        <f t="shared" si="253"/>
        <v>0</v>
      </c>
      <c r="VK57" s="70">
        <f t="shared" si="253"/>
        <v>0</v>
      </c>
      <c r="VL57" s="70">
        <f t="shared" si="253"/>
        <v>0</v>
      </c>
      <c r="VM57" s="70">
        <f t="shared" si="253"/>
        <v>0</v>
      </c>
      <c r="VN57" s="70">
        <f t="shared" si="253"/>
        <v>0</v>
      </c>
      <c r="VO57" s="70">
        <f t="shared" si="253"/>
        <v>0</v>
      </c>
      <c r="VP57" s="70">
        <f t="shared" si="253"/>
        <v>0</v>
      </c>
      <c r="VQ57" s="70">
        <f t="shared" si="253"/>
        <v>0</v>
      </c>
      <c r="VR57" s="70">
        <f t="shared" si="253"/>
        <v>0</v>
      </c>
      <c r="VS57" s="70">
        <f t="shared" si="253"/>
        <v>0</v>
      </c>
      <c r="VT57" s="70">
        <f t="shared" si="253"/>
        <v>0</v>
      </c>
      <c r="VU57" s="70">
        <f t="shared" si="253"/>
        <v>0</v>
      </c>
      <c r="VV57" s="70">
        <f t="shared" si="253"/>
        <v>0</v>
      </c>
      <c r="VW57" s="70">
        <f t="shared" si="253"/>
        <v>0</v>
      </c>
      <c r="VX57" s="70">
        <f t="shared" si="253"/>
        <v>0</v>
      </c>
      <c r="VY57" s="70">
        <f t="shared" si="253"/>
        <v>0</v>
      </c>
      <c r="VZ57" s="70">
        <f t="shared" si="253"/>
        <v>0</v>
      </c>
      <c r="WA57" s="70">
        <f t="shared" si="253"/>
        <v>0</v>
      </c>
      <c r="WB57" s="70">
        <f t="shared" si="253"/>
        <v>0</v>
      </c>
      <c r="WC57" s="70">
        <f t="shared" si="253"/>
        <v>0</v>
      </c>
      <c r="WD57" s="70">
        <f t="shared" si="253"/>
        <v>0</v>
      </c>
      <c r="WE57" s="70">
        <f t="shared" si="253"/>
        <v>0</v>
      </c>
      <c r="WF57" s="70">
        <f t="shared" ref="WF57:WS57" si="254">WF14/100</f>
        <v>0</v>
      </c>
      <c r="WG57" s="70">
        <f t="shared" si="254"/>
        <v>0</v>
      </c>
      <c r="WH57" s="70">
        <f t="shared" si="254"/>
        <v>0</v>
      </c>
      <c r="WI57" s="70">
        <f t="shared" si="254"/>
        <v>0</v>
      </c>
      <c r="WJ57" s="70">
        <f t="shared" si="254"/>
        <v>0</v>
      </c>
      <c r="WK57" s="70">
        <f t="shared" si="254"/>
        <v>0</v>
      </c>
      <c r="WL57" s="70">
        <f t="shared" si="254"/>
        <v>0</v>
      </c>
      <c r="WM57" s="70">
        <f t="shared" si="254"/>
        <v>0</v>
      </c>
      <c r="WN57" s="70">
        <f t="shared" si="254"/>
        <v>0</v>
      </c>
      <c r="WO57" s="70">
        <f t="shared" si="254"/>
        <v>0</v>
      </c>
      <c r="WP57" s="70">
        <f t="shared" si="254"/>
        <v>0</v>
      </c>
      <c r="WQ57" s="70">
        <f t="shared" si="254"/>
        <v>0</v>
      </c>
      <c r="WR57" s="70">
        <f t="shared" si="254"/>
        <v>0</v>
      </c>
      <c r="WS57" s="70">
        <f t="shared" si="254"/>
        <v>0</v>
      </c>
    </row>
    <row r="58" spans="1:830" hidden="1" x14ac:dyDescent="0.25">
      <c r="F58" s="32"/>
      <c r="M58" t="s">
        <v>105</v>
      </c>
      <c r="N58" s="139">
        <f t="shared" ref="N58:AS58" si="255">N17/40</f>
        <v>0</v>
      </c>
      <c r="O58" s="139">
        <f t="shared" si="255"/>
        <v>0</v>
      </c>
      <c r="P58" s="139">
        <f t="shared" si="255"/>
        <v>0</v>
      </c>
      <c r="Q58" s="139">
        <f t="shared" si="255"/>
        <v>0</v>
      </c>
      <c r="R58" s="139">
        <f t="shared" si="255"/>
        <v>0</v>
      </c>
      <c r="S58" s="139">
        <f t="shared" si="255"/>
        <v>0</v>
      </c>
      <c r="T58" s="139">
        <f t="shared" si="255"/>
        <v>0</v>
      </c>
      <c r="U58" s="139">
        <f t="shared" si="255"/>
        <v>0</v>
      </c>
      <c r="V58" s="139">
        <f t="shared" si="255"/>
        <v>0</v>
      </c>
      <c r="W58" s="139">
        <f t="shared" si="255"/>
        <v>0</v>
      </c>
      <c r="X58" s="139">
        <f t="shared" si="255"/>
        <v>0</v>
      </c>
      <c r="Y58" s="139">
        <f t="shared" si="255"/>
        <v>0</v>
      </c>
      <c r="Z58" s="139">
        <f t="shared" si="255"/>
        <v>0</v>
      </c>
      <c r="AA58" s="139">
        <f t="shared" si="255"/>
        <v>0</v>
      </c>
      <c r="AB58" s="139">
        <f t="shared" si="255"/>
        <v>0</v>
      </c>
      <c r="AC58" s="139">
        <f t="shared" si="255"/>
        <v>0</v>
      </c>
      <c r="AD58" s="139">
        <f t="shared" si="255"/>
        <v>0</v>
      </c>
      <c r="AE58" s="139">
        <f t="shared" si="255"/>
        <v>0</v>
      </c>
      <c r="AF58" s="139">
        <f t="shared" si="255"/>
        <v>0</v>
      </c>
      <c r="AG58" s="139">
        <f t="shared" si="255"/>
        <v>0</v>
      </c>
      <c r="AH58" s="139">
        <f t="shared" si="255"/>
        <v>0</v>
      </c>
      <c r="AI58" s="139">
        <f t="shared" si="255"/>
        <v>0</v>
      </c>
      <c r="AJ58" s="139">
        <f t="shared" si="255"/>
        <v>0</v>
      </c>
      <c r="AK58" s="139">
        <f t="shared" si="255"/>
        <v>0</v>
      </c>
      <c r="AL58" s="139">
        <f t="shared" si="255"/>
        <v>0</v>
      </c>
      <c r="AM58" s="139">
        <f t="shared" si="255"/>
        <v>0</v>
      </c>
      <c r="AN58" s="139">
        <f t="shared" si="255"/>
        <v>0</v>
      </c>
      <c r="AO58" s="139">
        <f t="shared" si="255"/>
        <v>0</v>
      </c>
      <c r="AP58" s="139">
        <f t="shared" si="255"/>
        <v>0</v>
      </c>
      <c r="AQ58" s="139">
        <f t="shared" si="255"/>
        <v>0</v>
      </c>
      <c r="AR58" s="139">
        <f t="shared" si="255"/>
        <v>0</v>
      </c>
      <c r="AS58" s="139">
        <f t="shared" si="255"/>
        <v>0</v>
      </c>
      <c r="AT58" s="139">
        <f t="shared" ref="AT58:BY58" si="256">AT17/40</f>
        <v>0</v>
      </c>
      <c r="AU58" s="139">
        <f t="shared" si="256"/>
        <v>0</v>
      </c>
      <c r="AV58" s="139">
        <f t="shared" si="256"/>
        <v>0</v>
      </c>
      <c r="AW58" s="139">
        <f t="shared" si="256"/>
        <v>0</v>
      </c>
      <c r="AX58" s="139">
        <f t="shared" si="256"/>
        <v>0</v>
      </c>
      <c r="AY58" s="139">
        <f t="shared" si="256"/>
        <v>0</v>
      </c>
      <c r="AZ58" s="139">
        <f t="shared" si="256"/>
        <v>0</v>
      </c>
      <c r="BA58" s="139">
        <f t="shared" si="256"/>
        <v>0</v>
      </c>
      <c r="BB58" s="139">
        <f t="shared" si="256"/>
        <v>0</v>
      </c>
      <c r="BC58" s="139">
        <f t="shared" si="256"/>
        <v>0</v>
      </c>
      <c r="BD58" s="139">
        <f t="shared" si="256"/>
        <v>0</v>
      </c>
      <c r="BE58" s="139">
        <f t="shared" si="256"/>
        <v>0</v>
      </c>
      <c r="BF58" s="139">
        <f t="shared" si="256"/>
        <v>0</v>
      </c>
      <c r="BG58" s="139">
        <f t="shared" si="256"/>
        <v>0</v>
      </c>
      <c r="BH58" s="139">
        <f t="shared" si="256"/>
        <v>0</v>
      </c>
      <c r="BI58" s="139">
        <f t="shared" si="256"/>
        <v>0</v>
      </c>
      <c r="BJ58" s="139">
        <f t="shared" si="256"/>
        <v>0</v>
      </c>
      <c r="BK58" s="139">
        <f t="shared" si="256"/>
        <v>0</v>
      </c>
      <c r="BL58" s="139">
        <f t="shared" si="256"/>
        <v>0</v>
      </c>
      <c r="BM58" s="139">
        <f t="shared" si="256"/>
        <v>0</v>
      </c>
      <c r="BN58" s="139">
        <f t="shared" si="256"/>
        <v>0</v>
      </c>
      <c r="BO58" s="139">
        <f t="shared" si="256"/>
        <v>0</v>
      </c>
      <c r="BP58" s="139">
        <f t="shared" si="256"/>
        <v>0</v>
      </c>
      <c r="BQ58" s="139">
        <f t="shared" si="256"/>
        <v>0</v>
      </c>
      <c r="BR58" s="139">
        <f t="shared" si="256"/>
        <v>0</v>
      </c>
      <c r="BS58" s="139">
        <f t="shared" si="256"/>
        <v>0</v>
      </c>
      <c r="BT58" s="139">
        <f t="shared" si="256"/>
        <v>0</v>
      </c>
      <c r="BU58" s="139">
        <f t="shared" si="256"/>
        <v>0</v>
      </c>
      <c r="BV58" s="139">
        <f t="shared" si="256"/>
        <v>0</v>
      </c>
      <c r="BW58" s="139">
        <f t="shared" si="256"/>
        <v>0</v>
      </c>
      <c r="BX58" s="139">
        <f t="shared" si="256"/>
        <v>0</v>
      </c>
      <c r="BY58" s="139">
        <f t="shared" si="256"/>
        <v>0</v>
      </c>
      <c r="BZ58" s="139">
        <f t="shared" ref="BZ58:CI58" si="257">BZ17/40</f>
        <v>0</v>
      </c>
      <c r="CA58" s="139">
        <f t="shared" si="257"/>
        <v>0</v>
      </c>
      <c r="CB58" s="139">
        <f t="shared" si="257"/>
        <v>0</v>
      </c>
      <c r="CC58" s="139">
        <f t="shared" si="257"/>
        <v>0</v>
      </c>
      <c r="CD58" s="139">
        <f t="shared" si="257"/>
        <v>0</v>
      </c>
      <c r="CE58" s="139">
        <f t="shared" si="257"/>
        <v>0</v>
      </c>
      <c r="CF58" s="139">
        <f t="shared" si="257"/>
        <v>0</v>
      </c>
      <c r="CG58" s="139">
        <f t="shared" si="257"/>
        <v>0</v>
      </c>
      <c r="CH58" s="139">
        <f t="shared" si="257"/>
        <v>0</v>
      </c>
      <c r="CI58" s="139">
        <f t="shared" si="257"/>
        <v>0</v>
      </c>
      <c r="CJ58" s="139">
        <f t="shared" ref="CJ58:DO58" si="258">CJ17/100</f>
        <v>0</v>
      </c>
      <c r="CK58" s="139">
        <f t="shared" si="258"/>
        <v>0</v>
      </c>
      <c r="CL58" s="139">
        <f t="shared" si="258"/>
        <v>0</v>
      </c>
      <c r="CM58" s="139">
        <f t="shared" si="258"/>
        <v>0</v>
      </c>
      <c r="CN58" s="139">
        <f t="shared" si="258"/>
        <v>0</v>
      </c>
      <c r="CO58" s="139">
        <f t="shared" si="258"/>
        <v>0</v>
      </c>
      <c r="CP58" s="139">
        <f t="shared" si="258"/>
        <v>0</v>
      </c>
      <c r="CQ58" s="139">
        <f t="shared" si="258"/>
        <v>0</v>
      </c>
      <c r="CR58" s="139">
        <f t="shared" si="258"/>
        <v>0</v>
      </c>
      <c r="CS58" s="139">
        <f t="shared" si="258"/>
        <v>0</v>
      </c>
      <c r="CT58" s="139">
        <f t="shared" si="258"/>
        <v>0</v>
      </c>
      <c r="CU58" s="139">
        <f t="shared" si="258"/>
        <v>0</v>
      </c>
      <c r="CV58" s="139">
        <f t="shared" si="258"/>
        <v>0</v>
      </c>
      <c r="CW58" s="139">
        <f t="shared" si="258"/>
        <v>0</v>
      </c>
      <c r="CX58" s="139">
        <f t="shared" si="258"/>
        <v>0</v>
      </c>
      <c r="CY58" s="139">
        <f t="shared" si="258"/>
        <v>0</v>
      </c>
      <c r="CZ58" s="139">
        <f t="shared" si="258"/>
        <v>0</v>
      </c>
      <c r="DA58" s="139">
        <f t="shared" si="258"/>
        <v>0</v>
      </c>
      <c r="DB58" s="139">
        <f t="shared" si="258"/>
        <v>0</v>
      </c>
      <c r="DC58" s="139">
        <f t="shared" si="258"/>
        <v>0</v>
      </c>
      <c r="DD58" s="139">
        <f t="shared" si="258"/>
        <v>0</v>
      </c>
      <c r="DE58" s="139">
        <f t="shared" si="258"/>
        <v>0</v>
      </c>
      <c r="DF58" s="139">
        <f t="shared" si="258"/>
        <v>0</v>
      </c>
      <c r="DG58" s="139">
        <f t="shared" si="258"/>
        <v>0</v>
      </c>
      <c r="DH58" s="139">
        <f t="shared" si="258"/>
        <v>0</v>
      </c>
      <c r="DI58" s="139">
        <f t="shared" si="258"/>
        <v>0</v>
      </c>
      <c r="DJ58" s="139">
        <f t="shared" si="258"/>
        <v>0</v>
      </c>
      <c r="DK58" s="139">
        <f t="shared" si="258"/>
        <v>0</v>
      </c>
      <c r="DL58" s="139">
        <f t="shared" si="258"/>
        <v>0</v>
      </c>
      <c r="DM58" s="139">
        <f t="shared" si="258"/>
        <v>0</v>
      </c>
      <c r="DN58" s="139">
        <f t="shared" si="258"/>
        <v>0</v>
      </c>
      <c r="DO58" s="139">
        <f t="shared" si="258"/>
        <v>0</v>
      </c>
      <c r="DP58" s="139">
        <f t="shared" ref="DP58:EU58" si="259">DP17/100</f>
        <v>0</v>
      </c>
      <c r="DQ58" s="139">
        <f t="shared" si="259"/>
        <v>0</v>
      </c>
      <c r="DR58" s="139">
        <f t="shared" si="259"/>
        <v>0</v>
      </c>
      <c r="DS58" s="139">
        <f t="shared" si="259"/>
        <v>0</v>
      </c>
      <c r="DT58" s="139">
        <f t="shared" si="259"/>
        <v>0</v>
      </c>
      <c r="DU58" s="139">
        <f t="shared" si="259"/>
        <v>0</v>
      </c>
      <c r="DV58" s="139">
        <f t="shared" si="259"/>
        <v>0</v>
      </c>
      <c r="DW58" s="139">
        <f t="shared" si="259"/>
        <v>0</v>
      </c>
      <c r="DX58" s="139">
        <f t="shared" si="259"/>
        <v>0</v>
      </c>
      <c r="DY58" s="139">
        <f t="shared" si="259"/>
        <v>0</v>
      </c>
      <c r="DZ58" s="139">
        <f t="shared" si="259"/>
        <v>0</v>
      </c>
      <c r="EA58" s="139">
        <f t="shared" si="259"/>
        <v>0</v>
      </c>
      <c r="EB58" s="139">
        <f t="shared" si="259"/>
        <v>0</v>
      </c>
      <c r="EC58" s="139">
        <f t="shared" si="259"/>
        <v>0</v>
      </c>
      <c r="ED58" s="139">
        <f t="shared" si="259"/>
        <v>0</v>
      </c>
      <c r="EE58" s="139">
        <f t="shared" si="259"/>
        <v>0</v>
      </c>
      <c r="EF58" s="139">
        <f t="shared" si="259"/>
        <v>0</v>
      </c>
      <c r="EG58" s="139">
        <f t="shared" si="259"/>
        <v>0</v>
      </c>
      <c r="EH58" s="139">
        <f t="shared" si="259"/>
        <v>0</v>
      </c>
      <c r="EI58" s="139">
        <f t="shared" si="259"/>
        <v>0</v>
      </c>
      <c r="EJ58" s="139">
        <f t="shared" si="259"/>
        <v>0</v>
      </c>
      <c r="EK58" s="139">
        <f t="shared" si="259"/>
        <v>0</v>
      </c>
      <c r="EL58" s="139">
        <f t="shared" si="259"/>
        <v>0</v>
      </c>
      <c r="EM58" s="139">
        <f t="shared" si="259"/>
        <v>0</v>
      </c>
      <c r="EN58" s="139">
        <f t="shared" si="259"/>
        <v>0</v>
      </c>
      <c r="EO58" s="139">
        <f t="shared" si="259"/>
        <v>0</v>
      </c>
      <c r="EP58" s="139">
        <f t="shared" si="259"/>
        <v>0</v>
      </c>
      <c r="EQ58" s="139">
        <f t="shared" si="259"/>
        <v>0</v>
      </c>
      <c r="ER58" s="139">
        <f t="shared" si="259"/>
        <v>0</v>
      </c>
      <c r="ES58" s="139">
        <f t="shared" si="259"/>
        <v>0</v>
      </c>
      <c r="ET58" s="139">
        <f t="shared" si="259"/>
        <v>0</v>
      </c>
      <c r="EU58" s="139">
        <f t="shared" si="259"/>
        <v>0</v>
      </c>
      <c r="EV58" s="139">
        <f t="shared" ref="EV58:GA58" si="260">EV17/100</f>
        <v>0</v>
      </c>
      <c r="EW58" s="139">
        <f t="shared" si="260"/>
        <v>0</v>
      </c>
      <c r="EX58" s="139">
        <f t="shared" si="260"/>
        <v>0</v>
      </c>
      <c r="EY58" s="139">
        <f t="shared" si="260"/>
        <v>0</v>
      </c>
      <c r="EZ58" s="139">
        <f t="shared" si="260"/>
        <v>0</v>
      </c>
      <c r="FA58" s="139">
        <f t="shared" si="260"/>
        <v>0</v>
      </c>
      <c r="FB58" s="139">
        <f t="shared" si="260"/>
        <v>0</v>
      </c>
      <c r="FC58" s="139">
        <f t="shared" si="260"/>
        <v>0</v>
      </c>
      <c r="FD58" s="139">
        <f t="shared" si="260"/>
        <v>0</v>
      </c>
      <c r="FE58" s="139">
        <f t="shared" si="260"/>
        <v>0</v>
      </c>
      <c r="FF58" s="139">
        <f t="shared" si="260"/>
        <v>0</v>
      </c>
      <c r="FG58" s="139">
        <f t="shared" si="260"/>
        <v>0</v>
      </c>
      <c r="FH58" s="139">
        <f t="shared" si="260"/>
        <v>0</v>
      </c>
      <c r="FI58" s="139">
        <f t="shared" si="260"/>
        <v>0</v>
      </c>
      <c r="FJ58" s="139">
        <f t="shared" si="260"/>
        <v>0</v>
      </c>
      <c r="FK58" s="139">
        <f t="shared" si="260"/>
        <v>0</v>
      </c>
      <c r="FL58" s="139">
        <f t="shared" si="260"/>
        <v>0</v>
      </c>
      <c r="FM58" s="139">
        <f t="shared" si="260"/>
        <v>0</v>
      </c>
      <c r="FN58" s="139">
        <f t="shared" si="260"/>
        <v>0</v>
      </c>
      <c r="FO58" s="139">
        <f t="shared" si="260"/>
        <v>0</v>
      </c>
      <c r="FP58" s="139">
        <f t="shared" si="260"/>
        <v>0</v>
      </c>
      <c r="FQ58" s="139">
        <f t="shared" si="260"/>
        <v>0</v>
      </c>
      <c r="FR58" s="139">
        <f t="shared" si="260"/>
        <v>0</v>
      </c>
      <c r="FS58" s="139">
        <f t="shared" si="260"/>
        <v>0</v>
      </c>
      <c r="FT58" s="139">
        <f t="shared" si="260"/>
        <v>0</v>
      </c>
      <c r="FU58" s="139">
        <f t="shared" si="260"/>
        <v>0</v>
      </c>
      <c r="FV58" s="139">
        <f t="shared" si="260"/>
        <v>0</v>
      </c>
      <c r="FW58" s="139">
        <f t="shared" si="260"/>
        <v>0</v>
      </c>
      <c r="FX58" s="139">
        <f t="shared" si="260"/>
        <v>0</v>
      </c>
      <c r="FY58" s="139">
        <f t="shared" si="260"/>
        <v>0</v>
      </c>
      <c r="FZ58" s="139">
        <f t="shared" si="260"/>
        <v>0</v>
      </c>
      <c r="GA58" s="139">
        <f t="shared" si="260"/>
        <v>0</v>
      </c>
      <c r="GB58" s="139">
        <f t="shared" ref="GB58:HA58" si="261">GB17/100</f>
        <v>0</v>
      </c>
      <c r="GC58" s="139">
        <f t="shared" si="261"/>
        <v>0</v>
      </c>
      <c r="GD58" s="139">
        <f t="shared" si="261"/>
        <v>0</v>
      </c>
      <c r="GE58" s="139">
        <f t="shared" si="261"/>
        <v>0</v>
      </c>
      <c r="GF58" s="139">
        <f t="shared" si="261"/>
        <v>0</v>
      </c>
      <c r="GG58" s="139">
        <f t="shared" si="261"/>
        <v>0</v>
      </c>
      <c r="GH58" s="139">
        <f t="shared" si="261"/>
        <v>0</v>
      </c>
      <c r="GI58" s="139">
        <f t="shared" si="261"/>
        <v>0</v>
      </c>
      <c r="GJ58" s="139">
        <f t="shared" si="261"/>
        <v>0</v>
      </c>
      <c r="GK58" s="139">
        <f t="shared" si="261"/>
        <v>0</v>
      </c>
      <c r="GL58" s="139">
        <f t="shared" si="261"/>
        <v>0</v>
      </c>
      <c r="GM58" s="139">
        <f t="shared" si="261"/>
        <v>0</v>
      </c>
      <c r="GN58" s="139">
        <f t="shared" si="261"/>
        <v>0</v>
      </c>
      <c r="GO58" s="139">
        <f t="shared" si="261"/>
        <v>0</v>
      </c>
      <c r="GP58" s="139">
        <f t="shared" si="261"/>
        <v>0</v>
      </c>
      <c r="GQ58" s="139">
        <f t="shared" si="261"/>
        <v>0</v>
      </c>
      <c r="GR58" s="139">
        <f t="shared" si="261"/>
        <v>0</v>
      </c>
      <c r="GS58" s="139">
        <f t="shared" si="261"/>
        <v>0</v>
      </c>
      <c r="GT58" s="139">
        <f t="shared" si="261"/>
        <v>0</v>
      </c>
      <c r="GU58" s="139">
        <f t="shared" si="261"/>
        <v>0</v>
      </c>
      <c r="GV58" s="139">
        <f t="shared" si="261"/>
        <v>0</v>
      </c>
      <c r="GW58" s="139">
        <f t="shared" si="261"/>
        <v>0</v>
      </c>
      <c r="GX58" s="139">
        <f t="shared" si="261"/>
        <v>0</v>
      </c>
      <c r="GY58" s="139">
        <f t="shared" si="261"/>
        <v>0</v>
      </c>
      <c r="GZ58" s="139">
        <f t="shared" si="261"/>
        <v>0</v>
      </c>
      <c r="HA58" s="139">
        <f t="shared" si="261"/>
        <v>0</v>
      </c>
      <c r="HB58" s="139">
        <f t="shared" ref="HB58:II58" si="262">HB17/40</f>
        <v>0</v>
      </c>
      <c r="HC58" s="139">
        <f t="shared" si="262"/>
        <v>0</v>
      </c>
      <c r="HD58" s="139">
        <f t="shared" si="262"/>
        <v>0</v>
      </c>
      <c r="HE58" s="139">
        <f t="shared" si="262"/>
        <v>0</v>
      </c>
      <c r="HF58" s="139">
        <f t="shared" si="262"/>
        <v>0</v>
      </c>
      <c r="HG58" s="139">
        <f t="shared" si="262"/>
        <v>0</v>
      </c>
      <c r="HH58" s="139">
        <f t="shared" si="262"/>
        <v>0</v>
      </c>
      <c r="HI58" s="139">
        <f t="shared" si="262"/>
        <v>0</v>
      </c>
      <c r="HJ58" s="139">
        <f t="shared" si="262"/>
        <v>0</v>
      </c>
      <c r="HK58" s="139">
        <f t="shared" si="262"/>
        <v>0</v>
      </c>
      <c r="HL58" s="139">
        <f t="shared" si="262"/>
        <v>0</v>
      </c>
      <c r="HM58" s="139">
        <f t="shared" si="262"/>
        <v>0</v>
      </c>
      <c r="HN58" s="139">
        <f t="shared" si="262"/>
        <v>0</v>
      </c>
      <c r="HO58" s="139">
        <f t="shared" si="262"/>
        <v>0</v>
      </c>
      <c r="HP58" s="139">
        <f t="shared" si="262"/>
        <v>0</v>
      </c>
      <c r="HQ58" s="139">
        <f t="shared" si="262"/>
        <v>0</v>
      </c>
      <c r="HR58" s="139">
        <f t="shared" si="262"/>
        <v>0</v>
      </c>
      <c r="HS58" s="139">
        <f t="shared" si="262"/>
        <v>0</v>
      </c>
      <c r="HT58" s="139">
        <f t="shared" si="262"/>
        <v>0</v>
      </c>
      <c r="HU58" s="139">
        <f t="shared" si="262"/>
        <v>0</v>
      </c>
      <c r="HV58" s="139">
        <f t="shared" si="262"/>
        <v>0</v>
      </c>
      <c r="HW58" s="139">
        <f t="shared" si="262"/>
        <v>0</v>
      </c>
      <c r="HX58" s="139">
        <f t="shared" si="262"/>
        <v>0</v>
      </c>
      <c r="HY58" s="139">
        <f t="shared" si="262"/>
        <v>0</v>
      </c>
      <c r="HZ58" s="139">
        <f t="shared" si="262"/>
        <v>0</v>
      </c>
      <c r="IA58" s="139">
        <f t="shared" si="262"/>
        <v>0</v>
      </c>
      <c r="IB58" s="139">
        <f t="shared" si="262"/>
        <v>0</v>
      </c>
      <c r="IC58" s="139">
        <f t="shared" si="262"/>
        <v>0</v>
      </c>
      <c r="ID58" s="139">
        <f t="shared" si="262"/>
        <v>0</v>
      </c>
      <c r="IE58" s="139">
        <f t="shared" si="262"/>
        <v>0</v>
      </c>
      <c r="IF58" s="139">
        <f t="shared" si="262"/>
        <v>0</v>
      </c>
      <c r="IG58" s="139">
        <f t="shared" si="262"/>
        <v>0</v>
      </c>
      <c r="IH58" s="139">
        <f t="shared" si="262"/>
        <v>0</v>
      </c>
      <c r="II58" s="139">
        <f t="shared" si="262"/>
        <v>0</v>
      </c>
      <c r="IJ58" s="139">
        <f t="shared" ref="IJ58:JM58" si="263">IJ17/100</f>
        <v>0</v>
      </c>
      <c r="IK58" s="139">
        <f t="shared" si="263"/>
        <v>0</v>
      </c>
      <c r="IL58" s="139">
        <f t="shared" si="263"/>
        <v>0</v>
      </c>
      <c r="IM58" s="139">
        <f t="shared" si="263"/>
        <v>0</v>
      </c>
      <c r="IN58" s="139">
        <f t="shared" si="263"/>
        <v>0</v>
      </c>
      <c r="IO58" s="139">
        <f t="shared" si="263"/>
        <v>0</v>
      </c>
      <c r="IP58" s="139">
        <f t="shared" si="263"/>
        <v>0</v>
      </c>
      <c r="IQ58" s="139">
        <f t="shared" si="263"/>
        <v>0</v>
      </c>
      <c r="IR58" s="139">
        <f t="shared" si="263"/>
        <v>0</v>
      </c>
      <c r="IS58" s="139">
        <f t="shared" si="263"/>
        <v>0</v>
      </c>
      <c r="IT58" s="139">
        <f t="shared" si="263"/>
        <v>0</v>
      </c>
      <c r="IU58" s="139">
        <f t="shared" si="263"/>
        <v>0</v>
      </c>
      <c r="IV58" s="139">
        <f t="shared" si="263"/>
        <v>0</v>
      </c>
      <c r="IW58" s="139">
        <f t="shared" si="263"/>
        <v>0</v>
      </c>
      <c r="IX58" s="139">
        <f t="shared" si="263"/>
        <v>0</v>
      </c>
      <c r="IY58" s="139">
        <f t="shared" si="263"/>
        <v>0</v>
      </c>
      <c r="IZ58" s="139">
        <f t="shared" si="263"/>
        <v>0</v>
      </c>
      <c r="JA58" s="139">
        <f t="shared" si="263"/>
        <v>0</v>
      </c>
      <c r="JB58" s="139">
        <f t="shared" si="263"/>
        <v>0</v>
      </c>
      <c r="JC58" s="139">
        <f t="shared" si="263"/>
        <v>0</v>
      </c>
      <c r="JD58" s="139">
        <f t="shared" si="263"/>
        <v>0</v>
      </c>
      <c r="JE58" s="139">
        <f t="shared" si="263"/>
        <v>0</v>
      </c>
      <c r="JF58" s="139">
        <f t="shared" si="263"/>
        <v>0</v>
      </c>
      <c r="JG58" s="139">
        <f t="shared" si="263"/>
        <v>0</v>
      </c>
      <c r="JH58" s="139">
        <f t="shared" si="263"/>
        <v>0</v>
      </c>
      <c r="JI58" s="139">
        <f t="shared" si="263"/>
        <v>0</v>
      </c>
      <c r="JJ58" s="139">
        <f t="shared" si="263"/>
        <v>0</v>
      </c>
      <c r="JK58" s="139">
        <f t="shared" si="263"/>
        <v>0</v>
      </c>
      <c r="JL58" s="139">
        <f t="shared" si="263"/>
        <v>0</v>
      </c>
      <c r="JM58" s="139">
        <f t="shared" si="263"/>
        <v>0</v>
      </c>
      <c r="JN58" s="139">
        <f t="shared" ref="JN58:JS58" si="264">JN17/40</f>
        <v>0</v>
      </c>
      <c r="JO58" s="139">
        <f t="shared" si="264"/>
        <v>0</v>
      </c>
      <c r="JP58" s="139">
        <f t="shared" si="264"/>
        <v>0</v>
      </c>
      <c r="JQ58" s="139">
        <f t="shared" si="264"/>
        <v>0</v>
      </c>
      <c r="JR58" s="139">
        <f t="shared" si="264"/>
        <v>0</v>
      </c>
      <c r="JS58" s="139">
        <f t="shared" si="264"/>
        <v>0</v>
      </c>
      <c r="JT58" s="139">
        <f t="shared" ref="JT58:JY58" si="265">JT17/100</f>
        <v>0</v>
      </c>
      <c r="JU58" s="139">
        <f t="shared" si="265"/>
        <v>0</v>
      </c>
      <c r="JV58" s="139">
        <f t="shared" si="265"/>
        <v>0</v>
      </c>
      <c r="JW58" s="139">
        <f t="shared" si="265"/>
        <v>0</v>
      </c>
      <c r="JX58" s="139">
        <f t="shared" si="265"/>
        <v>0</v>
      </c>
      <c r="JY58" s="139">
        <f t="shared" si="265"/>
        <v>0</v>
      </c>
      <c r="JZ58" s="139">
        <f t="shared" ref="JZ58:KY58" si="266">JZ17/40</f>
        <v>0</v>
      </c>
      <c r="KA58" s="139">
        <f t="shared" si="266"/>
        <v>0</v>
      </c>
      <c r="KB58" s="139">
        <f t="shared" si="266"/>
        <v>0</v>
      </c>
      <c r="KC58" s="139">
        <f t="shared" si="266"/>
        <v>0</v>
      </c>
      <c r="KD58" s="139">
        <f t="shared" si="266"/>
        <v>0</v>
      </c>
      <c r="KE58" s="139">
        <f t="shared" si="266"/>
        <v>0</v>
      </c>
      <c r="KF58" s="139">
        <f t="shared" si="266"/>
        <v>0</v>
      </c>
      <c r="KG58" s="139">
        <f t="shared" si="266"/>
        <v>0</v>
      </c>
      <c r="KH58" s="139">
        <f t="shared" si="266"/>
        <v>0</v>
      </c>
      <c r="KI58" s="139">
        <f t="shared" si="266"/>
        <v>0</v>
      </c>
      <c r="KJ58" s="139">
        <f t="shared" si="266"/>
        <v>0</v>
      </c>
      <c r="KK58" s="139">
        <f t="shared" si="266"/>
        <v>0</v>
      </c>
      <c r="KL58" s="139">
        <f t="shared" si="266"/>
        <v>0</v>
      </c>
      <c r="KM58" s="139">
        <f t="shared" si="266"/>
        <v>0</v>
      </c>
      <c r="KN58" s="139">
        <f t="shared" si="266"/>
        <v>0</v>
      </c>
      <c r="KO58" s="139">
        <f t="shared" si="266"/>
        <v>0</v>
      </c>
      <c r="KP58" s="139">
        <f t="shared" si="266"/>
        <v>0</v>
      </c>
      <c r="KQ58" s="139">
        <f t="shared" si="266"/>
        <v>0</v>
      </c>
      <c r="KR58" s="139">
        <f t="shared" si="266"/>
        <v>0</v>
      </c>
      <c r="KS58" s="139">
        <f t="shared" si="266"/>
        <v>0</v>
      </c>
      <c r="KT58" s="139">
        <f t="shared" si="266"/>
        <v>0</v>
      </c>
      <c r="KU58" s="139">
        <f t="shared" si="266"/>
        <v>0</v>
      </c>
      <c r="KV58" s="139">
        <f t="shared" si="266"/>
        <v>0</v>
      </c>
      <c r="KW58" s="139">
        <f t="shared" si="266"/>
        <v>0</v>
      </c>
      <c r="KX58" s="139">
        <f t="shared" si="266"/>
        <v>0</v>
      </c>
      <c r="KY58" s="139">
        <f t="shared" si="266"/>
        <v>0</v>
      </c>
      <c r="KZ58" s="139">
        <f t="shared" ref="KZ58:ME58" si="267">KZ17/100</f>
        <v>0</v>
      </c>
      <c r="LA58" s="139">
        <f t="shared" si="267"/>
        <v>0</v>
      </c>
      <c r="LB58" s="139">
        <f t="shared" si="267"/>
        <v>0</v>
      </c>
      <c r="LC58" s="139">
        <f t="shared" si="267"/>
        <v>0</v>
      </c>
      <c r="LD58" s="139">
        <f t="shared" si="267"/>
        <v>0</v>
      </c>
      <c r="LE58" s="139">
        <f t="shared" si="267"/>
        <v>0</v>
      </c>
      <c r="LF58" s="139">
        <f t="shared" si="267"/>
        <v>0</v>
      </c>
      <c r="LG58" s="139">
        <f t="shared" si="267"/>
        <v>0</v>
      </c>
      <c r="LH58" s="139">
        <f t="shared" si="267"/>
        <v>0</v>
      </c>
      <c r="LI58" s="139">
        <f t="shared" si="267"/>
        <v>0</v>
      </c>
      <c r="LJ58" s="139">
        <f t="shared" si="267"/>
        <v>0</v>
      </c>
      <c r="LK58" s="139">
        <f t="shared" si="267"/>
        <v>0</v>
      </c>
      <c r="LL58" s="139">
        <f t="shared" si="267"/>
        <v>0</v>
      </c>
      <c r="LM58" s="139">
        <f t="shared" si="267"/>
        <v>0</v>
      </c>
      <c r="LN58" s="139">
        <f t="shared" si="267"/>
        <v>0</v>
      </c>
      <c r="LO58" s="139">
        <f t="shared" si="267"/>
        <v>0</v>
      </c>
      <c r="LP58" s="139">
        <f t="shared" si="267"/>
        <v>0</v>
      </c>
      <c r="LQ58" s="139">
        <f t="shared" si="267"/>
        <v>0</v>
      </c>
      <c r="LR58" s="139">
        <f t="shared" si="267"/>
        <v>0</v>
      </c>
      <c r="LS58" s="139">
        <f t="shared" si="267"/>
        <v>0</v>
      </c>
      <c r="LT58" s="139">
        <f t="shared" si="267"/>
        <v>0</v>
      </c>
      <c r="LU58" s="139">
        <f t="shared" si="267"/>
        <v>0</v>
      </c>
      <c r="LV58" s="139">
        <f t="shared" si="267"/>
        <v>0</v>
      </c>
      <c r="LW58" s="139">
        <f t="shared" si="267"/>
        <v>0</v>
      </c>
      <c r="LX58" s="139">
        <f t="shared" si="267"/>
        <v>0</v>
      </c>
      <c r="LY58" s="139">
        <f t="shared" si="267"/>
        <v>0</v>
      </c>
      <c r="LZ58" s="139">
        <f t="shared" si="267"/>
        <v>0</v>
      </c>
      <c r="MA58" s="139">
        <f t="shared" si="267"/>
        <v>0</v>
      </c>
      <c r="MB58" s="139">
        <f t="shared" si="267"/>
        <v>0</v>
      </c>
      <c r="MC58" s="139">
        <f t="shared" si="267"/>
        <v>0</v>
      </c>
      <c r="MD58" s="139">
        <f t="shared" si="267"/>
        <v>0</v>
      </c>
      <c r="ME58" s="139">
        <f t="shared" si="267"/>
        <v>0</v>
      </c>
      <c r="MF58" s="139">
        <f t="shared" ref="MF58:NK58" si="268">MF17/100</f>
        <v>0</v>
      </c>
      <c r="MG58" s="139">
        <f t="shared" si="268"/>
        <v>0</v>
      </c>
      <c r="MH58" s="139">
        <f t="shared" si="268"/>
        <v>0</v>
      </c>
      <c r="MI58" s="139">
        <f t="shared" si="268"/>
        <v>0</v>
      </c>
      <c r="MJ58" s="139">
        <f t="shared" si="268"/>
        <v>0</v>
      </c>
      <c r="MK58" s="139">
        <f t="shared" si="268"/>
        <v>0</v>
      </c>
      <c r="ML58" s="139">
        <f t="shared" si="268"/>
        <v>0</v>
      </c>
      <c r="MM58" s="139">
        <f t="shared" si="268"/>
        <v>0</v>
      </c>
      <c r="MN58" s="139">
        <f t="shared" si="268"/>
        <v>0</v>
      </c>
      <c r="MO58" s="139">
        <f t="shared" si="268"/>
        <v>0</v>
      </c>
      <c r="MP58" s="139">
        <f t="shared" si="268"/>
        <v>0</v>
      </c>
      <c r="MQ58" s="139">
        <f t="shared" si="268"/>
        <v>0</v>
      </c>
      <c r="MR58" s="139">
        <f t="shared" si="268"/>
        <v>0</v>
      </c>
      <c r="MS58" s="139">
        <f t="shared" si="268"/>
        <v>0</v>
      </c>
      <c r="MT58" s="139">
        <f t="shared" si="268"/>
        <v>0</v>
      </c>
      <c r="MU58" s="139">
        <f t="shared" si="268"/>
        <v>0</v>
      </c>
      <c r="MV58" s="139">
        <f t="shared" si="268"/>
        <v>0</v>
      </c>
      <c r="MW58" s="139">
        <f t="shared" si="268"/>
        <v>0</v>
      </c>
      <c r="MX58" s="139">
        <f t="shared" si="268"/>
        <v>0</v>
      </c>
      <c r="MY58" s="139">
        <f t="shared" si="268"/>
        <v>0</v>
      </c>
      <c r="MZ58" s="139">
        <f t="shared" si="268"/>
        <v>0</v>
      </c>
      <c r="NA58" s="139">
        <f t="shared" si="268"/>
        <v>0</v>
      </c>
      <c r="NB58" s="139">
        <f t="shared" si="268"/>
        <v>0</v>
      </c>
      <c r="NC58" s="139">
        <f t="shared" si="268"/>
        <v>0</v>
      </c>
      <c r="ND58" s="139">
        <f t="shared" si="268"/>
        <v>0</v>
      </c>
      <c r="NE58" s="139">
        <f t="shared" si="268"/>
        <v>0</v>
      </c>
      <c r="NF58" s="139">
        <f t="shared" si="268"/>
        <v>0</v>
      </c>
      <c r="NG58" s="139">
        <f t="shared" si="268"/>
        <v>0</v>
      </c>
      <c r="NH58" s="139">
        <f t="shared" si="268"/>
        <v>0</v>
      </c>
      <c r="NI58" s="139">
        <f t="shared" si="268"/>
        <v>0</v>
      </c>
      <c r="NJ58" s="139">
        <f t="shared" si="268"/>
        <v>0</v>
      </c>
      <c r="NK58" s="139">
        <f t="shared" si="268"/>
        <v>0</v>
      </c>
      <c r="NL58" s="139">
        <f t="shared" ref="NL58:OQ58" si="269">NL17/100</f>
        <v>0</v>
      </c>
      <c r="NM58" s="139">
        <f t="shared" si="269"/>
        <v>0</v>
      </c>
      <c r="NN58" s="139">
        <f t="shared" si="269"/>
        <v>0</v>
      </c>
      <c r="NO58" s="139">
        <f t="shared" si="269"/>
        <v>0</v>
      </c>
      <c r="NP58" s="139">
        <f t="shared" si="269"/>
        <v>0</v>
      </c>
      <c r="NQ58" s="139">
        <f t="shared" si="269"/>
        <v>0</v>
      </c>
      <c r="NR58" s="139">
        <f t="shared" si="269"/>
        <v>0</v>
      </c>
      <c r="NS58" s="139">
        <f t="shared" si="269"/>
        <v>0</v>
      </c>
      <c r="NT58" s="139">
        <f t="shared" si="269"/>
        <v>0</v>
      </c>
      <c r="NU58" s="139">
        <f t="shared" si="269"/>
        <v>0</v>
      </c>
      <c r="NV58" s="139">
        <f t="shared" si="269"/>
        <v>0</v>
      </c>
      <c r="NW58" s="139">
        <f t="shared" si="269"/>
        <v>0</v>
      </c>
      <c r="NX58" s="139">
        <f t="shared" si="269"/>
        <v>0</v>
      </c>
      <c r="NY58" s="139">
        <f t="shared" si="269"/>
        <v>0</v>
      </c>
      <c r="NZ58" s="139">
        <f t="shared" si="269"/>
        <v>0</v>
      </c>
      <c r="OA58" s="139">
        <f t="shared" si="269"/>
        <v>0</v>
      </c>
      <c r="OB58" s="139">
        <f t="shared" si="269"/>
        <v>0</v>
      </c>
      <c r="OC58" s="139">
        <f t="shared" si="269"/>
        <v>0</v>
      </c>
      <c r="OD58" s="139">
        <f t="shared" si="269"/>
        <v>0</v>
      </c>
      <c r="OE58" s="139">
        <f t="shared" si="269"/>
        <v>0</v>
      </c>
      <c r="OF58" s="139">
        <f t="shared" si="269"/>
        <v>0</v>
      </c>
      <c r="OG58" s="139">
        <f t="shared" si="269"/>
        <v>0</v>
      </c>
      <c r="OH58" s="139">
        <f t="shared" si="269"/>
        <v>0</v>
      </c>
      <c r="OI58" s="139">
        <f t="shared" si="269"/>
        <v>0</v>
      </c>
      <c r="OJ58" s="139">
        <f t="shared" si="269"/>
        <v>0</v>
      </c>
      <c r="OK58" s="139">
        <f t="shared" si="269"/>
        <v>0</v>
      </c>
      <c r="OL58" s="139">
        <f t="shared" si="269"/>
        <v>0</v>
      </c>
      <c r="OM58" s="139">
        <f t="shared" si="269"/>
        <v>0</v>
      </c>
      <c r="ON58" s="139">
        <f t="shared" si="269"/>
        <v>0</v>
      </c>
      <c r="OO58" s="139">
        <f t="shared" si="269"/>
        <v>0</v>
      </c>
      <c r="OP58" s="139">
        <f t="shared" si="269"/>
        <v>0</v>
      </c>
      <c r="OQ58" s="139">
        <f t="shared" si="269"/>
        <v>0</v>
      </c>
      <c r="OR58" s="139">
        <f t="shared" ref="OR58:PW58" si="270">OR17/100</f>
        <v>0</v>
      </c>
      <c r="OS58" s="139">
        <f t="shared" si="270"/>
        <v>0</v>
      </c>
      <c r="OT58" s="139">
        <f t="shared" si="270"/>
        <v>0</v>
      </c>
      <c r="OU58" s="139">
        <f t="shared" si="270"/>
        <v>0</v>
      </c>
      <c r="OV58" s="139">
        <f t="shared" si="270"/>
        <v>0</v>
      </c>
      <c r="OW58" s="139">
        <f t="shared" si="270"/>
        <v>0</v>
      </c>
      <c r="OX58" s="139">
        <f t="shared" si="270"/>
        <v>0</v>
      </c>
      <c r="OY58" s="139">
        <f t="shared" si="270"/>
        <v>0</v>
      </c>
      <c r="OZ58" s="139">
        <f t="shared" si="270"/>
        <v>0</v>
      </c>
      <c r="PA58" s="139">
        <f t="shared" si="270"/>
        <v>0</v>
      </c>
      <c r="PB58" s="139">
        <f t="shared" si="270"/>
        <v>0</v>
      </c>
      <c r="PC58" s="139">
        <f t="shared" si="270"/>
        <v>0</v>
      </c>
      <c r="PD58" s="139">
        <f t="shared" si="270"/>
        <v>0</v>
      </c>
      <c r="PE58" s="139">
        <f t="shared" si="270"/>
        <v>0</v>
      </c>
      <c r="PF58" s="139">
        <f t="shared" si="270"/>
        <v>0</v>
      </c>
      <c r="PG58" s="139">
        <f t="shared" si="270"/>
        <v>0</v>
      </c>
      <c r="PH58" s="139">
        <f t="shared" si="270"/>
        <v>0</v>
      </c>
      <c r="PI58" s="139">
        <f t="shared" si="270"/>
        <v>0</v>
      </c>
      <c r="PJ58" s="139">
        <f t="shared" si="270"/>
        <v>0</v>
      </c>
      <c r="PK58" s="139">
        <f t="shared" si="270"/>
        <v>0</v>
      </c>
      <c r="PL58" s="139">
        <f t="shared" si="270"/>
        <v>0</v>
      </c>
      <c r="PM58" s="139">
        <f t="shared" si="270"/>
        <v>0</v>
      </c>
      <c r="PN58" s="139">
        <f t="shared" si="270"/>
        <v>0</v>
      </c>
      <c r="PO58" s="139">
        <f t="shared" si="270"/>
        <v>0</v>
      </c>
      <c r="PP58" s="139">
        <f t="shared" si="270"/>
        <v>0</v>
      </c>
      <c r="PQ58" s="139">
        <f t="shared" si="270"/>
        <v>0</v>
      </c>
      <c r="PR58" s="139">
        <f t="shared" si="270"/>
        <v>0</v>
      </c>
      <c r="PS58" s="139">
        <f t="shared" si="270"/>
        <v>0</v>
      </c>
      <c r="PT58" s="139">
        <f t="shared" si="270"/>
        <v>0</v>
      </c>
      <c r="PU58" s="139">
        <f t="shared" si="270"/>
        <v>0</v>
      </c>
      <c r="PV58" s="139">
        <f t="shared" si="270"/>
        <v>0</v>
      </c>
      <c r="PW58" s="139">
        <f t="shared" si="270"/>
        <v>0</v>
      </c>
      <c r="PX58" s="139">
        <f t="shared" ref="PX58:QN58" si="271">PX17/100</f>
        <v>0</v>
      </c>
      <c r="PY58" s="139">
        <f t="shared" si="271"/>
        <v>0</v>
      </c>
      <c r="PZ58" s="139">
        <f t="shared" si="271"/>
        <v>0</v>
      </c>
      <c r="QA58" s="139">
        <f t="shared" si="271"/>
        <v>0</v>
      </c>
      <c r="QB58" s="139">
        <f t="shared" si="271"/>
        <v>0</v>
      </c>
      <c r="QC58" s="139">
        <f t="shared" si="271"/>
        <v>0</v>
      </c>
      <c r="QD58" s="139">
        <f t="shared" si="271"/>
        <v>0</v>
      </c>
      <c r="QE58" s="139">
        <f t="shared" si="271"/>
        <v>0</v>
      </c>
      <c r="QF58" s="139">
        <f t="shared" si="271"/>
        <v>0</v>
      </c>
      <c r="QG58" s="139">
        <f t="shared" si="271"/>
        <v>0</v>
      </c>
      <c r="QH58" s="139">
        <f t="shared" si="271"/>
        <v>0</v>
      </c>
      <c r="QI58" s="139">
        <f t="shared" si="271"/>
        <v>0</v>
      </c>
      <c r="QJ58" s="139">
        <f t="shared" si="271"/>
        <v>0</v>
      </c>
      <c r="QK58" s="139">
        <f t="shared" si="271"/>
        <v>0</v>
      </c>
      <c r="QL58" s="139">
        <f t="shared" si="271"/>
        <v>0</v>
      </c>
      <c r="QM58" s="139">
        <f t="shared" si="271"/>
        <v>0</v>
      </c>
      <c r="QN58" s="139">
        <f t="shared" si="271"/>
        <v>0</v>
      </c>
      <c r="QO58" s="139">
        <f>QO17/40</f>
        <v>0</v>
      </c>
      <c r="QP58" s="139">
        <f>QP17/100</f>
        <v>0</v>
      </c>
      <c r="QQ58" s="139">
        <f>QQ17/100</f>
        <v>0</v>
      </c>
      <c r="QR58" s="139">
        <f>QR17/40</f>
        <v>0</v>
      </c>
      <c r="QS58" s="139">
        <f>QS17/100</f>
        <v>0</v>
      </c>
      <c r="QT58" s="139">
        <f>QT17/100</f>
        <v>0</v>
      </c>
      <c r="RA58" s="139">
        <f t="shared" ref="RA58:RF58" si="272">RA17/100</f>
        <v>0</v>
      </c>
      <c r="RB58" s="139">
        <f t="shared" si="272"/>
        <v>0</v>
      </c>
      <c r="RC58" s="139">
        <f t="shared" si="272"/>
        <v>0</v>
      </c>
      <c r="RD58" s="139">
        <f t="shared" si="272"/>
        <v>0</v>
      </c>
      <c r="RE58" s="139">
        <f t="shared" si="272"/>
        <v>0</v>
      </c>
      <c r="RF58" s="139">
        <f t="shared" si="272"/>
        <v>0</v>
      </c>
      <c r="RG58" s="70"/>
      <c r="RM58" s="145"/>
      <c r="SB58" s="70">
        <f>SB17/40</f>
        <v>0</v>
      </c>
      <c r="SC58" s="70">
        <f>SC17/40</f>
        <v>0</v>
      </c>
      <c r="SD58" s="70">
        <f>SD17/40</f>
        <v>0</v>
      </c>
      <c r="SE58" s="70">
        <f t="shared" ref="SE58:SU58" si="273">SE17/100</f>
        <v>0</v>
      </c>
      <c r="SF58" s="70">
        <f t="shared" si="273"/>
        <v>0</v>
      </c>
      <c r="SG58" s="70">
        <f t="shared" si="273"/>
        <v>0</v>
      </c>
      <c r="SH58" s="70">
        <f t="shared" si="273"/>
        <v>0</v>
      </c>
      <c r="SI58" s="70">
        <f t="shared" si="273"/>
        <v>0</v>
      </c>
      <c r="SJ58" s="70">
        <f t="shared" si="273"/>
        <v>0</v>
      </c>
      <c r="SK58" s="70">
        <f t="shared" si="273"/>
        <v>0</v>
      </c>
      <c r="SL58" s="70">
        <f t="shared" si="273"/>
        <v>0</v>
      </c>
      <c r="SM58" s="70">
        <f t="shared" si="273"/>
        <v>0</v>
      </c>
      <c r="SN58" s="70">
        <f t="shared" si="273"/>
        <v>0</v>
      </c>
      <c r="SO58" s="70">
        <f t="shared" si="273"/>
        <v>0</v>
      </c>
      <c r="SP58" s="70">
        <f t="shared" si="273"/>
        <v>0</v>
      </c>
      <c r="SQ58" s="70">
        <f t="shared" si="273"/>
        <v>0</v>
      </c>
      <c r="SR58" s="70">
        <f t="shared" si="273"/>
        <v>0</v>
      </c>
      <c r="SS58" s="70">
        <f t="shared" si="273"/>
        <v>0</v>
      </c>
      <c r="ST58" s="70">
        <f t="shared" si="273"/>
        <v>0</v>
      </c>
      <c r="SU58" s="70">
        <f t="shared" si="273"/>
        <v>0</v>
      </c>
      <c r="SV58" s="139">
        <f>SV17/40</f>
        <v>0</v>
      </c>
      <c r="SW58" s="139">
        <f>SW17/40</f>
        <v>0</v>
      </c>
      <c r="SX58" s="70">
        <f t="shared" ref="SX58:TR58" si="274">SX17/100</f>
        <v>0</v>
      </c>
      <c r="SY58" s="70">
        <f t="shared" si="274"/>
        <v>0</v>
      </c>
      <c r="SZ58" s="70">
        <f t="shared" si="274"/>
        <v>0</v>
      </c>
      <c r="TA58" s="70">
        <f t="shared" si="274"/>
        <v>0</v>
      </c>
      <c r="TB58" s="70">
        <f t="shared" si="274"/>
        <v>0</v>
      </c>
      <c r="TC58" s="70">
        <f t="shared" si="274"/>
        <v>0</v>
      </c>
      <c r="TD58" s="70">
        <f t="shared" si="274"/>
        <v>0</v>
      </c>
      <c r="TE58" s="70">
        <f t="shared" si="274"/>
        <v>0</v>
      </c>
      <c r="TF58" s="70">
        <f t="shared" si="274"/>
        <v>0</v>
      </c>
      <c r="TG58" s="70">
        <f t="shared" si="274"/>
        <v>0</v>
      </c>
      <c r="TH58" s="70">
        <f t="shared" si="274"/>
        <v>0</v>
      </c>
      <c r="TI58" s="70">
        <f t="shared" si="274"/>
        <v>0</v>
      </c>
      <c r="TJ58" s="70">
        <f t="shared" si="274"/>
        <v>0</v>
      </c>
      <c r="TK58" s="70">
        <f t="shared" si="274"/>
        <v>0</v>
      </c>
      <c r="TL58" s="70">
        <f t="shared" si="274"/>
        <v>0</v>
      </c>
      <c r="TM58" s="70">
        <f t="shared" si="274"/>
        <v>0</v>
      </c>
      <c r="TN58" s="70">
        <f t="shared" si="274"/>
        <v>0</v>
      </c>
      <c r="TO58" s="70">
        <f t="shared" si="274"/>
        <v>0</v>
      </c>
      <c r="TP58" s="70">
        <f t="shared" si="274"/>
        <v>0</v>
      </c>
      <c r="TQ58" s="70">
        <f t="shared" si="274"/>
        <v>0</v>
      </c>
      <c r="TR58" s="70">
        <f t="shared" si="274"/>
        <v>0</v>
      </c>
      <c r="TS58" s="139">
        <f>TS17/40</f>
        <v>0</v>
      </c>
      <c r="TT58" s="70">
        <f t="shared" ref="TT58:UY58" si="275">TT17/100</f>
        <v>0</v>
      </c>
      <c r="TU58" s="70">
        <f t="shared" si="275"/>
        <v>0</v>
      </c>
      <c r="TV58" s="70">
        <f t="shared" si="275"/>
        <v>0</v>
      </c>
      <c r="TW58" s="70">
        <f t="shared" si="275"/>
        <v>0</v>
      </c>
      <c r="TX58" s="70">
        <f t="shared" si="275"/>
        <v>0</v>
      </c>
      <c r="TY58" s="70">
        <f t="shared" si="275"/>
        <v>0</v>
      </c>
      <c r="TZ58" s="70">
        <f t="shared" si="275"/>
        <v>0</v>
      </c>
      <c r="UA58" s="70">
        <f t="shared" si="275"/>
        <v>0</v>
      </c>
      <c r="UB58" s="70">
        <f t="shared" si="275"/>
        <v>0</v>
      </c>
      <c r="UC58" s="70">
        <f t="shared" si="275"/>
        <v>0</v>
      </c>
      <c r="UD58" s="70">
        <f t="shared" si="275"/>
        <v>0</v>
      </c>
      <c r="UE58" s="70">
        <f t="shared" si="275"/>
        <v>0</v>
      </c>
      <c r="UF58" s="70">
        <f t="shared" si="275"/>
        <v>0</v>
      </c>
      <c r="UG58" s="70">
        <f t="shared" si="275"/>
        <v>0</v>
      </c>
      <c r="UH58" s="70">
        <f t="shared" si="275"/>
        <v>0</v>
      </c>
      <c r="UI58" s="70">
        <f t="shared" si="275"/>
        <v>0</v>
      </c>
      <c r="UJ58" s="70">
        <f t="shared" si="275"/>
        <v>0</v>
      </c>
      <c r="UK58" s="70">
        <f t="shared" si="275"/>
        <v>0</v>
      </c>
      <c r="UL58" s="70">
        <f t="shared" si="275"/>
        <v>0</v>
      </c>
      <c r="UM58" s="70">
        <f t="shared" si="275"/>
        <v>0</v>
      </c>
      <c r="UN58" s="70">
        <f t="shared" si="275"/>
        <v>0</v>
      </c>
      <c r="UO58" s="70">
        <f t="shared" si="275"/>
        <v>0</v>
      </c>
      <c r="UP58" s="70">
        <f t="shared" si="275"/>
        <v>0</v>
      </c>
      <c r="UQ58" s="70">
        <f t="shared" si="275"/>
        <v>0</v>
      </c>
      <c r="UR58" s="70">
        <f t="shared" si="275"/>
        <v>0</v>
      </c>
      <c r="US58" s="70">
        <f t="shared" si="275"/>
        <v>0</v>
      </c>
      <c r="UT58" s="70">
        <f t="shared" si="275"/>
        <v>0</v>
      </c>
      <c r="UU58" s="70">
        <f t="shared" si="275"/>
        <v>0</v>
      </c>
      <c r="UV58" s="70">
        <f t="shared" si="275"/>
        <v>0</v>
      </c>
      <c r="UW58" s="70">
        <f t="shared" si="275"/>
        <v>0</v>
      </c>
      <c r="UX58" s="70">
        <f t="shared" si="275"/>
        <v>0</v>
      </c>
      <c r="UY58" s="70">
        <f t="shared" si="275"/>
        <v>0</v>
      </c>
      <c r="UZ58" s="70">
        <f t="shared" ref="UZ58:WE58" si="276">UZ17/100</f>
        <v>0</v>
      </c>
      <c r="VA58" s="70">
        <f t="shared" si="276"/>
        <v>0</v>
      </c>
      <c r="VB58" s="70">
        <f t="shared" si="276"/>
        <v>0</v>
      </c>
      <c r="VC58" s="70">
        <f t="shared" si="276"/>
        <v>0</v>
      </c>
      <c r="VD58" s="70">
        <f t="shared" si="276"/>
        <v>0</v>
      </c>
      <c r="VE58" s="70">
        <f t="shared" si="276"/>
        <v>0</v>
      </c>
      <c r="VF58" s="70">
        <f t="shared" si="276"/>
        <v>0</v>
      </c>
      <c r="VG58" s="70">
        <f t="shared" si="276"/>
        <v>0</v>
      </c>
      <c r="VH58" s="70">
        <f t="shared" si="276"/>
        <v>0</v>
      </c>
      <c r="VI58" s="70">
        <f t="shared" si="276"/>
        <v>0</v>
      </c>
      <c r="VJ58" s="70">
        <f t="shared" si="276"/>
        <v>0</v>
      </c>
      <c r="VK58" s="70">
        <f t="shared" si="276"/>
        <v>0</v>
      </c>
      <c r="VL58" s="70">
        <f t="shared" si="276"/>
        <v>0</v>
      </c>
      <c r="VM58" s="70">
        <f t="shared" si="276"/>
        <v>0</v>
      </c>
      <c r="VN58" s="70">
        <f t="shared" si="276"/>
        <v>0</v>
      </c>
      <c r="VO58" s="70">
        <f t="shared" si="276"/>
        <v>0</v>
      </c>
      <c r="VP58" s="70">
        <f t="shared" si="276"/>
        <v>0</v>
      </c>
      <c r="VQ58" s="70">
        <f t="shared" si="276"/>
        <v>0</v>
      </c>
      <c r="VR58" s="70">
        <f t="shared" si="276"/>
        <v>0</v>
      </c>
      <c r="VS58" s="70">
        <f t="shared" si="276"/>
        <v>0</v>
      </c>
      <c r="VT58" s="70">
        <f t="shared" si="276"/>
        <v>0</v>
      </c>
      <c r="VU58" s="70">
        <f t="shared" si="276"/>
        <v>0</v>
      </c>
      <c r="VV58" s="70">
        <f t="shared" si="276"/>
        <v>0</v>
      </c>
      <c r="VW58" s="70">
        <f t="shared" si="276"/>
        <v>0</v>
      </c>
      <c r="VX58" s="70">
        <f t="shared" si="276"/>
        <v>0</v>
      </c>
      <c r="VY58" s="70">
        <f t="shared" si="276"/>
        <v>0</v>
      </c>
      <c r="VZ58" s="70">
        <f t="shared" si="276"/>
        <v>0</v>
      </c>
      <c r="WA58" s="70">
        <f t="shared" si="276"/>
        <v>0</v>
      </c>
      <c r="WB58" s="70">
        <f t="shared" si="276"/>
        <v>0</v>
      </c>
      <c r="WC58" s="70">
        <f t="shared" si="276"/>
        <v>0</v>
      </c>
      <c r="WD58" s="70">
        <f t="shared" si="276"/>
        <v>0</v>
      </c>
      <c r="WE58" s="70">
        <f t="shared" si="276"/>
        <v>0</v>
      </c>
      <c r="WF58" s="70">
        <f t="shared" ref="WF58:WS58" si="277">WF17/100</f>
        <v>0</v>
      </c>
      <c r="WG58" s="70">
        <f t="shared" si="277"/>
        <v>0</v>
      </c>
      <c r="WH58" s="70">
        <f t="shared" si="277"/>
        <v>0</v>
      </c>
      <c r="WI58" s="70">
        <f t="shared" si="277"/>
        <v>0</v>
      </c>
      <c r="WJ58" s="70">
        <f t="shared" si="277"/>
        <v>0</v>
      </c>
      <c r="WK58" s="70">
        <f t="shared" si="277"/>
        <v>0</v>
      </c>
      <c r="WL58" s="70">
        <f t="shared" si="277"/>
        <v>0</v>
      </c>
      <c r="WM58" s="70">
        <f t="shared" si="277"/>
        <v>0</v>
      </c>
      <c r="WN58" s="70">
        <f t="shared" si="277"/>
        <v>0</v>
      </c>
      <c r="WO58" s="70">
        <f t="shared" si="277"/>
        <v>0</v>
      </c>
      <c r="WP58" s="70">
        <f t="shared" si="277"/>
        <v>0</v>
      </c>
      <c r="WQ58" s="70">
        <f t="shared" si="277"/>
        <v>0</v>
      </c>
      <c r="WR58" s="70">
        <f t="shared" si="277"/>
        <v>0</v>
      </c>
      <c r="WS58" s="70">
        <f t="shared" si="277"/>
        <v>0</v>
      </c>
    </row>
    <row r="59" spans="1:830" hidden="1" x14ac:dyDescent="0.25">
      <c r="F59" s="32"/>
      <c r="M59" t="s">
        <v>614</v>
      </c>
      <c r="N59" s="139">
        <f t="shared" ref="N59:AS59" si="278">N20/40</f>
        <v>0</v>
      </c>
      <c r="O59" s="139">
        <f t="shared" si="278"/>
        <v>0</v>
      </c>
      <c r="P59" s="139">
        <f t="shared" si="278"/>
        <v>0</v>
      </c>
      <c r="Q59" s="139">
        <f t="shared" si="278"/>
        <v>0</v>
      </c>
      <c r="R59" s="139">
        <f t="shared" si="278"/>
        <v>0</v>
      </c>
      <c r="S59" s="139">
        <f t="shared" si="278"/>
        <v>0</v>
      </c>
      <c r="T59" s="139">
        <f t="shared" si="278"/>
        <v>0</v>
      </c>
      <c r="U59" s="139">
        <f t="shared" si="278"/>
        <v>0</v>
      </c>
      <c r="V59" s="139">
        <f t="shared" si="278"/>
        <v>0</v>
      </c>
      <c r="W59" s="139">
        <f t="shared" si="278"/>
        <v>0</v>
      </c>
      <c r="X59" s="139">
        <f t="shared" si="278"/>
        <v>0</v>
      </c>
      <c r="Y59" s="139">
        <f t="shared" si="278"/>
        <v>0</v>
      </c>
      <c r="Z59" s="139">
        <f t="shared" si="278"/>
        <v>0</v>
      </c>
      <c r="AA59" s="139">
        <f t="shared" si="278"/>
        <v>0</v>
      </c>
      <c r="AB59" s="139">
        <f t="shared" si="278"/>
        <v>0</v>
      </c>
      <c r="AC59" s="139">
        <f t="shared" si="278"/>
        <v>0</v>
      </c>
      <c r="AD59" s="139">
        <f t="shared" si="278"/>
        <v>0</v>
      </c>
      <c r="AE59" s="139">
        <f t="shared" si="278"/>
        <v>0</v>
      </c>
      <c r="AF59" s="139">
        <f t="shared" si="278"/>
        <v>0</v>
      </c>
      <c r="AG59" s="139">
        <f t="shared" si="278"/>
        <v>0</v>
      </c>
      <c r="AH59" s="139">
        <f t="shared" si="278"/>
        <v>0</v>
      </c>
      <c r="AI59" s="139">
        <f t="shared" si="278"/>
        <v>0</v>
      </c>
      <c r="AJ59" s="139">
        <f t="shared" si="278"/>
        <v>0</v>
      </c>
      <c r="AK59" s="139">
        <f t="shared" si="278"/>
        <v>0</v>
      </c>
      <c r="AL59" s="139">
        <f t="shared" si="278"/>
        <v>0</v>
      </c>
      <c r="AM59" s="139">
        <f t="shared" si="278"/>
        <v>0</v>
      </c>
      <c r="AN59" s="139">
        <f t="shared" si="278"/>
        <v>0</v>
      </c>
      <c r="AO59" s="139">
        <f t="shared" si="278"/>
        <v>0</v>
      </c>
      <c r="AP59" s="139">
        <f t="shared" si="278"/>
        <v>0</v>
      </c>
      <c r="AQ59" s="139">
        <f t="shared" si="278"/>
        <v>0</v>
      </c>
      <c r="AR59" s="139">
        <f t="shared" si="278"/>
        <v>0</v>
      </c>
      <c r="AS59" s="139">
        <f t="shared" si="278"/>
        <v>0</v>
      </c>
      <c r="AT59" s="139">
        <f t="shared" ref="AT59:BY59" si="279">AT20/40</f>
        <v>0</v>
      </c>
      <c r="AU59" s="139">
        <f t="shared" si="279"/>
        <v>0</v>
      </c>
      <c r="AV59" s="139">
        <f t="shared" si="279"/>
        <v>0</v>
      </c>
      <c r="AW59" s="139">
        <f t="shared" si="279"/>
        <v>0</v>
      </c>
      <c r="AX59" s="139">
        <f t="shared" si="279"/>
        <v>0</v>
      </c>
      <c r="AY59" s="139">
        <f t="shared" si="279"/>
        <v>0</v>
      </c>
      <c r="AZ59" s="139">
        <f t="shared" si="279"/>
        <v>0</v>
      </c>
      <c r="BA59" s="139">
        <f t="shared" si="279"/>
        <v>0</v>
      </c>
      <c r="BB59" s="139">
        <f t="shared" si="279"/>
        <v>0</v>
      </c>
      <c r="BC59" s="139">
        <f t="shared" si="279"/>
        <v>0</v>
      </c>
      <c r="BD59" s="139">
        <f t="shared" si="279"/>
        <v>0</v>
      </c>
      <c r="BE59" s="139">
        <f t="shared" si="279"/>
        <v>0</v>
      </c>
      <c r="BF59" s="139">
        <f t="shared" si="279"/>
        <v>0</v>
      </c>
      <c r="BG59" s="139">
        <f t="shared" si="279"/>
        <v>0</v>
      </c>
      <c r="BH59" s="139">
        <f t="shared" si="279"/>
        <v>0</v>
      </c>
      <c r="BI59" s="139">
        <f t="shared" si="279"/>
        <v>0</v>
      </c>
      <c r="BJ59" s="139">
        <f t="shared" si="279"/>
        <v>0</v>
      </c>
      <c r="BK59" s="139">
        <f t="shared" si="279"/>
        <v>0</v>
      </c>
      <c r="BL59" s="139">
        <f t="shared" si="279"/>
        <v>0</v>
      </c>
      <c r="BM59" s="139">
        <f t="shared" si="279"/>
        <v>0</v>
      </c>
      <c r="BN59" s="139">
        <f t="shared" si="279"/>
        <v>0</v>
      </c>
      <c r="BO59" s="139">
        <f t="shared" si="279"/>
        <v>0</v>
      </c>
      <c r="BP59" s="139">
        <f t="shared" si="279"/>
        <v>0</v>
      </c>
      <c r="BQ59" s="139">
        <f t="shared" si="279"/>
        <v>0</v>
      </c>
      <c r="BR59" s="139">
        <f t="shared" si="279"/>
        <v>0</v>
      </c>
      <c r="BS59" s="139">
        <f t="shared" si="279"/>
        <v>0</v>
      </c>
      <c r="BT59" s="139">
        <f t="shared" si="279"/>
        <v>0</v>
      </c>
      <c r="BU59" s="139">
        <f t="shared" si="279"/>
        <v>0</v>
      </c>
      <c r="BV59" s="139">
        <f t="shared" si="279"/>
        <v>0</v>
      </c>
      <c r="BW59" s="139">
        <f t="shared" si="279"/>
        <v>0</v>
      </c>
      <c r="BX59" s="139">
        <f t="shared" si="279"/>
        <v>0</v>
      </c>
      <c r="BY59" s="139">
        <f t="shared" si="279"/>
        <v>0</v>
      </c>
      <c r="BZ59" s="139">
        <f t="shared" ref="BZ59:CI59" si="280">BZ20/40</f>
        <v>0</v>
      </c>
      <c r="CA59" s="139">
        <f t="shared" si="280"/>
        <v>0</v>
      </c>
      <c r="CB59" s="139">
        <f t="shared" si="280"/>
        <v>0</v>
      </c>
      <c r="CC59" s="139">
        <f t="shared" si="280"/>
        <v>0</v>
      </c>
      <c r="CD59" s="139">
        <f t="shared" si="280"/>
        <v>0</v>
      </c>
      <c r="CE59" s="139">
        <f t="shared" si="280"/>
        <v>0</v>
      </c>
      <c r="CF59" s="139">
        <f t="shared" si="280"/>
        <v>0</v>
      </c>
      <c r="CG59" s="139">
        <f t="shared" si="280"/>
        <v>0</v>
      </c>
      <c r="CH59" s="139">
        <f t="shared" si="280"/>
        <v>0</v>
      </c>
      <c r="CI59" s="139">
        <f t="shared" si="280"/>
        <v>0</v>
      </c>
      <c r="CJ59" s="139">
        <f t="shared" ref="CJ59:DO59" si="281">CJ20/100</f>
        <v>0</v>
      </c>
      <c r="CK59" s="139">
        <f t="shared" si="281"/>
        <v>0</v>
      </c>
      <c r="CL59" s="139">
        <f t="shared" si="281"/>
        <v>0</v>
      </c>
      <c r="CM59" s="139">
        <f t="shared" si="281"/>
        <v>0</v>
      </c>
      <c r="CN59" s="139">
        <f t="shared" si="281"/>
        <v>0</v>
      </c>
      <c r="CO59" s="139">
        <f t="shared" si="281"/>
        <v>0</v>
      </c>
      <c r="CP59" s="139">
        <f t="shared" si="281"/>
        <v>0</v>
      </c>
      <c r="CQ59" s="139">
        <f t="shared" si="281"/>
        <v>0</v>
      </c>
      <c r="CR59" s="139">
        <f t="shared" si="281"/>
        <v>0</v>
      </c>
      <c r="CS59" s="139">
        <f t="shared" si="281"/>
        <v>0</v>
      </c>
      <c r="CT59" s="139">
        <f t="shared" si="281"/>
        <v>0</v>
      </c>
      <c r="CU59" s="139">
        <f t="shared" si="281"/>
        <v>0</v>
      </c>
      <c r="CV59" s="139">
        <f t="shared" si="281"/>
        <v>0</v>
      </c>
      <c r="CW59" s="139">
        <f t="shared" si="281"/>
        <v>0</v>
      </c>
      <c r="CX59" s="139">
        <f t="shared" si="281"/>
        <v>0</v>
      </c>
      <c r="CY59" s="139">
        <f t="shared" si="281"/>
        <v>0</v>
      </c>
      <c r="CZ59" s="139">
        <f t="shared" si="281"/>
        <v>0</v>
      </c>
      <c r="DA59" s="139">
        <f t="shared" si="281"/>
        <v>0</v>
      </c>
      <c r="DB59" s="139">
        <f t="shared" si="281"/>
        <v>0</v>
      </c>
      <c r="DC59" s="139">
        <f t="shared" si="281"/>
        <v>0</v>
      </c>
      <c r="DD59" s="139">
        <f t="shared" si="281"/>
        <v>0</v>
      </c>
      <c r="DE59" s="139">
        <f t="shared" si="281"/>
        <v>0</v>
      </c>
      <c r="DF59" s="139">
        <f t="shared" si="281"/>
        <v>0</v>
      </c>
      <c r="DG59" s="139">
        <f t="shared" si="281"/>
        <v>0</v>
      </c>
      <c r="DH59" s="139">
        <f t="shared" si="281"/>
        <v>0</v>
      </c>
      <c r="DI59" s="139">
        <f t="shared" si="281"/>
        <v>0</v>
      </c>
      <c r="DJ59" s="139">
        <f t="shared" si="281"/>
        <v>0</v>
      </c>
      <c r="DK59" s="139">
        <f t="shared" si="281"/>
        <v>0</v>
      </c>
      <c r="DL59" s="139">
        <f t="shared" si="281"/>
        <v>0</v>
      </c>
      <c r="DM59" s="139">
        <f t="shared" si="281"/>
        <v>0</v>
      </c>
      <c r="DN59" s="139">
        <f t="shared" si="281"/>
        <v>0</v>
      </c>
      <c r="DO59" s="139">
        <f t="shared" si="281"/>
        <v>0</v>
      </c>
      <c r="DP59" s="139">
        <f t="shared" ref="DP59:EU59" si="282">DP20/100</f>
        <v>0</v>
      </c>
      <c r="DQ59" s="139">
        <f t="shared" si="282"/>
        <v>0</v>
      </c>
      <c r="DR59" s="139">
        <f t="shared" si="282"/>
        <v>0</v>
      </c>
      <c r="DS59" s="139">
        <f t="shared" si="282"/>
        <v>0</v>
      </c>
      <c r="DT59" s="139">
        <f t="shared" si="282"/>
        <v>0</v>
      </c>
      <c r="DU59" s="139">
        <f t="shared" si="282"/>
        <v>0</v>
      </c>
      <c r="DV59" s="139">
        <f t="shared" si="282"/>
        <v>0</v>
      </c>
      <c r="DW59" s="139">
        <f t="shared" si="282"/>
        <v>0</v>
      </c>
      <c r="DX59" s="139">
        <f t="shared" si="282"/>
        <v>0</v>
      </c>
      <c r="DY59" s="139">
        <f t="shared" si="282"/>
        <v>0</v>
      </c>
      <c r="DZ59" s="139">
        <f t="shared" si="282"/>
        <v>0</v>
      </c>
      <c r="EA59" s="139">
        <f t="shared" si="282"/>
        <v>0</v>
      </c>
      <c r="EB59" s="139">
        <f t="shared" si="282"/>
        <v>0</v>
      </c>
      <c r="EC59" s="139">
        <f t="shared" si="282"/>
        <v>0</v>
      </c>
      <c r="ED59" s="139">
        <f t="shared" si="282"/>
        <v>0</v>
      </c>
      <c r="EE59" s="139">
        <f t="shared" si="282"/>
        <v>0</v>
      </c>
      <c r="EF59" s="139">
        <f t="shared" si="282"/>
        <v>0</v>
      </c>
      <c r="EG59" s="139">
        <f t="shared" si="282"/>
        <v>0</v>
      </c>
      <c r="EH59" s="139">
        <f t="shared" si="282"/>
        <v>0</v>
      </c>
      <c r="EI59" s="139">
        <f t="shared" si="282"/>
        <v>0</v>
      </c>
      <c r="EJ59" s="139">
        <f t="shared" si="282"/>
        <v>0</v>
      </c>
      <c r="EK59" s="139">
        <f t="shared" si="282"/>
        <v>0</v>
      </c>
      <c r="EL59" s="139">
        <f t="shared" si="282"/>
        <v>0</v>
      </c>
      <c r="EM59" s="139">
        <f t="shared" si="282"/>
        <v>0</v>
      </c>
      <c r="EN59" s="139">
        <f t="shared" si="282"/>
        <v>0</v>
      </c>
      <c r="EO59" s="139">
        <f t="shared" si="282"/>
        <v>0</v>
      </c>
      <c r="EP59" s="139">
        <f t="shared" si="282"/>
        <v>0</v>
      </c>
      <c r="EQ59" s="139">
        <f t="shared" si="282"/>
        <v>0</v>
      </c>
      <c r="ER59" s="139">
        <f t="shared" si="282"/>
        <v>0</v>
      </c>
      <c r="ES59" s="139">
        <f t="shared" si="282"/>
        <v>0</v>
      </c>
      <c r="ET59" s="139">
        <f t="shared" si="282"/>
        <v>0</v>
      </c>
      <c r="EU59" s="139">
        <f t="shared" si="282"/>
        <v>0</v>
      </c>
      <c r="EV59" s="139">
        <f t="shared" ref="EV59:GA59" si="283">EV20/100</f>
        <v>0</v>
      </c>
      <c r="EW59" s="139">
        <f t="shared" si="283"/>
        <v>0</v>
      </c>
      <c r="EX59" s="139">
        <f t="shared" si="283"/>
        <v>0</v>
      </c>
      <c r="EY59" s="139">
        <f t="shared" si="283"/>
        <v>0</v>
      </c>
      <c r="EZ59" s="139">
        <f t="shared" si="283"/>
        <v>0</v>
      </c>
      <c r="FA59" s="139">
        <f t="shared" si="283"/>
        <v>0</v>
      </c>
      <c r="FB59" s="139">
        <f t="shared" si="283"/>
        <v>0</v>
      </c>
      <c r="FC59" s="139">
        <f t="shared" si="283"/>
        <v>0</v>
      </c>
      <c r="FD59" s="139">
        <f t="shared" si="283"/>
        <v>0</v>
      </c>
      <c r="FE59" s="139">
        <f t="shared" si="283"/>
        <v>0</v>
      </c>
      <c r="FF59" s="139">
        <f t="shared" si="283"/>
        <v>0</v>
      </c>
      <c r="FG59" s="139">
        <f t="shared" si="283"/>
        <v>0</v>
      </c>
      <c r="FH59" s="139">
        <f t="shared" si="283"/>
        <v>0</v>
      </c>
      <c r="FI59" s="139">
        <f t="shared" si="283"/>
        <v>0</v>
      </c>
      <c r="FJ59" s="139">
        <f t="shared" si="283"/>
        <v>0</v>
      </c>
      <c r="FK59" s="139">
        <f t="shared" si="283"/>
        <v>0</v>
      </c>
      <c r="FL59" s="139">
        <f t="shared" si="283"/>
        <v>0</v>
      </c>
      <c r="FM59" s="139">
        <f t="shared" si="283"/>
        <v>0</v>
      </c>
      <c r="FN59" s="139">
        <f t="shared" si="283"/>
        <v>0</v>
      </c>
      <c r="FO59" s="139">
        <f t="shared" si="283"/>
        <v>0</v>
      </c>
      <c r="FP59" s="139">
        <f t="shared" si="283"/>
        <v>0</v>
      </c>
      <c r="FQ59" s="139">
        <f t="shared" si="283"/>
        <v>0</v>
      </c>
      <c r="FR59" s="139">
        <f t="shared" si="283"/>
        <v>0</v>
      </c>
      <c r="FS59" s="139">
        <f t="shared" si="283"/>
        <v>0</v>
      </c>
      <c r="FT59" s="139">
        <f t="shared" si="283"/>
        <v>0</v>
      </c>
      <c r="FU59" s="139">
        <f t="shared" si="283"/>
        <v>0</v>
      </c>
      <c r="FV59" s="139">
        <f t="shared" si="283"/>
        <v>0</v>
      </c>
      <c r="FW59" s="139">
        <f t="shared" si="283"/>
        <v>0</v>
      </c>
      <c r="FX59" s="139">
        <f t="shared" si="283"/>
        <v>0</v>
      </c>
      <c r="FY59" s="139">
        <f t="shared" si="283"/>
        <v>0</v>
      </c>
      <c r="FZ59" s="139">
        <f t="shared" si="283"/>
        <v>0</v>
      </c>
      <c r="GA59" s="139">
        <f t="shared" si="283"/>
        <v>0</v>
      </c>
      <c r="GB59" s="139">
        <f t="shared" ref="GB59:HA59" si="284">GB20/100</f>
        <v>0</v>
      </c>
      <c r="GC59" s="139">
        <f t="shared" si="284"/>
        <v>0</v>
      </c>
      <c r="GD59" s="139">
        <f t="shared" si="284"/>
        <v>0</v>
      </c>
      <c r="GE59" s="139">
        <f t="shared" si="284"/>
        <v>0</v>
      </c>
      <c r="GF59" s="139">
        <f t="shared" si="284"/>
        <v>0</v>
      </c>
      <c r="GG59" s="139">
        <f t="shared" si="284"/>
        <v>0</v>
      </c>
      <c r="GH59" s="139">
        <f t="shared" si="284"/>
        <v>0</v>
      </c>
      <c r="GI59" s="139">
        <f t="shared" si="284"/>
        <v>0</v>
      </c>
      <c r="GJ59" s="139">
        <f t="shared" si="284"/>
        <v>0</v>
      </c>
      <c r="GK59" s="139">
        <f t="shared" si="284"/>
        <v>0</v>
      </c>
      <c r="GL59" s="139">
        <f t="shared" si="284"/>
        <v>0</v>
      </c>
      <c r="GM59" s="139">
        <f t="shared" si="284"/>
        <v>0</v>
      </c>
      <c r="GN59" s="139">
        <f t="shared" si="284"/>
        <v>0</v>
      </c>
      <c r="GO59" s="139">
        <f t="shared" si="284"/>
        <v>0</v>
      </c>
      <c r="GP59" s="139">
        <f t="shared" si="284"/>
        <v>0</v>
      </c>
      <c r="GQ59" s="139">
        <f t="shared" si="284"/>
        <v>0</v>
      </c>
      <c r="GR59" s="139">
        <f t="shared" si="284"/>
        <v>0</v>
      </c>
      <c r="GS59" s="139">
        <f t="shared" si="284"/>
        <v>0</v>
      </c>
      <c r="GT59" s="139">
        <f t="shared" si="284"/>
        <v>0</v>
      </c>
      <c r="GU59" s="139">
        <f t="shared" si="284"/>
        <v>0</v>
      </c>
      <c r="GV59" s="139">
        <f t="shared" si="284"/>
        <v>0</v>
      </c>
      <c r="GW59" s="139">
        <f t="shared" si="284"/>
        <v>0</v>
      </c>
      <c r="GX59" s="139">
        <f t="shared" si="284"/>
        <v>0</v>
      </c>
      <c r="GY59" s="139">
        <f t="shared" si="284"/>
        <v>0</v>
      </c>
      <c r="GZ59" s="139">
        <f t="shared" si="284"/>
        <v>0</v>
      </c>
      <c r="HA59" s="139">
        <f t="shared" si="284"/>
        <v>0</v>
      </c>
      <c r="HB59" s="139">
        <f t="shared" ref="HB59:II59" si="285">HB20/40</f>
        <v>0</v>
      </c>
      <c r="HC59" s="139">
        <f t="shared" si="285"/>
        <v>0</v>
      </c>
      <c r="HD59" s="139">
        <f t="shared" si="285"/>
        <v>0</v>
      </c>
      <c r="HE59" s="139">
        <f t="shared" si="285"/>
        <v>0</v>
      </c>
      <c r="HF59" s="139">
        <f t="shared" si="285"/>
        <v>0</v>
      </c>
      <c r="HG59" s="139">
        <f t="shared" si="285"/>
        <v>0</v>
      </c>
      <c r="HH59" s="139">
        <f t="shared" si="285"/>
        <v>0</v>
      </c>
      <c r="HI59" s="139">
        <f t="shared" si="285"/>
        <v>0</v>
      </c>
      <c r="HJ59" s="139">
        <f t="shared" si="285"/>
        <v>0</v>
      </c>
      <c r="HK59" s="139">
        <f t="shared" si="285"/>
        <v>0</v>
      </c>
      <c r="HL59" s="139">
        <f t="shared" si="285"/>
        <v>0</v>
      </c>
      <c r="HM59" s="139">
        <f t="shared" si="285"/>
        <v>0</v>
      </c>
      <c r="HN59" s="139">
        <f t="shared" si="285"/>
        <v>0</v>
      </c>
      <c r="HO59" s="139">
        <f t="shared" si="285"/>
        <v>0</v>
      </c>
      <c r="HP59" s="139">
        <f t="shared" si="285"/>
        <v>0</v>
      </c>
      <c r="HQ59" s="139">
        <f t="shared" si="285"/>
        <v>0</v>
      </c>
      <c r="HR59" s="139">
        <f t="shared" si="285"/>
        <v>0</v>
      </c>
      <c r="HS59" s="139">
        <f t="shared" si="285"/>
        <v>0</v>
      </c>
      <c r="HT59" s="139">
        <f t="shared" si="285"/>
        <v>0</v>
      </c>
      <c r="HU59" s="139">
        <f t="shared" si="285"/>
        <v>0</v>
      </c>
      <c r="HV59" s="139">
        <f t="shared" si="285"/>
        <v>0</v>
      </c>
      <c r="HW59" s="139">
        <f t="shared" si="285"/>
        <v>0</v>
      </c>
      <c r="HX59" s="139">
        <f t="shared" si="285"/>
        <v>0</v>
      </c>
      <c r="HY59" s="139">
        <f t="shared" si="285"/>
        <v>0</v>
      </c>
      <c r="HZ59" s="139">
        <f t="shared" si="285"/>
        <v>0</v>
      </c>
      <c r="IA59" s="139">
        <f t="shared" si="285"/>
        <v>0</v>
      </c>
      <c r="IB59" s="139">
        <f t="shared" si="285"/>
        <v>0</v>
      </c>
      <c r="IC59" s="139">
        <f t="shared" si="285"/>
        <v>0</v>
      </c>
      <c r="ID59" s="139">
        <f t="shared" si="285"/>
        <v>0</v>
      </c>
      <c r="IE59" s="139">
        <f t="shared" si="285"/>
        <v>0</v>
      </c>
      <c r="IF59" s="139">
        <f t="shared" si="285"/>
        <v>0</v>
      </c>
      <c r="IG59" s="139">
        <f t="shared" si="285"/>
        <v>0</v>
      </c>
      <c r="IH59" s="139">
        <f t="shared" si="285"/>
        <v>0</v>
      </c>
      <c r="II59" s="139">
        <f t="shared" si="285"/>
        <v>0</v>
      </c>
      <c r="IJ59" s="139">
        <f t="shared" ref="IJ59:JM59" si="286">IJ20/100</f>
        <v>0</v>
      </c>
      <c r="IK59" s="139">
        <f t="shared" si="286"/>
        <v>0</v>
      </c>
      <c r="IL59" s="139">
        <f t="shared" si="286"/>
        <v>0</v>
      </c>
      <c r="IM59" s="139">
        <f t="shared" si="286"/>
        <v>0</v>
      </c>
      <c r="IN59" s="139">
        <f t="shared" si="286"/>
        <v>0</v>
      </c>
      <c r="IO59" s="139">
        <f t="shared" si="286"/>
        <v>0</v>
      </c>
      <c r="IP59" s="139">
        <f t="shared" si="286"/>
        <v>0</v>
      </c>
      <c r="IQ59" s="139">
        <f t="shared" si="286"/>
        <v>0</v>
      </c>
      <c r="IR59" s="139">
        <f t="shared" si="286"/>
        <v>0</v>
      </c>
      <c r="IS59" s="139">
        <f t="shared" si="286"/>
        <v>0</v>
      </c>
      <c r="IT59" s="139">
        <f t="shared" si="286"/>
        <v>0</v>
      </c>
      <c r="IU59" s="139">
        <f t="shared" si="286"/>
        <v>0</v>
      </c>
      <c r="IV59" s="139">
        <f t="shared" si="286"/>
        <v>0</v>
      </c>
      <c r="IW59" s="139">
        <f t="shared" si="286"/>
        <v>0</v>
      </c>
      <c r="IX59" s="139">
        <f t="shared" si="286"/>
        <v>0</v>
      </c>
      <c r="IY59" s="139">
        <f t="shared" si="286"/>
        <v>0</v>
      </c>
      <c r="IZ59" s="139">
        <f t="shared" si="286"/>
        <v>0</v>
      </c>
      <c r="JA59" s="139">
        <f t="shared" si="286"/>
        <v>0</v>
      </c>
      <c r="JB59" s="139">
        <f t="shared" si="286"/>
        <v>0</v>
      </c>
      <c r="JC59" s="139">
        <f t="shared" si="286"/>
        <v>0</v>
      </c>
      <c r="JD59" s="139">
        <f t="shared" si="286"/>
        <v>0</v>
      </c>
      <c r="JE59" s="139">
        <f t="shared" si="286"/>
        <v>0</v>
      </c>
      <c r="JF59" s="139">
        <f t="shared" si="286"/>
        <v>0</v>
      </c>
      <c r="JG59" s="139">
        <f t="shared" si="286"/>
        <v>0</v>
      </c>
      <c r="JH59" s="139">
        <f t="shared" si="286"/>
        <v>0</v>
      </c>
      <c r="JI59" s="139">
        <f t="shared" si="286"/>
        <v>0</v>
      </c>
      <c r="JJ59" s="139">
        <f t="shared" si="286"/>
        <v>0</v>
      </c>
      <c r="JK59" s="139">
        <f t="shared" si="286"/>
        <v>0</v>
      </c>
      <c r="JL59" s="139">
        <f t="shared" si="286"/>
        <v>0</v>
      </c>
      <c r="JM59" s="139">
        <f t="shared" si="286"/>
        <v>0</v>
      </c>
      <c r="JN59" s="139">
        <f t="shared" ref="JN59:JS59" si="287">JN20/40</f>
        <v>0</v>
      </c>
      <c r="JO59" s="139">
        <f t="shared" si="287"/>
        <v>0</v>
      </c>
      <c r="JP59" s="139">
        <f t="shared" si="287"/>
        <v>0</v>
      </c>
      <c r="JQ59" s="139">
        <f t="shared" si="287"/>
        <v>0</v>
      </c>
      <c r="JR59" s="139">
        <f t="shared" si="287"/>
        <v>0</v>
      </c>
      <c r="JS59" s="139">
        <f t="shared" si="287"/>
        <v>0</v>
      </c>
      <c r="JT59" s="139">
        <f t="shared" ref="JT59:JY59" si="288">JT20/100</f>
        <v>0</v>
      </c>
      <c r="JU59" s="139">
        <f t="shared" si="288"/>
        <v>0</v>
      </c>
      <c r="JV59" s="139">
        <f t="shared" si="288"/>
        <v>0</v>
      </c>
      <c r="JW59" s="139">
        <f t="shared" si="288"/>
        <v>0</v>
      </c>
      <c r="JX59" s="139">
        <f t="shared" si="288"/>
        <v>0</v>
      </c>
      <c r="JY59" s="139">
        <f t="shared" si="288"/>
        <v>0</v>
      </c>
      <c r="JZ59" s="139">
        <f t="shared" ref="JZ59:KY59" si="289">JZ20/40</f>
        <v>0</v>
      </c>
      <c r="KA59" s="139">
        <f t="shared" si="289"/>
        <v>0</v>
      </c>
      <c r="KB59" s="139">
        <f t="shared" si="289"/>
        <v>0</v>
      </c>
      <c r="KC59" s="139">
        <f t="shared" si="289"/>
        <v>0</v>
      </c>
      <c r="KD59" s="139">
        <f t="shared" si="289"/>
        <v>0</v>
      </c>
      <c r="KE59" s="139">
        <f t="shared" si="289"/>
        <v>0</v>
      </c>
      <c r="KF59" s="139">
        <f t="shared" si="289"/>
        <v>0</v>
      </c>
      <c r="KG59" s="139">
        <f t="shared" si="289"/>
        <v>0</v>
      </c>
      <c r="KH59" s="139">
        <f t="shared" si="289"/>
        <v>0</v>
      </c>
      <c r="KI59" s="139">
        <f t="shared" si="289"/>
        <v>0</v>
      </c>
      <c r="KJ59" s="139">
        <f t="shared" si="289"/>
        <v>0</v>
      </c>
      <c r="KK59" s="139">
        <f t="shared" si="289"/>
        <v>0</v>
      </c>
      <c r="KL59" s="139">
        <f t="shared" si="289"/>
        <v>0</v>
      </c>
      <c r="KM59" s="139">
        <f t="shared" si="289"/>
        <v>0</v>
      </c>
      <c r="KN59" s="139">
        <f t="shared" si="289"/>
        <v>0</v>
      </c>
      <c r="KO59" s="139">
        <f t="shared" si="289"/>
        <v>0</v>
      </c>
      <c r="KP59" s="139">
        <f t="shared" si="289"/>
        <v>0</v>
      </c>
      <c r="KQ59" s="139">
        <f t="shared" si="289"/>
        <v>0</v>
      </c>
      <c r="KR59" s="139">
        <f t="shared" si="289"/>
        <v>0</v>
      </c>
      <c r="KS59" s="139">
        <f t="shared" si="289"/>
        <v>0</v>
      </c>
      <c r="KT59" s="139">
        <f t="shared" si="289"/>
        <v>0</v>
      </c>
      <c r="KU59" s="139">
        <f t="shared" si="289"/>
        <v>0</v>
      </c>
      <c r="KV59" s="139">
        <f t="shared" si="289"/>
        <v>0</v>
      </c>
      <c r="KW59" s="139">
        <f t="shared" si="289"/>
        <v>0</v>
      </c>
      <c r="KX59" s="139">
        <f t="shared" si="289"/>
        <v>0</v>
      </c>
      <c r="KY59" s="139">
        <f t="shared" si="289"/>
        <v>0</v>
      </c>
      <c r="KZ59" s="139">
        <f t="shared" ref="KZ59:ME59" si="290">KZ20/100</f>
        <v>0</v>
      </c>
      <c r="LA59" s="139">
        <f t="shared" si="290"/>
        <v>0</v>
      </c>
      <c r="LB59" s="139">
        <f t="shared" si="290"/>
        <v>0</v>
      </c>
      <c r="LC59" s="139">
        <f t="shared" si="290"/>
        <v>0</v>
      </c>
      <c r="LD59" s="139">
        <f t="shared" si="290"/>
        <v>0</v>
      </c>
      <c r="LE59" s="139">
        <f t="shared" si="290"/>
        <v>0</v>
      </c>
      <c r="LF59" s="139">
        <f t="shared" si="290"/>
        <v>0</v>
      </c>
      <c r="LG59" s="139">
        <f t="shared" si="290"/>
        <v>0</v>
      </c>
      <c r="LH59" s="139">
        <f t="shared" si="290"/>
        <v>0</v>
      </c>
      <c r="LI59" s="139">
        <f t="shared" si="290"/>
        <v>0</v>
      </c>
      <c r="LJ59" s="139">
        <f t="shared" si="290"/>
        <v>0</v>
      </c>
      <c r="LK59" s="139">
        <f t="shared" si="290"/>
        <v>0</v>
      </c>
      <c r="LL59" s="139">
        <f t="shared" si="290"/>
        <v>0</v>
      </c>
      <c r="LM59" s="139">
        <f t="shared" si="290"/>
        <v>0</v>
      </c>
      <c r="LN59" s="139">
        <f t="shared" si="290"/>
        <v>0</v>
      </c>
      <c r="LO59" s="139">
        <f t="shared" si="290"/>
        <v>0</v>
      </c>
      <c r="LP59" s="139">
        <f t="shared" si="290"/>
        <v>0</v>
      </c>
      <c r="LQ59" s="139">
        <f t="shared" si="290"/>
        <v>0</v>
      </c>
      <c r="LR59" s="139">
        <f t="shared" si="290"/>
        <v>0</v>
      </c>
      <c r="LS59" s="139">
        <f t="shared" si="290"/>
        <v>0</v>
      </c>
      <c r="LT59" s="139">
        <f t="shared" si="290"/>
        <v>0</v>
      </c>
      <c r="LU59" s="139">
        <f t="shared" si="290"/>
        <v>0</v>
      </c>
      <c r="LV59" s="139">
        <f t="shared" si="290"/>
        <v>0</v>
      </c>
      <c r="LW59" s="139">
        <f t="shared" si="290"/>
        <v>0</v>
      </c>
      <c r="LX59" s="139">
        <f t="shared" si="290"/>
        <v>0</v>
      </c>
      <c r="LY59" s="139">
        <f t="shared" si="290"/>
        <v>0</v>
      </c>
      <c r="LZ59" s="139">
        <f t="shared" si="290"/>
        <v>0</v>
      </c>
      <c r="MA59" s="139">
        <f t="shared" si="290"/>
        <v>0</v>
      </c>
      <c r="MB59" s="139">
        <f t="shared" si="290"/>
        <v>0</v>
      </c>
      <c r="MC59" s="139">
        <f t="shared" si="290"/>
        <v>0</v>
      </c>
      <c r="MD59" s="139">
        <f t="shared" si="290"/>
        <v>0</v>
      </c>
      <c r="ME59" s="139">
        <f t="shared" si="290"/>
        <v>0</v>
      </c>
      <c r="MF59" s="139">
        <f t="shared" ref="MF59:NK59" si="291">MF20/100</f>
        <v>0</v>
      </c>
      <c r="MG59" s="139">
        <f t="shared" si="291"/>
        <v>0</v>
      </c>
      <c r="MH59" s="139">
        <f t="shared" si="291"/>
        <v>0</v>
      </c>
      <c r="MI59" s="139">
        <f t="shared" si="291"/>
        <v>0</v>
      </c>
      <c r="MJ59" s="139">
        <f t="shared" si="291"/>
        <v>0</v>
      </c>
      <c r="MK59" s="139">
        <f t="shared" si="291"/>
        <v>0</v>
      </c>
      <c r="ML59" s="139">
        <f t="shared" si="291"/>
        <v>0</v>
      </c>
      <c r="MM59" s="139">
        <f t="shared" si="291"/>
        <v>0</v>
      </c>
      <c r="MN59" s="139">
        <f t="shared" si="291"/>
        <v>0</v>
      </c>
      <c r="MO59" s="139">
        <f t="shared" si="291"/>
        <v>0</v>
      </c>
      <c r="MP59" s="139">
        <f t="shared" si="291"/>
        <v>0</v>
      </c>
      <c r="MQ59" s="139">
        <f t="shared" si="291"/>
        <v>0</v>
      </c>
      <c r="MR59" s="139">
        <f t="shared" si="291"/>
        <v>0</v>
      </c>
      <c r="MS59" s="139">
        <f t="shared" si="291"/>
        <v>0</v>
      </c>
      <c r="MT59" s="139">
        <f t="shared" si="291"/>
        <v>0</v>
      </c>
      <c r="MU59" s="139">
        <f t="shared" si="291"/>
        <v>0</v>
      </c>
      <c r="MV59" s="139">
        <f t="shared" si="291"/>
        <v>0</v>
      </c>
      <c r="MW59" s="139">
        <f t="shared" si="291"/>
        <v>0</v>
      </c>
      <c r="MX59" s="139">
        <f t="shared" si="291"/>
        <v>0</v>
      </c>
      <c r="MY59" s="139">
        <f t="shared" si="291"/>
        <v>0</v>
      </c>
      <c r="MZ59" s="139">
        <f t="shared" si="291"/>
        <v>0</v>
      </c>
      <c r="NA59" s="139">
        <f t="shared" si="291"/>
        <v>0</v>
      </c>
      <c r="NB59" s="139">
        <f t="shared" si="291"/>
        <v>0</v>
      </c>
      <c r="NC59" s="139">
        <f t="shared" si="291"/>
        <v>0</v>
      </c>
      <c r="ND59" s="139">
        <f t="shared" si="291"/>
        <v>0</v>
      </c>
      <c r="NE59" s="139">
        <f t="shared" si="291"/>
        <v>0</v>
      </c>
      <c r="NF59" s="139">
        <f t="shared" si="291"/>
        <v>0</v>
      </c>
      <c r="NG59" s="139">
        <f t="shared" si="291"/>
        <v>0</v>
      </c>
      <c r="NH59" s="139">
        <f t="shared" si="291"/>
        <v>0</v>
      </c>
      <c r="NI59" s="139">
        <f t="shared" si="291"/>
        <v>0</v>
      </c>
      <c r="NJ59" s="139">
        <f t="shared" si="291"/>
        <v>0</v>
      </c>
      <c r="NK59" s="139">
        <f t="shared" si="291"/>
        <v>0</v>
      </c>
      <c r="NL59" s="139">
        <f t="shared" ref="NL59:OQ59" si="292">NL20/100</f>
        <v>0</v>
      </c>
      <c r="NM59" s="139">
        <f t="shared" si="292"/>
        <v>0</v>
      </c>
      <c r="NN59" s="139">
        <f t="shared" si="292"/>
        <v>0</v>
      </c>
      <c r="NO59" s="139">
        <f t="shared" si="292"/>
        <v>0</v>
      </c>
      <c r="NP59" s="139">
        <f t="shared" si="292"/>
        <v>0</v>
      </c>
      <c r="NQ59" s="139">
        <f t="shared" si="292"/>
        <v>0</v>
      </c>
      <c r="NR59" s="139">
        <f t="shared" si="292"/>
        <v>0</v>
      </c>
      <c r="NS59" s="139">
        <f t="shared" si="292"/>
        <v>0</v>
      </c>
      <c r="NT59" s="139">
        <f t="shared" si="292"/>
        <v>0</v>
      </c>
      <c r="NU59" s="139">
        <f t="shared" si="292"/>
        <v>0</v>
      </c>
      <c r="NV59" s="139">
        <f t="shared" si="292"/>
        <v>0</v>
      </c>
      <c r="NW59" s="139">
        <f t="shared" si="292"/>
        <v>0</v>
      </c>
      <c r="NX59" s="139">
        <f t="shared" si="292"/>
        <v>0</v>
      </c>
      <c r="NY59" s="139">
        <f t="shared" si="292"/>
        <v>0</v>
      </c>
      <c r="NZ59" s="139">
        <f t="shared" si="292"/>
        <v>0</v>
      </c>
      <c r="OA59" s="139">
        <f t="shared" si="292"/>
        <v>0</v>
      </c>
      <c r="OB59" s="139">
        <f t="shared" si="292"/>
        <v>0</v>
      </c>
      <c r="OC59" s="139">
        <f t="shared" si="292"/>
        <v>0</v>
      </c>
      <c r="OD59" s="139">
        <f t="shared" si="292"/>
        <v>0</v>
      </c>
      <c r="OE59" s="139">
        <f t="shared" si="292"/>
        <v>0</v>
      </c>
      <c r="OF59" s="139">
        <f t="shared" si="292"/>
        <v>0</v>
      </c>
      <c r="OG59" s="139">
        <f t="shared" si="292"/>
        <v>0</v>
      </c>
      <c r="OH59" s="139">
        <f t="shared" si="292"/>
        <v>0</v>
      </c>
      <c r="OI59" s="139">
        <f t="shared" si="292"/>
        <v>0</v>
      </c>
      <c r="OJ59" s="139">
        <f t="shared" si="292"/>
        <v>0</v>
      </c>
      <c r="OK59" s="139">
        <f t="shared" si="292"/>
        <v>0</v>
      </c>
      <c r="OL59" s="139">
        <f t="shared" si="292"/>
        <v>0</v>
      </c>
      <c r="OM59" s="139">
        <f t="shared" si="292"/>
        <v>0</v>
      </c>
      <c r="ON59" s="139">
        <f t="shared" si="292"/>
        <v>0</v>
      </c>
      <c r="OO59" s="139">
        <f t="shared" si="292"/>
        <v>0</v>
      </c>
      <c r="OP59" s="139">
        <f t="shared" si="292"/>
        <v>0</v>
      </c>
      <c r="OQ59" s="139">
        <f t="shared" si="292"/>
        <v>0</v>
      </c>
      <c r="OR59" s="139">
        <f t="shared" ref="OR59:PW59" si="293">OR20/100</f>
        <v>0</v>
      </c>
      <c r="OS59" s="139">
        <f t="shared" si="293"/>
        <v>0</v>
      </c>
      <c r="OT59" s="139">
        <f t="shared" si="293"/>
        <v>0</v>
      </c>
      <c r="OU59" s="139">
        <f t="shared" si="293"/>
        <v>0</v>
      </c>
      <c r="OV59" s="139">
        <f t="shared" si="293"/>
        <v>0</v>
      </c>
      <c r="OW59" s="139">
        <f t="shared" si="293"/>
        <v>0</v>
      </c>
      <c r="OX59" s="139">
        <f t="shared" si="293"/>
        <v>0</v>
      </c>
      <c r="OY59" s="139">
        <f t="shared" si="293"/>
        <v>0</v>
      </c>
      <c r="OZ59" s="139">
        <f t="shared" si="293"/>
        <v>0</v>
      </c>
      <c r="PA59" s="139">
        <f t="shared" si="293"/>
        <v>0</v>
      </c>
      <c r="PB59" s="139">
        <f t="shared" si="293"/>
        <v>0</v>
      </c>
      <c r="PC59" s="139">
        <f t="shared" si="293"/>
        <v>0</v>
      </c>
      <c r="PD59" s="139">
        <f t="shared" si="293"/>
        <v>0</v>
      </c>
      <c r="PE59" s="139">
        <f t="shared" si="293"/>
        <v>0</v>
      </c>
      <c r="PF59" s="139">
        <f t="shared" si="293"/>
        <v>0</v>
      </c>
      <c r="PG59" s="139">
        <f t="shared" si="293"/>
        <v>0</v>
      </c>
      <c r="PH59" s="139">
        <f t="shared" si="293"/>
        <v>0</v>
      </c>
      <c r="PI59" s="139">
        <f t="shared" si="293"/>
        <v>0</v>
      </c>
      <c r="PJ59" s="139">
        <f t="shared" si="293"/>
        <v>0</v>
      </c>
      <c r="PK59" s="139">
        <f t="shared" si="293"/>
        <v>0</v>
      </c>
      <c r="PL59" s="139">
        <f t="shared" si="293"/>
        <v>0</v>
      </c>
      <c r="PM59" s="139">
        <f t="shared" si="293"/>
        <v>0</v>
      </c>
      <c r="PN59" s="139">
        <f t="shared" si="293"/>
        <v>0</v>
      </c>
      <c r="PO59" s="139">
        <f t="shared" si="293"/>
        <v>0</v>
      </c>
      <c r="PP59" s="139">
        <f t="shared" si="293"/>
        <v>0</v>
      </c>
      <c r="PQ59" s="139">
        <f t="shared" si="293"/>
        <v>0</v>
      </c>
      <c r="PR59" s="139">
        <f t="shared" si="293"/>
        <v>0</v>
      </c>
      <c r="PS59" s="139">
        <f t="shared" si="293"/>
        <v>0</v>
      </c>
      <c r="PT59" s="139">
        <f t="shared" si="293"/>
        <v>0</v>
      </c>
      <c r="PU59" s="139">
        <f t="shared" si="293"/>
        <v>0</v>
      </c>
      <c r="PV59" s="139">
        <f t="shared" si="293"/>
        <v>0</v>
      </c>
      <c r="PW59" s="139">
        <f t="shared" si="293"/>
        <v>0</v>
      </c>
      <c r="PX59" s="139">
        <f t="shared" ref="PX59:QQ59" si="294">PX20/100</f>
        <v>0</v>
      </c>
      <c r="PY59" s="139">
        <f t="shared" si="294"/>
        <v>0</v>
      </c>
      <c r="PZ59" s="139">
        <f t="shared" si="294"/>
        <v>0</v>
      </c>
      <c r="QA59" s="139">
        <f t="shared" si="294"/>
        <v>0</v>
      </c>
      <c r="QB59" s="139">
        <f t="shared" si="294"/>
        <v>0</v>
      </c>
      <c r="QC59" s="139">
        <f t="shared" si="294"/>
        <v>0</v>
      </c>
      <c r="QD59" s="139">
        <f t="shared" si="294"/>
        <v>0</v>
      </c>
      <c r="QE59" s="139">
        <f t="shared" si="294"/>
        <v>0</v>
      </c>
      <c r="QF59" s="139">
        <f t="shared" si="294"/>
        <v>0</v>
      </c>
      <c r="QG59" s="139">
        <f t="shared" si="294"/>
        <v>0</v>
      </c>
      <c r="QH59" s="139">
        <f t="shared" si="294"/>
        <v>0</v>
      </c>
      <c r="QI59" s="139">
        <f t="shared" si="294"/>
        <v>0</v>
      </c>
      <c r="QJ59" s="139">
        <f t="shared" si="294"/>
        <v>0</v>
      </c>
      <c r="QK59" s="139">
        <f t="shared" si="294"/>
        <v>0</v>
      </c>
      <c r="QL59" s="139">
        <f t="shared" si="294"/>
        <v>0</v>
      </c>
      <c r="QM59" s="139">
        <f t="shared" si="294"/>
        <v>0</v>
      </c>
      <c r="QN59" s="139">
        <f t="shared" si="294"/>
        <v>0</v>
      </c>
      <c r="QO59" s="139">
        <f t="shared" si="294"/>
        <v>0</v>
      </c>
      <c r="QP59" s="139">
        <f t="shared" si="294"/>
        <v>0</v>
      </c>
      <c r="QQ59" s="139">
        <f t="shared" si="294"/>
        <v>0</v>
      </c>
      <c r="QR59" s="139">
        <f>QR20/40</f>
        <v>0</v>
      </c>
      <c r="QS59" s="139">
        <f>QS20/100</f>
        <v>0</v>
      </c>
      <c r="QT59" s="139">
        <f>QT20/100</f>
        <v>0</v>
      </c>
      <c r="QU59" s="139">
        <f t="shared" ref="QU59:QZ59" si="295">QU20/40</f>
        <v>0</v>
      </c>
      <c r="QV59" s="139">
        <f t="shared" si="295"/>
        <v>0</v>
      </c>
      <c r="QW59" s="139">
        <f t="shared" si="295"/>
        <v>0</v>
      </c>
      <c r="QX59" s="139">
        <f t="shared" si="295"/>
        <v>0</v>
      </c>
      <c r="QY59" s="139">
        <f t="shared" si="295"/>
        <v>0</v>
      </c>
      <c r="QZ59" s="139">
        <f t="shared" si="295"/>
        <v>0</v>
      </c>
      <c r="RA59" s="139">
        <f t="shared" ref="RA59:SA59" si="296">RA20/100</f>
        <v>0</v>
      </c>
      <c r="RB59" s="139">
        <f t="shared" si="296"/>
        <v>0</v>
      </c>
      <c r="RC59" s="139">
        <f t="shared" si="296"/>
        <v>0</v>
      </c>
      <c r="RD59" s="139">
        <f t="shared" si="296"/>
        <v>0</v>
      </c>
      <c r="RE59" s="139">
        <f t="shared" si="296"/>
        <v>0</v>
      </c>
      <c r="RF59" s="139">
        <f t="shared" si="296"/>
        <v>0</v>
      </c>
      <c r="RG59" s="139">
        <f t="shared" si="296"/>
        <v>0</v>
      </c>
      <c r="RH59" s="139">
        <f t="shared" si="296"/>
        <v>0</v>
      </c>
      <c r="RI59" s="139">
        <f t="shared" si="296"/>
        <v>0</v>
      </c>
      <c r="RJ59" s="139">
        <f t="shared" si="296"/>
        <v>0</v>
      </c>
      <c r="RK59" s="139">
        <f t="shared" si="296"/>
        <v>0</v>
      </c>
      <c r="RL59" s="139">
        <f t="shared" si="296"/>
        <v>0</v>
      </c>
      <c r="RM59" s="139">
        <f t="shared" si="296"/>
        <v>0</v>
      </c>
      <c r="RN59" s="139">
        <f t="shared" si="296"/>
        <v>0</v>
      </c>
      <c r="RO59" s="139">
        <f t="shared" si="296"/>
        <v>0</v>
      </c>
      <c r="RP59" s="139">
        <f t="shared" si="296"/>
        <v>0</v>
      </c>
      <c r="RQ59" s="139">
        <f t="shared" si="296"/>
        <v>0</v>
      </c>
      <c r="RR59" s="139">
        <f t="shared" si="296"/>
        <v>0</v>
      </c>
      <c r="RS59" s="139">
        <f t="shared" si="296"/>
        <v>0</v>
      </c>
      <c r="RT59" s="139">
        <f t="shared" si="296"/>
        <v>0</v>
      </c>
      <c r="RU59" s="139">
        <f t="shared" si="296"/>
        <v>0</v>
      </c>
      <c r="RV59" s="139">
        <f t="shared" si="296"/>
        <v>0</v>
      </c>
      <c r="RW59" s="139">
        <f t="shared" si="296"/>
        <v>0</v>
      </c>
      <c r="RX59" s="139">
        <f t="shared" si="296"/>
        <v>0</v>
      </c>
      <c r="RY59" s="139">
        <f t="shared" si="296"/>
        <v>0</v>
      </c>
      <c r="RZ59" s="139">
        <f t="shared" si="296"/>
        <v>0</v>
      </c>
      <c r="SA59" s="139">
        <f t="shared" si="296"/>
        <v>0</v>
      </c>
      <c r="SB59" s="139">
        <f>SB20/40</f>
        <v>0</v>
      </c>
      <c r="SC59" s="139">
        <f>SC20/40</f>
        <v>0</v>
      </c>
      <c r="SD59" s="139">
        <f>SD20/40</f>
        <v>0</v>
      </c>
      <c r="SE59" s="139">
        <f t="shared" ref="SE59:SU59" si="297">SE20/100</f>
        <v>0</v>
      </c>
      <c r="SF59" s="139">
        <f t="shared" si="297"/>
        <v>0</v>
      </c>
      <c r="SG59" s="139">
        <f t="shared" si="297"/>
        <v>0</v>
      </c>
      <c r="SH59" s="139">
        <f t="shared" si="297"/>
        <v>0</v>
      </c>
      <c r="SI59" s="139">
        <f t="shared" si="297"/>
        <v>0</v>
      </c>
      <c r="SJ59" s="139">
        <f t="shared" si="297"/>
        <v>0</v>
      </c>
      <c r="SK59" s="139">
        <f t="shared" si="297"/>
        <v>0</v>
      </c>
      <c r="SL59" s="139">
        <f t="shared" si="297"/>
        <v>0</v>
      </c>
      <c r="SM59" s="139">
        <f t="shared" si="297"/>
        <v>0</v>
      </c>
      <c r="SN59" s="139">
        <f t="shared" si="297"/>
        <v>0</v>
      </c>
      <c r="SO59" s="139">
        <f t="shared" si="297"/>
        <v>0</v>
      </c>
      <c r="SP59" s="139">
        <f t="shared" si="297"/>
        <v>0</v>
      </c>
      <c r="SQ59" s="139">
        <f t="shared" si="297"/>
        <v>0</v>
      </c>
      <c r="SR59" s="139">
        <f t="shared" si="297"/>
        <v>0</v>
      </c>
      <c r="SS59" s="139">
        <f t="shared" si="297"/>
        <v>0</v>
      </c>
      <c r="ST59" s="139">
        <f t="shared" si="297"/>
        <v>0</v>
      </c>
      <c r="SU59" s="139">
        <f t="shared" si="297"/>
        <v>0</v>
      </c>
      <c r="SV59" s="139">
        <f>SV20/40</f>
        <v>0</v>
      </c>
      <c r="SW59" s="139">
        <f>SW20/40</f>
        <v>0</v>
      </c>
      <c r="SX59" s="139">
        <f t="shared" ref="SX59:TR59" si="298">SX20/100</f>
        <v>0</v>
      </c>
      <c r="SY59" s="139">
        <f t="shared" si="298"/>
        <v>0</v>
      </c>
      <c r="SZ59" s="139">
        <f t="shared" si="298"/>
        <v>0</v>
      </c>
      <c r="TA59" s="139">
        <f t="shared" si="298"/>
        <v>0</v>
      </c>
      <c r="TB59" s="139">
        <f t="shared" si="298"/>
        <v>0</v>
      </c>
      <c r="TC59" s="139">
        <f t="shared" si="298"/>
        <v>0</v>
      </c>
      <c r="TD59" s="139">
        <f t="shared" si="298"/>
        <v>0</v>
      </c>
      <c r="TE59" s="139">
        <f t="shared" si="298"/>
        <v>0</v>
      </c>
      <c r="TF59" s="139">
        <f t="shared" si="298"/>
        <v>0</v>
      </c>
      <c r="TG59" s="139">
        <f t="shared" si="298"/>
        <v>0</v>
      </c>
      <c r="TH59" s="139">
        <f t="shared" si="298"/>
        <v>0</v>
      </c>
      <c r="TI59" s="139">
        <f t="shared" si="298"/>
        <v>0</v>
      </c>
      <c r="TJ59" s="139">
        <f t="shared" si="298"/>
        <v>0</v>
      </c>
      <c r="TK59" s="139">
        <f t="shared" si="298"/>
        <v>0</v>
      </c>
      <c r="TL59" s="139">
        <f t="shared" si="298"/>
        <v>0</v>
      </c>
      <c r="TM59" s="139">
        <f t="shared" si="298"/>
        <v>0</v>
      </c>
      <c r="TN59" s="139">
        <f t="shared" si="298"/>
        <v>0</v>
      </c>
      <c r="TO59" s="139">
        <f t="shared" si="298"/>
        <v>0</v>
      </c>
      <c r="TP59" s="139">
        <f t="shared" si="298"/>
        <v>0</v>
      </c>
      <c r="TQ59" s="139">
        <f t="shared" si="298"/>
        <v>0</v>
      </c>
      <c r="TR59" s="139">
        <f t="shared" si="298"/>
        <v>0</v>
      </c>
      <c r="TS59" s="139">
        <f>TS20/40</f>
        <v>0</v>
      </c>
      <c r="TT59" s="139">
        <f t="shared" ref="TT59:UY59" si="299">TT20/100</f>
        <v>0</v>
      </c>
      <c r="TU59" s="139">
        <f t="shared" si="299"/>
        <v>0</v>
      </c>
      <c r="TV59" s="139">
        <f t="shared" si="299"/>
        <v>0</v>
      </c>
      <c r="TW59" s="139">
        <f t="shared" si="299"/>
        <v>0</v>
      </c>
      <c r="TX59" s="139">
        <f t="shared" si="299"/>
        <v>0</v>
      </c>
      <c r="TY59" s="139">
        <f t="shared" si="299"/>
        <v>0</v>
      </c>
      <c r="TZ59" s="139">
        <f t="shared" si="299"/>
        <v>0</v>
      </c>
      <c r="UA59" s="139">
        <f t="shared" si="299"/>
        <v>0</v>
      </c>
      <c r="UB59" s="139">
        <f t="shared" si="299"/>
        <v>0</v>
      </c>
      <c r="UC59" s="139">
        <f t="shared" si="299"/>
        <v>0</v>
      </c>
      <c r="UD59" s="139">
        <f t="shared" si="299"/>
        <v>0</v>
      </c>
      <c r="UE59" s="139">
        <f t="shared" si="299"/>
        <v>0</v>
      </c>
      <c r="UF59" s="139">
        <f t="shared" si="299"/>
        <v>0</v>
      </c>
      <c r="UG59" s="139">
        <f t="shared" si="299"/>
        <v>0</v>
      </c>
      <c r="UH59" s="139">
        <f t="shared" si="299"/>
        <v>0</v>
      </c>
      <c r="UI59" s="139">
        <f t="shared" si="299"/>
        <v>0</v>
      </c>
      <c r="UJ59" s="139">
        <f t="shared" si="299"/>
        <v>0</v>
      </c>
      <c r="UK59" s="139">
        <f t="shared" si="299"/>
        <v>0</v>
      </c>
      <c r="UL59" s="139">
        <f t="shared" si="299"/>
        <v>0</v>
      </c>
      <c r="UM59" s="139">
        <f t="shared" si="299"/>
        <v>0</v>
      </c>
      <c r="UN59" s="139">
        <f t="shared" si="299"/>
        <v>0</v>
      </c>
      <c r="UO59" s="139">
        <f t="shared" si="299"/>
        <v>0</v>
      </c>
      <c r="UP59" s="139">
        <f t="shared" si="299"/>
        <v>0</v>
      </c>
      <c r="UQ59" s="139">
        <f t="shared" si="299"/>
        <v>0</v>
      </c>
      <c r="UR59" s="139">
        <f t="shared" si="299"/>
        <v>0</v>
      </c>
      <c r="US59" s="139">
        <f t="shared" si="299"/>
        <v>0</v>
      </c>
      <c r="UT59" s="139">
        <f t="shared" si="299"/>
        <v>0</v>
      </c>
      <c r="UU59" s="139">
        <f t="shared" si="299"/>
        <v>0</v>
      </c>
      <c r="UV59" s="139">
        <f t="shared" si="299"/>
        <v>0</v>
      </c>
      <c r="UW59" s="139">
        <f t="shared" si="299"/>
        <v>0</v>
      </c>
      <c r="UX59" s="139">
        <f t="shared" si="299"/>
        <v>0</v>
      </c>
      <c r="UY59" s="139">
        <f t="shared" si="299"/>
        <v>0</v>
      </c>
      <c r="UZ59" s="139">
        <f t="shared" ref="UZ59:WE59" si="300">UZ20/100</f>
        <v>0</v>
      </c>
      <c r="VA59" s="139">
        <f t="shared" si="300"/>
        <v>0</v>
      </c>
      <c r="VB59" s="139">
        <f t="shared" si="300"/>
        <v>0</v>
      </c>
      <c r="VC59" s="139">
        <f t="shared" si="300"/>
        <v>0</v>
      </c>
      <c r="VD59" s="139">
        <f t="shared" si="300"/>
        <v>0</v>
      </c>
      <c r="VE59" s="139">
        <f t="shared" si="300"/>
        <v>0</v>
      </c>
      <c r="VF59" s="139">
        <f t="shared" si="300"/>
        <v>0</v>
      </c>
      <c r="VG59" s="139">
        <f t="shared" si="300"/>
        <v>0</v>
      </c>
      <c r="VH59" s="139">
        <f t="shared" si="300"/>
        <v>0</v>
      </c>
      <c r="VI59" s="139">
        <f t="shared" si="300"/>
        <v>0</v>
      </c>
      <c r="VJ59" s="139">
        <f t="shared" si="300"/>
        <v>0</v>
      </c>
      <c r="VK59" s="139">
        <f t="shared" si="300"/>
        <v>0</v>
      </c>
      <c r="VL59" s="139">
        <f t="shared" si="300"/>
        <v>0</v>
      </c>
      <c r="VM59" s="139">
        <f t="shared" si="300"/>
        <v>0</v>
      </c>
      <c r="VN59" s="139">
        <f t="shared" si="300"/>
        <v>0</v>
      </c>
      <c r="VO59" s="139">
        <f t="shared" si="300"/>
        <v>0</v>
      </c>
      <c r="VP59" s="139">
        <f t="shared" si="300"/>
        <v>0</v>
      </c>
      <c r="VQ59" s="139">
        <f t="shared" si="300"/>
        <v>0</v>
      </c>
      <c r="VR59" s="139">
        <f t="shared" si="300"/>
        <v>0</v>
      </c>
      <c r="VS59" s="139">
        <f t="shared" si="300"/>
        <v>0</v>
      </c>
      <c r="VT59" s="139">
        <f t="shared" si="300"/>
        <v>0</v>
      </c>
      <c r="VU59" s="139">
        <f t="shared" si="300"/>
        <v>0</v>
      </c>
      <c r="VV59" s="139">
        <f t="shared" si="300"/>
        <v>0</v>
      </c>
      <c r="VW59" s="139">
        <f t="shared" si="300"/>
        <v>0</v>
      </c>
      <c r="VX59" s="139">
        <f t="shared" si="300"/>
        <v>0</v>
      </c>
      <c r="VY59" s="139">
        <f t="shared" si="300"/>
        <v>0</v>
      </c>
      <c r="VZ59" s="139">
        <f t="shared" si="300"/>
        <v>0</v>
      </c>
      <c r="WA59" s="139">
        <f t="shared" si="300"/>
        <v>0</v>
      </c>
      <c r="WB59" s="139">
        <f t="shared" si="300"/>
        <v>0</v>
      </c>
      <c r="WC59" s="139">
        <f t="shared" si="300"/>
        <v>0</v>
      </c>
      <c r="WD59" s="139">
        <f t="shared" si="300"/>
        <v>0</v>
      </c>
      <c r="WE59" s="139">
        <f t="shared" si="300"/>
        <v>0</v>
      </c>
      <c r="WF59" s="139">
        <f t="shared" ref="WF59:WS59" si="301">WF20/100</f>
        <v>0</v>
      </c>
      <c r="WG59" s="139">
        <f t="shared" si="301"/>
        <v>0</v>
      </c>
      <c r="WH59" s="139">
        <f t="shared" si="301"/>
        <v>0</v>
      </c>
      <c r="WI59" s="139">
        <f t="shared" si="301"/>
        <v>0</v>
      </c>
      <c r="WJ59" s="139">
        <f t="shared" si="301"/>
        <v>0</v>
      </c>
      <c r="WK59" s="139">
        <f t="shared" si="301"/>
        <v>0</v>
      </c>
      <c r="WL59" s="139">
        <f t="shared" si="301"/>
        <v>0</v>
      </c>
      <c r="WM59" s="139">
        <f t="shared" si="301"/>
        <v>0</v>
      </c>
      <c r="WN59" s="139">
        <f t="shared" si="301"/>
        <v>0</v>
      </c>
      <c r="WO59" s="139">
        <f t="shared" si="301"/>
        <v>0</v>
      </c>
      <c r="WP59" s="139">
        <f t="shared" si="301"/>
        <v>0</v>
      </c>
      <c r="WQ59" s="139">
        <f t="shared" si="301"/>
        <v>0</v>
      </c>
      <c r="WR59" s="139">
        <f t="shared" si="301"/>
        <v>0</v>
      </c>
      <c r="WS59" s="139">
        <f t="shared" si="301"/>
        <v>0</v>
      </c>
    </row>
    <row r="60" spans="1:830" hidden="1" x14ac:dyDescent="0.25">
      <c r="F60" s="32"/>
      <c r="M60" t="s">
        <v>408</v>
      </c>
      <c r="N60" s="139">
        <f t="shared" ref="N60:AS60" si="302">N23/40</f>
        <v>0</v>
      </c>
      <c r="O60" s="139">
        <f t="shared" si="302"/>
        <v>0</v>
      </c>
      <c r="P60" s="139">
        <f t="shared" si="302"/>
        <v>0</v>
      </c>
      <c r="Q60" s="139">
        <f t="shared" si="302"/>
        <v>0</v>
      </c>
      <c r="R60" s="139">
        <f t="shared" si="302"/>
        <v>0</v>
      </c>
      <c r="S60" s="139">
        <f t="shared" si="302"/>
        <v>0</v>
      </c>
      <c r="T60" s="139">
        <f t="shared" si="302"/>
        <v>0</v>
      </c>
      <c r="U60" s="139">
        <f t="shared" si="302"/>
        <v>0</v>
      </c>
      <c r="V60" s="139">
        <f t="shared" si="302"/>
        <v>0</v>
      </c>
      <c r="W60" s="139">
        <f t="shared" si="302"/>
        <v>0</v>
      </c>
      <c r="X60" s="139">
        <f t="shared" si="302"/>
        <v>0</v>
      </c>
      <c r="Y60" s="139">
        <f t="shared" si="302"/>
        <v>0</v>
      </c>
      <c r="Z60" s="139">
        <f t="shared" si="302"/>
        <v>0</v>
      </c>
      <c r="AA60" s="139">
        <f t="shared" si="302"/>
        <v>0</v>
      </c>
      <c r="AB60" s="139">
        <f t="shared" si="302"/>
        <v>0</v>
      </c>
      <c r="AC60" s="139">
        <f t="shared" si="302"/>
        <v>0</v>
      </c>
      <c r="AD60" s="139">
        <f t="shared" si="302"/>
        <v>0</v>
      </c>
      <c r="AE60" s="139">
        <f t="shared" si="302"/>
        <v>0</v>
      </c>
      <c r="AF60" s="139">
        <f t="shared" si="302"/>
        <v>0</v>
      </c>
      <c r="AG60" s="139">
        <f t="shared" si="302"/>
        <v>0</v>
      </c>
      <c r="AH60" s="139">
        <f t="shared" si="302"/>
        <v>0</v>
      </c>
      <c r="AI60" s="139">
        <f t="shared" si="302"/>
        <v>0</v>
      </c>
      <c r="AJ60" s="139">
        <f t="shared" si="302"/>
        <v>0</v>
      </c>
      <c r="AK60" s="139">
        <f t="shared" si="302"/>
        <v>0</v>
      </c>
      <c r="AL60" s="139">
        <f t="shared" si="302"/>
        <v>0</v>
      </c>
      <c r="AM60" s="139">
        <f t="shared" si="302"/>
        <v>0</v>
      </c>
      <c r="AN60" s="139">
        <f t="shared" si="302"/>
        <v>0</v>
      </c>
      <c r="AO60" s="139">
        <f t="shared" si="302"/>
        <v>0</v>
      </c>
      <c r="AP60" s="139">
        <f t="shared" si="302"/>
        <v>0</v>
      </c>
      <c r="AQ60" s="139">
        <f t="shared" si="302"/>
        <v>0</v>
      </c>
      <c r="AR60" s="139">
        <f t="shared" si="302"/>
        <v>0</v>
      </c>
      <c r="AS60" s="139">
        <f t="shared" si="302"/>
        <v>0</v>
      </c>
      <c r="AT60" s="139">
        <f t="shared" ref="AT60:BY60" si="303">AT23/40</f>
        <v>0</v>
      </c>
      <c r="AU60" s="139">
        <f t="shared" si="303"/>
        <v>0</v>
      </c>
      <c r="AV60" s="139">
        <f t="shared" si="303"/>
        <v>0</v>
      </c>
      <c r="AW60" s="139">
        <f t="shared" si="303"/>
        <v>0</v>
      </c>
      <c r="AX60" s="139">
        <f t="shared" si="303"/>
        <v>0</v>
      </c>
      <c r="AY60" s="139">
        <f t="shared" si="303"/>
        <v>0</v>
      </c>
      <c r="AZ60" s="139">
        <f t="shared" si="303"/>
        <v>0</v>
      </c>
      <c r="BA60" s="139">
        <f t="shared" si="303"/>
        <v>0</v>
      </c>
      <c r="BB60" s="139">
        <f t="shared" si="303"/>
        <v>0</v>
      </c>
      <c r="BC60" s="139">
        <f t="shared" si="303"/>
        <v>0</v>
      </c>
      <c r="BD60" s="139">
        <f t="shared" si="303"/>
        <v>0</v>
      </c>
      <c r="BE60" s="139">
        <f t="shared" si="303"/>
        <v>0</v>
      </c>
      <c r="BF60" s="139">
        <f t="shared" si="303"/>
        <v>0</v>
      </c>
      <c r="BG60" s="139">
        <f t="shared" si="303"/>
        <v>0</v>
      </c>
      <c r="BH60" s="139">
        <f t="shared" si="303"/>
        <v>0</v>
      </c>
      <c r="BI60" s="139">
        <f t="shared" si="303"/>
        <v>0</v>
      </c>
      <c r="BJ60" s="139">
        <f t="shared" si="303"/>
        <v>0</v>
      </c>
      <c r="BK60" s="139">
        <f t="shared" si="303"/>
        <v>0</v>
      </c>
      <c r="BL60" s="139">
        <f t="shared" si="303"/>
        <v>0</v>
      </c>
      <c r="BM60" s="139">
        <f t="shared" si="303"/>
        <v>0</v>
      </c>
      <c r="BN60" s="139">
        <f t="shared" si="303"/>
        <v>0</v>
      </c>
      <c r="BO60" s="139">
        <f t="shared" si="303"/>
        <v>0</v>
      </c>
      <c r="BP60" s="139">
        <f t="shared" si="303"/>
        <v>0</v>
      </c>
      <c r="BQ60" s="139">
        <f t="shared" si="303"/>
        <v>0</v>
      </c>
      <c r="BR60" s="139">
        <f t="shared" si="303"/>
        <v>0</v>
      </c>
      <c r="BS60" s="139">
        <f t="shared" si="303"/>
        <v>0</v>
      </c>
      <c r="BT60" s="139">
        <f t="shared" si="303"/>
        <v>0</v>
      </c>
      <c r="BU60" s="139">
        <f t="shared" si="303"/>
        <v>0</v>
      </c>
      <c r="BV60" s="139">
        <f t="shared" si="303"/>
        <v>0</v>
      </c>
      <c r="BW60" s="139">
        <f t="shared" si="303"/>
        <v>0</v>
      </c>
      <c r="BX60" s="139">
        <f t="shared" si="303"/>
        <v>0</v>
      </c>
      <c r="BY60" s="139">
        <f t="shared" si="303"/>
        <v>0</v>
      </c>
      <c r="BZ60" s="139">
        <f t="shared" ref="BZ60:CI60" si="304">BZ23/40</f>
        <v>0</v>
      </c>
      <c r="CA60" s="139">
        <f t="shared" si="304"/>
        <v>0</v>
      </c>
      <c r="CB60" s="139">
        <f t="shared" si="304"/>
        <v>0</v>
      </c>
      <c r="CC60" s="139">
        <f t="shared" si="304"/>
        <v>0</v>
      </c>
      <c r="CD60" s="139">
        <f t="shared" si="304"/>
        <v>0</v>
      </c>
      <c r="CE60" s="139">
        <f t="shared" si="304"/>
        <v>0</v>
      </c>
      <c r="CF60" s="139">
        <f t="shared" si="304"/>
        <v>0</v>
      </c>
      <c r="CG60" s="139">
        <f t="shared" si="304"/>
        <v>0</v>
      </c>
      <c r="CH60" s="139">
        <f t="shared" si="304"/>
        <v>0</v>
      </c>
      <c r="CI60" s="139">
        <f t="shared" si="304"/>
        <v>0</v>
      </c>
      <c r="CJ60" s="139">
        <f t="shared" ref="CJ60:DO60" si="305">CJ23/100</f>
        <v>0</v>
      </c>
      <c r="CK60" s="139">
        <f t="shared" si="305"/>
        <v>0</v>
      </c>
      <c r="CL60" s="139">
        <f t="shared" si="305"/>
        <v>0</v>
      </c>
      <c r="CM60" s="139">
        <f t="shared" si="305"/>
        <v>0</v>
      </c>
      <c r="CN60" s="139">
        <f t="shared" si="305"/>
        <v>0</v>
      </c>
      <c r="CO60" s="139">
        <f t="shared" si="305"/>
        <v>0</v>
      </c>
      <c r="CP60" s="139">
        <f t="shared" si="305"/>
        <v>0</v>
      </c>
      <c r="CQ60" s="139">
        <f t="shared" si="305"/>
        <v>0</v>
      </c>
      <c r="CR60" s="139">
        <f t="shared" si="305"/>
        <v>0</v>
      </c>
      <c r="CS60" s="139">
        <f t="shared" si="305"/>
        <v>0</v>
      </c>
      <c r="CT60" s="139">
        <f t="shared" si="305"/>
        <v>0</v>
      </c>
      <c r="CU60" s="139">
        <f t="shared" si="305"/>
        <v>0</v>
      </c>
      <c r="CV60" s="139">
        <f t="shared" si="305"/>
        <v>0</v>
      </c>
      <c r="CW60" s="139">
        <f t="shared" si="305"/>
        <v>0</v>
      </c>
      <c r="CX60" s="139">
        <f t="shared" si="305"/>
        <v>0</v>
      </c>
      <c r="CY60" s="139">
        <f t="shared" si="305"/>
        <v>0</v>
      </c>
      <c r="CZ60" s="139">
        <f t="shared" si="305"/>
        <v>0</v>
      </c>
      <c r="DA60" s="139">
        <f t="shared" si="305"/>
        <v>0</v>
      </c>
      <c r="DB60" s="139">
        <f t="shared" si="305"/>
        <v>0</v>
      </c>
      <c r="DC60" s="139">
        <f t="shared" si="305"/>
        <v>0</v>
      </c>
      <c r="DD60" s="139">
        <f t="shared" si="305"/>
        <v>0</v>
      </c>
      <c r="DE60" s="139">
        <f t="shared" si="305"/>
        <v>0</v>
      </c>
      <c r="DF60" s="139">
        <f t="shared" si="305"/>
        <v>0</v>
      </c>
      <c r="DG60" s="139">
        <f t="shared" si="305"/>
        <v>0</v>
      </c>
      <c r="DH60" s="139">
        <f t="shared" si="305"/>
        <v>0</v>
      </c>
      <c r="DI60" s="139">
        <f t="shared" si="305"/>
        <v>0</v>
      </c>
      <c r="DJ60" s="139">
        <f t="shared" si="305"/>
        <v>0</v>
      </c>
      <c r="DK60" s="139">
        <f t="shared" si="305"/>
        <v>0</v>
      </c>
      <c r="DL60" s="139">
        <f t="shared" si="305"/>
        <v>0</v>
      </c>
      <c r="DM60" s="139">
        <f t="shared" si="305"/>
        <v>0</v>
      </c>
      <c r="DN60" s="139">
        <f t="shared" si="305"/>
        <v>0</v>
      </c>
      <c r="DO60" s="139">
        <f t="shared" si="305"/>
        <v>0</v>
      </c>
      <c r="DP60" s="139">
        <f t="shared" ref="DP60:EU60" si="306">DP23/100</f>
        <v>0</v>
      </c>
      <c r="DQ60" s="139">
        <f t="shared" si="306"/>
        <v>0</v>
      </c>
      <c r="DR60" s="139">
        <f t="shared" si="306"/>
        <v>0</v>
      </c>
      <c r="DS60" s="139">
        <f t="shared" si="306"/>
        <v>0</v>
      </c>
      <c r="DT60" s="139">
        <f t="shared" si="306"/>
        <v>0</v>
      </c>
      <c r="DU60" s="139">
        <f t="shared" si="306"/>
        <v>0</v>
      </c>
      <c r="DV60" s="139">
        <f t="shared" si="306"/>
        <v>0</v>
      </c>
      <c r="DW60" s="139">
        <f t="shared" si="306"/>
        <v>0</v>
      </c>
      <c r="DX60" s="139">
        <f t="shared" si="306"/>
        <v>0</v>
      </c>
      <c r="DY60" s="139">
        <f t="shared" si="306"/>
        <v>0</v>
      </c>
      <c r="DZ60" s="139">
        <f t="shared" si="306"/>
        <v>0</v>
      </c>
      <c r="EA60" s="139">
        <f t="shared" si="306"/>
        <v>0</v>
      </c>
      <c r="EB60" s="139">
        <f t="shared" si="306"/>
        <v>0</v>
      </c>
      <c r="EC60" s="139">
        <f t="shared" si="306"/>
        <v>0</v>
      </c>
      <c r="ED60" s="139">
        <f t="shared" si="306"/>
        <v>0</v>
      </c>
      <c r="EE60" s="139">
        <f t="shared" si="306"/>
        <v>0</v>
      </c>
      <c r="EF60" s="139">
        <f t="shared" si="306"/>
        <v>0</v>
      </c>
      <c r="EG60" s="139">
        <f t="shared" si="306"/>
        <v>0</v>
      </c>
      <c r="EH60" s="139">
        <f t="shared" si="306"/>
        <v>0</v>
      </c>
      <c r="EI60" s="139">
        <f t="shared" si="306"/>
        <v>0</v>
      </c>
      <c r="EJ60" s="139">
        <f t="shared" si="306"/>
        <v>0</v>
      </c>
      <c r="EK60" s="139">
        <f t="shared" si="306"/>
        <v>0</v>
      </c>
      <c r="EL60" s="139">
        <f t="shared" si="306"/>
        <v>0</v>
      </c>
      <c r="EM60" s="139">
        <f t="shared" si="306"/>
        <v>0</v>
      </c>
      <c r="EN60" s="139">
        <f t="shared" si="306"/>
        <v>0</v>
      </c>
      <c r="EO60" s="139">
        <f t="shared" si="306"/>
        <v>0</v>
      </c>
      <c r="EP60" s="139">
        <f t="shared" si="306"/>
        <v>0</v>
      </c>
      <c r="EQ60" s="139">
        <f t="shared" si="306"/>
        <v>0</v>
      </c>
      <c r="ER60" s="139">
        <f t="shared" si="306"/>
        <v>0</v>
      </c>
      <c r="ES60" s="139">
        <f t="shared" si="306"/>
        <v>0</v>
      </c>
      <c r="ET60" s="139">
        <f t="shared" si="306"/>
        <v>0</v>
      </c>
      <c r="EU60" s="139">
        <f t="shared" si="306"/>
        <v>0</v>
      </c>
      <c r="EV60" s="139">
        <f t="shared" ref="EV60:GA60" si="307">EV23/100</f>
        <v>0</v>
      </c>
      <c r="EW60" s="139">
        <f t="shared" si="307"/>
        <v>0</v>
      </c>
      <c r="EX60" s="139">
        <f t="shared" si="307"/>
        <v>0</v>
      </c>
      <c r="EY60" s="139">
        <f t="shared" si="307"/>
        <v>0</v>
      </c>
      <c r="EZ60" s="139">
        <f t="shared" si="307"/>
        <v>0</v>
      </c>
      <c r="FA60" s="139">
        <f t="shared" si="307"/>
        <v>0</v>
      </c>
      <c r="FB60" s="139">
        <f t="shared" si="307"/>
        <v>0</v>
      </c>
      <c r="FC60" s="139">
        <f t="shared" si="307"/>
        <v>0</v>
      </c>
      <c r="FD60" s="139">
        <f t="shared" si="307"/>
        <v>0</v>
      </c>
      <c r="FE60" s="139">
        <f t="shared" si="307"/>
        <v>0</v>
      </c>
      <c r="FF60" s="139">
        <f t="shared" si="307"/>
        <v>0</v>
      </c>
      <c r="FG60" s="139">
        <f t="shared" si="307"/>
        <v>0</v>
      </c>
      <c r="FH60" s="139">
        <f t="shared" si="307"/>
        <v>0</v>
      </c>
      <c r="FI60" s="139">
        <f t="shared" si="307"/>
        <v>0</v>
      </c>
      <c r="FJ60" s="139">
        <f t="shared" si="307"/>
        <v>0</v>
      </c>
      <c r="FK60" s="139">
        <f t="shared" si="307"/>
        <v>0</v>
      </c>
      <c r="FL60" s="139">
        <f t="shared" si="307"/>
        <v>0</v>
      </c>
      <c r="FM60" s="139">
        <f t="shared" si="307"/>
        <v>0</v>
      </c>
      <c r="FN60" s="139">
        <f t="shared" si="307"/>
        <v>0</v>
      </c>
      <c r="FO60" s="139">
        <f t="shared" si="307"/>
        <v>0</v>
      </c>
      <c r="FP60" s="139">
        <f t="shared" si="307"/>
        <v>0</v>
      </c>
      <c r="FQ60" s="139">
        <f t="shared" si="307"/>
        <v>0</v>
      </c>
      <c r="FR60" s="139">
        <f t="shared" si="307"/>
        <v>0</v>
      </c>
      <c r="FS60" s="139">
        <f t="shared" si="307"/>
        <v>0</v>
      </c>
      <c r="FT60" s="139">
        <f t="shared" si="307"/>
        <v>0</v>
      </c>
      <c r="FU60" s="139">
        <f t="shared" si="307"/>
        <v>0</v>
      </c>
      <c r="FV60" s="139">
        <f t="shared" si="307"/>
        <v>0</v>
      </c>
      <c r="FW60" s="139">
        <f t="shared" si="307"/>
        <v>0</v>
      </c>
      <c r="FX60" s="139">
        <f t="shared" si="307"/>
        <v>0</v>
      </c>
      <c r="FY60" s="139">
        <f t="shared" si="307"/>
        <v>0</v>
      </c>
      <c r="FZ60" s="139">
        <f t="shared" si="307"/>
        <v>0</v>
      </c>
      <c r="GA60" s="139">
        <f t="shared" si="307"/>
        <v>0</v>
      </c>
      <c r="GB60" s="139">
        <f t="shared" ref="GB60:HA60" si="308">GB23/100</f>
        <v>0</v>
      </c>
      <c r="GC60" s="139">
        <f t="shared" si="308"/>
        <v>0</v>
      </c>
      <c r="GD60" s="139">
        <f t="shared" si="308"/>
        <v>0</v>
      </c>
      <c r="GE60" s="139">
        <f t="shared" si="308"/>
        <v>0</v>
      </c>
      <c r="GF60" s="139">
        <f t="shared" si="308"/>
        <v>0</v>
      </c>
      <c r="GG60" s="139">
        <f t="shared" si="308"/>
        <v>0</v>
      </c>
      <c r="GH60" s="139">
        <f t="shared" si="308"/>
        <v>0</v>
      </c>
      <c r="GI60" s="139">
        <f t="shared" si="308"/>
        <v>0</v>
      </c>
      <c r="GJ60" s="139">
        <f t="shared" si="308"/>
        <v>0</v>
      </c>
      <c r="GK60" s="139">
        <f t="shared" si="308"/>
        <v>0</v>
      </c>
      <c r="GL60" s="139">
        <f t="shared" si="308"/>
        <v>0</v>
      </c>
      <c r="GM60" s="139">
        <f t="shared" si="308"/>
        <v>0</v>
      </c>
      <c r="GN60" s="139">
        <f t="shared" si="308"/>
        <v>0</v>
      </c>
      <c r="GO60" s="139">
        <f t="shared" si="308"/>
        <v>0</v>
      </c>
      <c r="GP60" s="139">
        <f t="shared" si="308"/>
        <v>0</v>
      </c>
      <c r="GQ60" s="139">
        <f t="shared" si="308"/>
        <v>0</v>
      </c>
      <c r="GR60" s="139">
        <f t="shared" si="308"/>
        <v>0</v>
      </c>
      <c r="GS60" s="139">
        <f t="shared" si="308"/>
        <v>0</v>
      </c>
      <c r="GT60" s="139">
        <f t="shared" si="308"/>
        <v>0</v>
      </c>
      <c r="GU60" s="139">
        <f t="shared" si="308"/>
        <v>0</v>
      </c>
      <c r="GV60" s="139">
        <f t="shared" si="308"/>
        <v>0</v>
      </c>
      <c r="GW60" s="139">
        <f t="shared" si="308"/>
        <v>0</v>
      </c>
      <c r="GX60" s="139">
        <f t="shared" si="308"/>
        <v>0</v>
      </c>
      <c r="GY60" s="139">
        <f t="shared" si="308"/>
        <v>0</v>
      </c>
      <c r="GZ60" s="139">
        <f t="shared" si="308"/>
        <v>0</v>
      </c>
      <c r="HA60" s="139">
        <f t="shared" si="308"/>
        <v>0</v>
      </c>
      <c r="HB60" s="139">
        <f t="shared" ref="HB60:II60" si="309">HB23/40</f>
        <v>0</v>
      </c>
      <c r="HC60" s="139">
        <f t="shared" si="309"/>
        <v>0</v>
      </c>
      <c r="HD60" s="139">
        <f t="shared" si="309"/>
        <v>0</v>
      </c>
      <c r="HE60" s="139">
        <f t="shared" si="309"/>
        <v>0</v>
      </c>
      <c r="HF60" s="139">
        <f t="shared" si="309"/>
        <v>0</v>
      </c>
      <c r="HG60" s="139">
        <f t="shared" si="309"/>
        <v>0</v>
      </c>
      <c r="HH60" s="139">
        <f t="shared" si="309"/>
        <v>0</v>
      </c>
      <c r="HI60" s="139">
        <f t="shared" si="309"/>
        <v>0</v>
      </c>
      <c r="HJ60" s="139">
        <f t="shared" si="309"/>
        <v>0</v>
      </c>
      <c r="HK60" s="139">
        <f t="shared" si="309"/>
        <v>0</v>
      </c>
      <c r="HL60" s="139">
        <f t="shared" si="309"/>
        <v>0</v>
      </c>
      <c r="HM60" s="139">
        <f t="shared" si="309"/>
        <v>0</v>
      </c>
      <c r="HN60" s="139">
        <f t="shared" si="309"/>
        <v>0</v>
      </c>
      <c r="HO60" s="139">
        <f t="shared" si="309"/>
        <v>0</v>
      </c>
      <c r="HP60" s="139">
        <f t="shared" si="309"/>
        <v>0</v>
      </c>
      <c r="HQ60" s="139">
        <f t="shared" si="309"/>
        <v>0</v>
      </c>
      <c r="HR60" s="139">
        <f t="shared" si="309"/>
        <v>0</v>
      </c>
      <c r="HS60" s="139">
        <f t="shared" si="309"/>
        <v>0</v>
      </c>
      <c r="HT60" s="139">
        <f t="shared" si="309"/>
        <v>0</v>
      </c>
      <c r="HU60" s="139">
        <f t="shared" si="309"/>
        <v>0</v>
      </c>
      <c r="HV60" s="139">
        <f t="shared" si="309"/>
        <v>0</v>
      </c>
      <c r="HW60" s="139">
        <f t="shared" si="309"/>
        <v>0</v>
      </c>
      <c r="HX60" s="139">
        <f t="shared" si="309"/>
        <v>0</v>
      </c>
      <c r="HY60" s="139">
        <f t="shared" si="309"/>
        <v>0</v>
      </c>
      <c r="HZ60" s="139">
        <f t="shared" si="309"/>
        <v>0</v>
      </c>
      <c r="IA60" s="139">
        <f t="shared" si="309"/>
        <v>0</v>
      </c>
      <c r="IB60" s="139">
        <f t="shared" si="309"/>
        <v>0</v>
      </c>
      <c r="IC60" s="139">
        <f t="shared" si="309"/>
        <v>0</v>
      </c>
      <c r="ID60" s="139">
        <f t="shared" si="309"/>
        <v>0</v>
      </c>
      <c r="IE60" s="139">
        <f t="shared" si="309"/>
        <v>0</v>
      </c>
      <c r="IF60" s="139">
        <f t="shared" si="309"/>
        <v>0</v>
      </c>
      <c r="IG60" s="139">
        <f t="shared" si="309"/>
        <v>0</v>
      </c>
      <c r="IH60" s="139">
        <f t="shared" si="309"/>
        <v>0</v>
      </c>
      <c r="II60" s="139">
        <f t="shared" si="309"/>
        <v>0</v>
      </c>
      <c r="IJ60" s="139">
        <f t="shared" ref="IJ60:JM60" si="310">IJ23/100</f>
        <v>0</v>
      </c>
      <c r="IK60" s="139">
        <f t="shared" si="310"/>
        <v>0</v>
      </c>
      <c r="IL60" s="139">
        <f t="shared" si="310"/>
        <v>0</v>
      </c>
      <c r="IM60" s="139">
        <f t="shared" si="310"/>
        <v>0</v>
      </c>
      <c r="IN60" s="139">
        <f t="shared" si="310"/>
        <v>0</v>
      </c>
      <c r="IO60" s="139">
        <f t="shared" si="310"/>
        <v>0</v>
      </c>
      <c r="IP60" s="139">
        <f t="shared" si="310"/>
        <v>0</v>
      </c>
      <c r="IQ60" s="139">
        <f t="shared" si="310"/>
        <v>0</v>
      </c>
      <c r="IR60" s="139">
        <f t="shared" si="310"/>
        <v>0</v>
      </c>
      <c r="IS60" s="139">
        <f t="shared" si="310"/>
        <v>0</v>
      </c>
      <c r="IT60" s="139">
        <f t="shared" si="310"/>
        <v>0</v>
      </c>
      <c r="IU60" s="139">
        <f t="shared" si="310"/>
        <v>0</v>
      </c>
      <c r="IV60" s="139">
        <f t="shared" si="310"/>
        <v>0</v>
      </c>
      <c r="IW60" s="139">
        <f t="shared" si="310"/>
        <v>0</v>
      </c>
      <c r="IX60" s="139">
        <f t="shared" si="310"/>
        <v>0</v>
      </c>
      <c r="IY60" s="139">
        <f t="shared" si="310"/>
        <v>0</v>
      </c>
      <c r="IZ60" s="139">
        <f t="shared" si="310"/>
        <v>0</v>
      </c>
      <c r="JA60" s="139">
        <f t="shared" si="310"/>
        <v>0</v>
      </c>
      <c r="JB60" s="139">
        <f t="shared" si="310"/>
        <v>0</v>
      </c>
      <c r="JC60" s="139">
        <f t="shared" si="310"/>
        <v>0</v>
      </c>
      <c r="JD60" s="139">
        <f t="shared" si="310"/>
        <v>0</v>
      </c>
      <c r="JE60" s="139">
        <f t="shared" si="310"/>
        <v>0</v>
      </c>
      <c r="JF60" s="139">
        <f t="shared" si="310"/>
        <v>0</v>
      </c>
      <c r="JG60" s="139">
        <f t="shared" si="310"/>
        <v>0</v>
      </c>
      <c r="JH60" s="139">
        <f t="shared" si="310"/>
        <v>0</v>
      </c>
      <c r="JI60" s="139">
        <f t="shared" si="310"/>
        <v>0</v>
      </c>
      <c r="JJ60" s="139">
        <f t="shared" si="310"/>
        <v>0</v>
      </c>
      <c r="JK60" s="139">
        <f t="shared" si="310"/>
        <v>0</v>
      </c>
      <c r="JL60" s="139">
        <f t="shared" si="310"/>
        <v>0</v>
      </c>
      <c r="JM60" s="139">
        <f t="shared" si="310"/>
        <v>0</v>
      </c>
      <c r="JN60" s="139">
        <f t="shared" ref="JN60:JS60" si="311">JN23/40</f>
        <v>0</v>
      </c>
      <c r="JO60" s="139">
        <f t="shared" si="311"/>
        <v>0</v>
      </c>
      <c r="JP60" s="139">
        <f t="shared" si="311"/>
        <v>0</v>
      </c>
      <c r="JQ60" s="139">
        <f t="shared" si="311"/>
        <v>0</v>
      </c>
      <c r="JR60" s="139">
        <f t="shared" si="311"/>
        <v>0</v>
      </c>
      <c r="JS60" s="139">
        <f t="shared" si="311"/>
        <v>0</v>
      </c>
      <c r="JT60" s="139">
        <f t="shared" ref="JT60:JY60" si="312">JT23/100</f>
        <v>0</v>
      </c>
      <c r="JU60" s="139">
        <f t="shared" si="312"/>
        <v>0</v>
      </c>
      <c r="JV60" s="139">
        <f t="shared" si="312"/>
        <v>0</v>
      </c>
      <c r="JW60" s="139">
        <f t="shared" si="312"/>
        <v>0</v>
      </c>
      <c r="JX60" s="139">
        <f t="shared" si="312"/>
        <v>0</v>
      </c>
      <c r="JY60" s="139">
        <f t="shared" si="312"/>
        <v>0</v>
      </c>
      <c r="JZ60" s="139">
        <f t="shared" ref="JZ60:KY60" si="313">JZ23/40</f>
        <v>0</v>
      </c>
      <c r="KA60" s="139">
        <f t="shared" si="313"/>
        <v>0</v>
      </c>
      <c r="KB60" s="139">
        <f t="shared" si="313"/>
        <v>0</v>
      </c>
      <c r="KC60" s="139">
        <f t="shared" si="313"/>
        <v>0</v>
      </c>
      <c r="KD60" s="139">
        <f t="shared" si="313"/>
        <v>0</v>
      </c>
      <c r="KE60" s="139">
        <f t="shared" si="313"/>
        <v>0</v>
      </c>
      <c r="KF60" s="139">
        <f t="shared" si="313"/>
        <v>0</v>
      </c>
      <c r="KG60" s="139">
        <f t="shared" si="313"/>
        <v>0</v>
      </c>
      <c r="KH60" s="139">
        <f t="shared" si="313"/>
        <v>0</v>
      </c>
      <c r="KI60" s="139">
        <f t="shared" si="313"/>
        <v>0</v>
      </c>
      <c r="KJ60" s="139">
        <f t="shared" si="313"/>
        <v>0</v>
      </c>
      <c r="KK60" s="139">
        <f t="shared" si="313"/>
        <v>0</v>
      </c>
      <c r="KL60" s="139">
        <f t="shared" si="313"/>
        <v>0</v>
      </c>
      <c r="KM60" s="139">
        <f t="shared" si="313"/>
        <v>0</v>
      </c>
      <c r="KN60" s="139">
        <f t="shared" si="313"/>
        <v>0</v>
      </c>
      <c r="KO60" s="139">
        <f t="shared" si="313"/>
        <v>0</v>
      </c>
      <c r="KP60" s="139">
        <f t="shared" si="313"/>
        <v>0</v>
      </c>
      <c r="KQ60" s="139">
        <f t="shared" si="313"/>
        <v>0</v>
      </c>
      <c r="KR60" s="139">
        <f t="shared" si="313"/>
        <v>0</v>
      </c>
      <c r="KS60" s="139">
        <f t="shared" si="313"/>
        <v>0</v>
      </c>
      <c r="KT60" s="139">
        <f t="shared" si="313"/>
        <v>0</v>
      </c>
      <c r="KU60" s="139">
        <f t="shared" si="313"/>
        <v>0</v>
      </c>
      <c r="KV60" s="139">
        <f t="shared" si="313"/>
        <v>0</v>
      </c>
      <c r="KW60" s="139">
        <f t="shared" si="313"/>
        <v>0</v>
      </c>
      <c r="KX60" s="139">
        <f t="shared" si="313"/>
        <v>0</v>
      </c>
      <c r="KY60" s="139">
        <f t="shared" si="313"/>
        <v>0</v>
      </c>
      <c r="KZ60" s="139">
        <f t="shared" ref="KZ60:ME60" si="314">KZ23/100</f>
        <v>0</v>
      </c>
      <c r="LA60" s="139">
        <f t="shared" si="314"/>
        <v>0</v>
      </c>
      <c r="LB60" s="139">
        <f t="shared" si="314"/>
        <v>0</v>
      </c>
      <c r="LC60" s="139">
        <f t="shared" si="314"/>
        <v>0</v>
      </c>
      <c r="LD60" s="139">
        <f t="shared" si="314"/>
        <v>0</v>
      </c>
      <c r="LE60" s="139">
        <f t="shared" si="314"/>
        <v>0</v>
      </c>
      <c r="LF60" s="139">
        <f t="shared" si="314"/>
        <v>0</v>
      </c>
      <c r="LG60" s="139">
        <f t="shared" si="314"/>
        <v>0</v>
      </c>
      <c r="LH60" s="139">
        <f t="shared" si="314"/>
        <v>0</v>
      </c>
      <c r="LI60" s="139">
        <f t="shared" si="314"/>
        <v>0</v>
      </c>
      <c r="LJ60" s="139">
        <f t="shared" si="314"/>
        <v>0</v>
      </c>
      <c r="LK60" s="139">
        <f t="shared" si="314"/>
        <v>0</v>
      </c>
      <c r="LL60" s="139">
        <f t="shared" si="314"/>
        <v>0</v>
      </c>
      <c r="LM60" s="139">
        <f t="shared" si="314"/>
        <v>0</v>
      </c>
      <c r="LN60" s="139">
        <f t="shared" si="314"/>
        <v>0</v>
      </c>
      <c r="LO60" s="139">
        <f t="shared" si="314"/>
        <v>0</v>
      </c>
      <c r="LP60" s="139">
        <f t="shared" si="314"/>
        <v>0</v>
      </c>
      <c r="LQ60" s="139">
        <f t="shared" si="314"/>
        <v>0</v>
      </c>
      <c r="LR60" s="139">
        <f t="shared" si="314"/>
        <v>0</v>
      </c>
      <c r="LS60" s="139">
        <f t="shared" si="314"/>
        <v>0</v>
      </c>
      <c r="LT60" s="139">
        <f t="shared" si="314"/>
        <v>0</v>
      </c>
      <c r="LU60" s="139">
        <f t="shared" si="314"/>
        <v>0</v>
      </c>
      <c r="LV60" s="139">
        <f t="shared" si="314"/>
        <v>0</v>
      </c>
      <c r="LW60" s="139">
        <f t="shared" si="314"/>
        <v>0</v>
      </c>
      <c r="LX60" s="139">
        <f t="shared" si="314"/>
        <v>0</v>
      </c>
      <c r="LY60" s="139">
        <f t="shared" si="314"/>
        <v>0</v>
      </c>
      <c r="LZ60" s="139">
        <f t="shared" si="314"/>
        <v>0</v>
      </c>
      <c r="MA60" s="139">
        <f t="shared" si="314"/>
        <v>0</v>
      </c>
      <c r="MB60" s="139">
        <f t="shared" si="314"/>
        <v>0</v>
      </c>
      <c r="MC60" s="139">
        <f t="shared" si="314"/>
        <v>0</v>
      </c>
      <c r="MD60" s="139">
        <f t="shared" si="314"/>
        <v>0</v>
      </c>
      <c r="ME60" s="139">
        <f t="shared" si="314"/>
        <v>0</v>
      </c>
      <c r="MF60" s="139">
        <f t="shared" ref="MF60:NK60" si="315">MF23/100</f>
        <v>0</v>
      </c>
      <c r="MG60" s="139">
        <f t="shared" si="315"/>
        <v>0</v>
      </c>
      <c r="MH60" s="139">
        <f t="shared" si="315"/>
        <v>0</v>
      </c>
      <c r="MI60" s="139">
        <f t="shared" si="315"/>
        <v>0</v>
      </c>
      <c r="MJ60" s="139">
        <f t="shared" si="315"/>
        <v>0</v>
      </c>
      <c r="MK60" s="139">
        <f t="shared" si="315"/>
        <v>0</v>
      </c>
      <c r="ML60" s="139">
        <f t="shared" si="315"/>
        <v>0</v>
      </c>
      <c r="MM60" s="139">
        <f t="shared" si="315"/>
        <v>0</v>
      </c>
      <c r="MN60" s="139">
        <f t="shared" si="315"/>
        <v>0</v>
      </c>
      <c r="MO60" s="139">
        <f t="shared" si="315"/>
        <v>0</v>
      </c>
      <c r="MP60" s="139">
        <f t="shared" si="315"/>
        <v>0</v>
      </c>
      <c r="MQ60" s="139">
        <f t="shared" si="315"/>
        <v>0</v>
      </c>
      <c r="MR60" s="139">
        <f t="shared" si="315"/>
        <v>0</v>
      </c>
      <c r="MS60" s="139">
        <f t="shared" si="315"/>
        <v>0</v>
      </c>
      <c r="MT60" s="139">
        <f t="shared" si="315"/>
        <v>0</v>
      </c>
      <c r="MU60" s="139">
        <f t="shared" si="315"/>
        <v>0</v>
      </c>
      <c r="MV60" s="139">
        <f t="shared" si="315"/>
        <v>0</v>
      </c>
      <c r="MW60" s="139">
        <f t="shared" si="315"/>
        <v>0</v>
      </c>
      <c r="MX60" s="139">
        <f t="shared" si="315"/>
        <v>0</v>
      </c>
      <c r="MY60" s="139">
        <f t="shared" si="315"/>
        <v>0</v>
      </c>
      <c r="MZ60" s="139">
        <f t="shared" si="315"/>
        <v>0</v>
      </c>
      <c r="NA60" s="139">
        <f t="shared" si="315"/>
        <v>0</v>
      </c>
      <c r="NB60" s="139">
        <f t="shared" si="315"/>
        <v>0</v>
      </c>
      <c r="NC60" s="139">
        <f t="shared" si="315"/>
        <v>0</v>
      </c>
      <c r="ND60" s="139">
        <f t="shared" si="315"/>
        <v>0</v>
      </c>
      <c r="NE60" s="139">
        <f t="shared" si="315"/>
        <v>0</v>
      </c>
      <c r="NF60" s="139">
        <f t="shared" si="315"/>
        <v>0</v>
      </c>
      <c r="NG60" s="139">
        <f t="shared" si="315"/>
        <v>0</v>
      </c>
      <c r="NH60" s="139">
        <f t="shared" si="315"/>
        <v>0</v>
      </c>
      <c r="NI60" s="139">
        <f t="shared" si="315"/>
        <v>0</v>
      </c>
      <c r="NJ60" s="139">
        <f t="shared" si="315"/>
        <v>0</v>
      </c>
      <c r="NK60" s="139">
        <f t="shared" si="315"/>
        <v>0</v>
      </c>
      <c r="NL60" s="139">
        <f t="shared" ref="NL60:OQ60" si="316">NL23/100</f>
        <v>0</v>
      </c>
      <c r="NM60" s="139">
        <f t="shared" si="316"/>
        <v>0</v>
      </c>
      <c r="NN60" s="139">
        <f t="shared" si="316"/>
        <v>0</v>
      </c>
      <c r="NO60" s="139">
        <f t="shared" si="316"/>
        <v>0</v>
      </c>
      <c r="NP60" s="139">
        <f t="shared" si="316"/>
        <v>0</v>
      </c>
      <c r="NQ60" s="139">
        <f t="shared" si="316"/>
        <v>0</v>
      </c>
      <c r="NR60" s="139">
        <f t="shared" si="316"/>
        <v>0</v>
      </c>
      <c r="NS60" s="139">
        <f t="shared" si="316"/>
        <v>0</v>
      </c>
      <c r="NT60" s="139">
        <f t="shared" si="316"/>
        <v>0</v>
      </c>
      <c r="NU60" s="139">
        <f t="shared" si="316"/>
        <v>0</v>
      </c>
      <c r="NV60" s="139">
        <f t="shared" si="316"/>
        <v>0</v>
      </c>
      <c r="NW60" s="139">
        <f t="shared" si="316"/>
        <v>0</v>
      </c>
      <c r="NX60" s="139">
        <f t="shared" si="316"/>
        <v>0</v>
      </c>
      <c r="NY60" s="139">
        <f t="shared" si="316"/>
        <v>0</v>
      </c>
      <c r="NZ60" s="139">
        <f t="shared" si="316"/>
        <v>0</v>
      </c>
      <c r="OA60" s="139">
        <f t="shared" si="316"/>
        <v>0</v>
      </c>
      <c r="OB60" s="139">
        <f t="shared" si="316"/>
        <v>0</v>
      </c>
      <c r="OC60" s="139">
        <f t="shared" si="316"/>
        <v>0</v>
      </c>
      <c r="OD60" s="139">
        <f t="shared" si="316"/>
        <v>0</v>
      </c>
      <c r="OE60" s="139">
        <f t="shared" si="316"/>
        <v>0</v>
      </c>
      <c r="OF60" s="139">
        <f t="shared" si="316"/>
        <v>0</v>
      </c>
      <c r="OG60" s="139">
        <f t="shared" si="316"/>
        <v>0</v>
      </c>
      <c r="OH60" s="139">
        <f t="shared" si="316"/>
        <v>0</v>
      </c>
      <c r="OI60" s="139">
        <f t="shared" si="316"/>
        <v>0</v>
      </c>
      <c r="OJ60" s="139">
        <f t="shared" si="316"/>
        <v>0</v>
      </c>
      <c r="OK60" s="139">
        <f t="shared" si="316"/>
        <v>0</v>
      </c>
      <c r="OL60" s="139">
        <f t="shared" si="316"/>
        <v>0</v>
      </c>
      <c r="OM60" s="139">
        <f t="shared" si="316"/>
        <v>0</v>
      </c>
      <c r="ON60" s="139">
        <f t="shared" si="316"/>
        <v>0</v>
      </c>
      <c r="OO60" s="139">
        <f t="shared" si="316"/>
        <v>0</v>
      </c>
      <c r="OP60" s="139">
        <f t="shared" si="316"/>
        <v>0</v>
      </c>
      <c r="OQ60" s="139">
        <f t="shared" si="316"/>
        <v>0</v>
      </c>
      <c r="OR60" s="139">
        <f t="shared" ref="OR60:PW60" si="317">OR23/100</f>
        <v>0</v>
      </c>
      <c r="OS60" s="139">
        <f t="shared" si="317"/>
        <v>0</v>
      </c>
      <c r="OT60" s="139">
        <f t="shared" si="317"/>
        <v>0</v>
      </c>
      <c r="OU60" s="139">
        <f t="shared" si="317"/>
        <v>0</v>
      </c>
      <c r="OV60" s="139">
        <f t="shared" si="317"/>
        <v>0</v>
      </c>
      <c r="OW60" s="139">
        <f t="shared" si="317"/>
        <v>0</v>
      </c>
      <c r="OX60" s="139">
        <f t="shared" si="317"/>
        <v>0</v>
      </c>
      <c r="OY60" s="139">
        <f t="shared" si="317"/>
        <v>0</v>
      </c>
      <c r="OZ60" s="139">
        <f t="shared" si="317"/>
        <v>0</v>
      </c>
      <c r="PA60" s="139">
        <f t="shared" si="317"/>
        <v>0</v>
      </c>
      <c r="PB60" s="139">
        <f t="shared" si="317"/>
        <v>0</v>
      </c>
      <c r="PC60" s="139">
        <f t="shared" si="317"/>
        <v>0</v>
      </c>
      <c r="PD60" s="139">
        <f t="shared" si="317"/>
        <v>0</v>
      </c>
      <c r="PE60" s="139">
        <f t="shared" si="317"/>
        <v>0</v>
      </c>
      <c r="PF60" s="139">
        <f t="shared" si="317"/>
        <v>0</v>
      </c>
      <c r="PG60" s="139">
        <f t="shared" si="317"/>
        <v>0</v>
      </c>
      <c r="PH60" s="139">
        <f t="shared" si="317"/>
        <v>0</v>
      </c>
      <c r="PI60" s="139">
        <f t="shared" si="317"/>
        <v>0</v>
      </c>
      <c r="PJ60" s="139">
        <f t="shared" si="317"/>
        <v>0</v>
      </c>
      <c r="PK60" s="139">
        <f t="shared" si="317"/>
        <v>0</v>
      </c>
      <c r="PL60" s="139">
        <f t="shared" si="317"/>
        <v>0</v>
      </c>
      <c r="PM60" s="139">
        <f t="shared" si="317"/>
        <v>0</v>
      </c>
      <c r="PN60" s="139">
        <f t="shared" si="317"/>
        <v>0</v>
      </c>
      <c r="PO60" s="139">
        <f t="shared" si="317"/>
        <v>0</v>
      </c>
      <c r="PP60" s="139">
        <f t="shared" si="317"/>
        <v>0</v>
      </c>
      <c r="PQ60" s="139">
        <f t="shared" si="317"/>
        <v>0</v>
      </c>
      <c r="PR60" s="139">
        <f t="shared" si="317"/>
        <v>0</v>
      </c>
      <c r="PS60" s="139">
        <f t="shared" si="317"/>
        <v>0</v>
      </c>
      <c r="PT60" s="139">
        <f t="shared" si="317"/>
        <v>0</v>
      </c>
      <c r="PU60" s="139">
        <f t="shared" si="317"/>
        <v>0</v>
      </c>
      <c r="PV60" s="139">
        <f t="shared" si="317"/>
        <v>0</v>
      </c>
      <c r="PW60" s="139">
        <f t="shared" si="317"/>
        <v>0</v>
      </c>
      <c r="PX60" s="139">
        <f t="shared" ref="PX60:QN60" si="318">PX23/100</f>
        <v>0</v>
      </c>
      <c r="PY60" s="139">
        <f t="shared" si="318"/>
        <v>0</v>
      </c>
      <c r="PZ60" s="139">
        <f t="shared" si="318"/>
        <v>0</v>
      </c>
      <c r="QA60" s="139">
        <f t="shared" si="318"/>
        <v>0</v>
      </c>
      <c r="QB60" s="139">
        <f t="shared" si="318"/>
        <v>0</v>
      </c>
      <c r="QC60" s="139">
        <f t="shared" si="318"/>
        <v>0</v>
      </c>
      <c r="QD60" s="139">
        <f t="shared" si="318"/>
        <v>0</v>
      </c>
      <c r="QE60" s="139">
        <f t="shared" si="318"/>
        <v>0</v>
      </c>
      <c r="QF60" s="139">
        <f t="shared" si="318"/>
        <v>0</v>
      </c>
      <c r="QG60" s="139">
        <f t="shared" si="318"/>
        <v>0</v>
      </c>
      <c r="QH60" s="139">
        <f t="shared" si="318"/>
        <v>0</v>
      </c>
      <c r="QI60" s="139">
        <f t="shared" si="318"/>
        <v>0</v>
      </c>
      <c r="QJ60" s="139">
        <f t="shared" si="318"/>
        <v>0</v>
      </c>
      <c r="QK60" s="139">
        <f t="shared" si="318"/>
        <v>0</v>
      </c>
      <c r="QL60" s="139">
        <f t="shared" si="318"/>
        <v>0</v>
      </c>
      <c r="QM60" s="139">
        <f t="shared" si="318"/>
        <v>0</v>
      </c>
      <c r="QN60" s="139">
        <f t="shared" si="318"/>
        <v>0</v>
      </c>
      <c r="QO60" s="139">
        <f>QO23/40</f>
        <v>0</v>
      </c>
      <c r="QP60" s="139">
        <f>QP23/100</f>
        <v>0</v>
      </c>
      <c r="QQ60" s="139">
        <f>QQ23/100</f>
        <v>0</v>
      </c>
      <c r="QR60" s="139">
        <f>QR23/40</f>
        <v>0</v>
      </c>
      <c r="QS60" s="139">
        <f>QS23/100</f>
        <v>0</v>
      </c>
      <c r="QT60" s="139">
        <f>QT23/100</f>
        <v>0</v>
      </c>
      <c r="RA60" s="139">
        <f t="shared" ref="RA60:RF60" si="319">RA23/100</f>
        <v>0</v>
      </c>
      <c r="RB60" s="139">
        <f t="shared" si="319"/>
        <v>0</v>
      </c>
      <c r="RC60" s="139">
        <f t="shared" si="319"/>
        <v>0</v>
      </c>
      <c r="RD60" s="139">
        <f t="shared" si="319"/>
        <v>0</v>
      </c>
      <c r="RE60" s="139">
        <f t="shared" si="319"/>
        <v>0</v>
      </c>
      <c r="RF60" s="139">
        <f t="shared" si="319"/>
        <v>0</v>
      </c>
      <c r="RG60" s="70"/>
      <c r="RM60" s="145"/>
      <c r="SB60" s="70">
        <f>SB23/40</f>
        <v>0</v>
      </c>
      <c r="SC60" s="70">
        <f>SC23/40</f>
        <v>0</v>
      </c>
      <c r="SD60" s="70">
        <f>SD23/40</f>
        <v>0</v>
      </c>
      <c r="SE60" s="70">
        <f t="shared" ref="SE60:SU60" si="320">SE23/100</f>
        <v>0</v>
      </c>
      <c r="SF60" s="70">
        <f t="shared" si="320"/>
        <v>0</v>
      </c>
      <c r="SG60" s="70">
        <f t="shared" si="320"/>
        <v>0</v>
      </c>
      <c r="SH60" s="70">
        <f t="shared" si="320"/>
        <v>0</v>
      </c>
      <c r="SI60" s="70">
        <f t="shared" si="320"/>
        <v>0</v>
      </c>
      <c r="SJ60" s="70">
        <f t="shared" si="320"/>
        <v>0</v>
      </c>
      <c r="SK60" s="70">
        <f t="shared" si="320"/>
        <v>0</v>
      </c>
      <c r="SL60" s="70">
        <f t="shared" si="320"/>
        <v>0</v>
      </c>
      <c r="SM60" s="70">
        <f t="shared" si="320"/>
        <v>0</v>
      </c>
      <c r="SN60" s="70">
        <f t="shared" si="320"/>
        <v>0</v>
      </c>
      <c r="SO60" s="70">
        <f t="shared" si="320"/>
        <v>0</v>
      </c>
      <c r="SP60" s="70">
        <f t="shared" si="320"/>
        <v>0</v>
      </c>
      <c r="SQ60" s="70">
        <f t="shared" si="320"/>
        <v>0</v>
      </c>
      <c r="SR60" s="70">
        <f t="shared" si="320"/>
        <v>0</v>
      </c>
      <c r="SS60" s="70">
        <f t="shared" si="320"/>
        <v>0</v>
      </c>
      <c r="ST60" s="70">
        <f t="shared" si="320"/>
        <v>0</v>
      </c>
      <c r="SU60" s="70">
        <f t="shared" si="320"/>
        <v>0</v>
      </c>
      <c r="SV60" s="139">
        <f>SV23/40</f>
        <v>0</v>
      </c>
      <c r="SW60" s="139">
        <f>SW23/40</f>
        <v>0</v>
      </c>
      <c r="SX60" s="70">
        <f t="shared" ref="SX60:TR60" si="321">SX23/100</f>
        <v>0</v>
      </c>
      <c r="SY60" s="70">
        <f t="shared" si="321"/>
        <v>0</v>
      </c>
      <c r="SZ60" s="70">
        <f t="shared" si="321"/>
        <v>0</v>
      </c>
      <c r="TA60" s="70">
        <f t="shared" si="321"/>
        <v>0</v>
      </c>
      <c r="TB60" s="70">
        <f t="shared" si="321"/>
        <v>0</v>
      </c>
      <c r="TC60" s="70">
        <f t="shared" si="321"/>
        <v>0</v>
      </c>
      <c r="TD60" s="70">
        <f t="shared" si="321"/>
        <v>0</v>
      </c>
      <c r="TE60" s="70">
        <f t="shared" si="321"/>
        <v>0</v>
      </c>
      <c r="TF60" s="70">
        <f t="shared" si="321"/>
        <v>0</v>
      </c>
      <c r="TG60" s="70">
        <f t="shared" si="321"/>
        <v>0</v>
      </c>
      <c r="TH60" s="70">
        <f t="shared" si="321"/>
        <v>0</v>
      </c>
      <c r="TI60" s="70">
        <f t="shared" si="321"/>
        <v>0</v>
      </c>
      <c r="TJ60" s="70">
        <f t="shared" si="321"/>
        <v>0</v>
      </c>
      <c r="TK60" s="70">
        <f t="shared" si="321"/>
        <v>0</v>
      </c>
      <c r="TL60" s="70">
        <f t="shared" si="321"/>
        <v>0</v>
      </c>
      <c r="TM60" s="70">
        <f t="shared" si="321"/>
        <v>0</v>
      </c>
      <c r="TN60" s="70">
        <f t="shared" si="321"/>
        <v>0</v>
      </c>
      <c r="TO60" s="70">
        <f t="shared" si="321"/>
        <v>0</v>
      </c>
      <c r="TP60" s="70">
        <f t="shared" si="321"/>
        <v>0</v>
      </c>
      <c r="TQ60" s="70">
        <f t="shared" si="321"/>
        <v>0</v>
      </c>
      <c r="TR60" s="70">
        <f t="shared" si="321"/>
        <v>0</v>
      </c>
      <c r="TS60" s="139">
        <f>TS23/40</f>
        <v>0</v>
      </c>
      <c r="TT60" s="70">
        <f t="shared" ref="TT60:UY60" si="322">TT23/100</f>
        <v>0</v>
      </c>
      <c r="TU60" s="70">
        <f t="shared" si="322"/>
        <v>0</v>
      </c>
      <c r="TV60" s="70">
        <f t="shared" si="322"/>
        <v>0</v>
      </c>
      <c r="TW60" s="70">
        <f t="shared" si="322"/>
        <v>0</v>
      </c>
      <c r="TX60" s="70">
        <f t="shared" si="322"/>
        <v>0</v>
      </c>
      <c r="TY60" s="70">
        <f t="shared" si="322"/>
        <v>0</v>
      </c>
      <c r="TZ60" s="70">
        <f t="shared" si="322"/>
        <v>0</v>
      </c>
      <c r="UA60" s="70">
        <f t="shared" si="322"/>
        <v>0</v>
      </c>
      <c r="UB60" s="70">
        <f t="shared" si="322"/>
        <v>0</v>
      </c>
      <c r="UC60" s="70">
        <f t="shared" si="322"/>
        <v>0</v>
      </c>
      <c r="UD60" s="70">
        <f t="shared" si="322"/>
        <v>0</v>
      </c>
      <c r="UE60" s="70">
        <f t="shared" si="322"/>
        <v>0</v>
      </c>
      <c r="UF60" s="70">
        <f t="shared" si="322"/>
        <v>0</v>
      </c>
      <c r="UG60" s="70">
        <f t="shared" si="322"/>
        <v>0</v>
      </c>
      <c r="UH60" s="70">
        <f t="shared" si="322"/>
        <v>0</v>
      </c>
      <c r="UI60" s="70">
        <f t="shared" si="322"/>
        <v>0</v>
      </c>
      <c r="UJ60" s="70">
        <f t="shared" si="322"/>
        <v>0</v>
      </c>
      <c r="UK60" s="70">
        <f t="shared" si="322"/>
        <v>0</v>
      </c>
      <c r="UL60" s="70">
        <f t="shared" si="322"/>
        <v>0</v>
      </c>
      <c r="UM60" s="70">
        <f t="shared" si="322"/>
        <v>0</v>
      </c>
      <c r="UN60" s="70">
        <f t="shared" si="322"/>
        <v>0</v>
      </c>
      <c r="UO60" s="70">
        <f t="shared" si="322"/>
        <v>0</v>
      </c>
      <c r="UP60" s="70">
        <f t="shared" si="322"/>
        <v>0</v>
      </c>
      <c r="UQ60" s="70">
        <f t="shared" si="322"/>
        <v>0</v>
      </c>
      <c r="UR60" s="70">
        <f t="shared" si="322"/>
        <v>0</v>
      </c>
      <c r="US60" s="70">
        <f t="shared" si="322"/>
        <v>0</v>
      </c>
      <c r="UT60" s="70">
        <f t="shared" si="322"/>
        <v>0</v>
      </c>
      <c r="UU60" s="70">
        <f t="shared" si="322"/>
        <v>0</v>
      </c>
      <c r="UV60" s="70">
        <f t="shared" si="322"/>
        <v>0</v>
      </c>
      <c r="UW60" s="70">
        <f t="shared" si="322"/>
        <v>0</v>
      </c>
      <c r="UX60" s="70">
        <f t="shared" si="322"/>
        <v>0</v>
      </c>
      <c r="UY60" s="70">
        <f t="shared" si="322"/>
        <v>0</v>
      </c>
      <c r="UZ60" s="70">
        <f t="shared" ref="UZ60:WE60" si="323">UZ23/100</f>
        <v>0</v>
      </c>
      <c r="VA60" s="70">
        <f t="shared" si="323"/>
        <v>0</v>
      </c>
      <c r="VB60" s="70">
        <f t="shared" si="323"/>
        <v>0</v>
      </c>
      <c r="VC60" s="70">
        <f t="shared" si="323"/>
        <v>0</v>
      </c>
      <c r="VD60" s="70">
        <f t="shared" si="323"/>
        <v>0</v>
      </c>
      <c r="VE60" s="70">
        <f t="shared" si="323"/>
        <v>0</v>
      </c>
      <c r="VF60" s="70">
        <f t="shared" si="323"/>
        <v>0</v>
      </c>
      <c r="VG60" s="70">
        <f t="shared" si="323"/>
        <v>0</v>
      </c>
      <c r="VH60" s="70">
        <f t="shared" si="323"/>
        <v>0</v>
      </c>
      <c r="VI60" s="70">
        <f t="shared" si="323"/>
        <v>0</v>
      </c>
      <c r="VJ60" s="70">
        <f t="shared" si="323"/>
        <v>0</v>
      </c>
      <c r="VK60" s="70">
        <f t="shared" si="323"/>
        <v>0</v>
      </c>
      <c r="VL60" s="70">
        <f t="shared" si="323"/>
        <v>0</v>
      </c>
      <c r="VM60" s="70">
        <f t="shared" si="323"/>
        <v>0</v>
      </c>
      <c r="VN60" s="70">
        <f t="shared" si="323"/>
        <v>0</v>
      </c>
      <c r="VO60" s="70">
        <f t="shared" si="323"/>
        <v>0</v>
      </c>
      <c r="VP60" s="70">
        <f t="shared" si="323"/>
        <v>0</v>
      </c>
      <c r="VQ60" s="70">
        <f t="shared" si="323"/>
        <v>0</v>
      </c>
      <c r="VR60" s="70">
        <f t="shared" si="323"/>
        <v>0</v>
      </c>
      <c r="VS60" s="70">
        <f t="shared" si="323"/>
        <v>0</v>
      </c>
      <c r="VT60" s="70">
        <f t="shared" si="323"/>
        <v>0</v>
      </c>
      <c r="VU60" s="70">
        <f t="shared" si="323"/>
        <v>0</v>
      </c>
      <c r="VV60" s="70">
        <f t="shared" si="323"/>
        <v>0</v>
      </c>
      <c r="VW60" s="70">
        <f t="shared" si="323"/>
        <v>0</v>
      </c>
      <c r="VX60" s="70">
        <f t="shared" si="323"/>
        <v>0</v>
      </c>
      <c r="VY60" s="70">
        <f t="shared" si="323"/>
        <v>0</v>
      </c>
      <c r="VZ60" s="70">
        <f t="shared" si="323"/>
        <v>0</v>
      </c>
      <c r="WA60" s="70">
        <f t="shared" si="323"/>
        <v>0</v>
      </c>
      <c r="WB60" s="70">
        <f t="shared" si="323"/>
        <v>0</v>
      </c>
      <c r="WC60" s="70">
        <f t="shared" si="323"/>
        <v>0</v>
      </c>
      <c r="WD60" s="70">
        <f t="shared" si="323"/>
        <v>0</v>
      </c>
      <c r="WE60" s="70">
        <f t="shared" si="323"/>
        <v>0</v>
      </c>
      <c r="WF60" s="70">
        <f t="shared" ref="WF60:WS60" si="324">WF23/100</f>
        <v>0</v>
      </c>
      <c r="WG60" s="70">
        <f t="shared" si="324"/>
        <v>0</v>
      </c>
      <c r="WH60" s="70">
        <f t="shared" si="324"/>
        <v>0</v>
      </c>
      <c r="WI60" s="70">
        <f t="shared" si="324"/>
        <v>0</v>
      </c>
      <c r="WJ60" s="70">
        <f t="shared" si="324"/>
        <v>0</v>
      </c>
      <c r="WK60" s="70">
        <f t="shared" si="324"/>
        <v>0</v>
      </c>
      <c r="WL60" s="70">
        <f t="shared" si="324"/>
        <v>0</v>
      </c>
      <c r="WM60" s="70">
        <f t="shared" si="324"/>
        <v>0</v>
      </c>
      <c r="WN60" s="70">
        <f t="shared" si="324"/>
        <v>0</v>
      </c>
      <c r="WO60" s="70">
        <f t="shared" si="324"/>
        <v>0</v>
      </c>
      <c r="WP60" s="70">
        <f t="shared" si="324"/>
        <v>0</v>
      </c>
      <c r="WQ60" s="70">
        <f t="shared" si="324"/>
        <v>0</v>
      </c>
      <c r="WR60" s="70">
        <f t="shared" si="324"/>
        <v>0</v>
      </c>
      <c r="WS60" s="70">
        <f t="shared" si="324"/>
        <v>0</v>
      </c>
    </row>
    <row r="61" spans="1:830" hidden="1" x14ac:dyDescent="0.25">
      <c r="M61" t="s">
        <v>416</v>
      </c>
      <c r="N61" s="139">
        <f t="shared" ref="N61:AS61" si="325">N26/40</f>
        <v>0</v>
      </c>
      <c r="O61" s="139">
        <f t="shared" si="325"/>
        <v>0</v>
      </c>
      <c r="P61" s="139">
        <f t="shared" si="325"/>
        <v>0</v>
      </c>
      <c r="Q61" s="139">
        <f t="shared" si="325"/>
        <v>0</v>
      </c>
      <c r="R61" s="139">
        <f t="shared" si="325"/>
        <v>0</v>
      </c>
      <c r="S61" s="139">
        <f t="shared" si="325"/>
        <v>0</v>
      </c>
      <c r="T61" s="139">
        <f t="shared" si="325"/>
        <v>0</v>
      </c>
      <c r="U61" s="139">
        <f t="shared" si="325"/>
        <v>0</v>
      </c>
      <c r="V61" s="139">
        <f t="shared" si="325"/>
        <v>0</v>
      </c>
      <c r="W61" s="139">
        <f t="shared" si="325"/>
        <v>0</v>
      </c>
      <c r="X61" s="139">
        <f t="shared" si="325"/>
        <v>0</v>
      </c>
      <c r="Y61" s="139">
        <f t="shared" si="325"/>
        <v>0</v>
      </c>
      <c r="Z61" s="139">
        <f t="shared" si="325"/>
        <v>0</v>
      </c>
      <c r="AA61" s="139">
        <f t="shared" si="325"/>
        <v>0</v>
      </c>
      <c r="AB61" s="139">
        <f t="shared" si="325"/>
        <v>0</v>
      </c>
      <c r="AC61" s="139">
        <f t="shared" si="325"/>
        <v>0</v>
      </c>
      <c r="AD61" s="139">
        <f t="shared" si="325"/>
        <v>0</v>
      </c>
      <c r="AE61" s="139">
        <f t="shared" si="325"/>
        <v>0</v>
      </c>
      <c r="AF61" s="139">
        <f t="shared" si="325"/>
        <v>0</v>
      </c>
      <c r="AG61" s="139">
        <f t="shared" si="325"/>
        <v>0</v>
      </c>
      <c r="AH61" s="139">
        <f t="shared" si="325"/>
        <v>0</v>
      </c>
      <c r="AI61" s="139">
        <f t="shared" si="325"/>
        <v>0</v>
      </c>
      <c r="AJ61" s="139">
        <f t="shared" si="325"/>
        <v>0</v>
      </c>
      <c r="AK61" s="139">
        <f t="shared" si="325"/>
        <v>0</v>
      </c>
      <c r="AL61" s="139">
        <f t="shared" si="325"/>
        <v>0</v>
      </c>
      <c r="AM61" s="139">
        <f t="shared" si="325"/>
        <v>0</v>
      </c>
      <c r="AN61" s="139">
        <f t="shared" si="325"/>
        <v>0</v>
      </c>
      <c r="AO61" s="139">
        <f t="shared" si="325"/>
        <v>0</v>
      </c>
      <c r="AP61" s="139">
        <f t="shared" si="325"/>
        <v>0</v>
      </c>
      <c r="AQ61" s="139">
        <f t="shared" si="325"/>
        <v>0</v>
      </c>
      <c r="AR61" s="139">
        <f t="shared" si="325"/>
        <v>0</v>
      </c>
      <c r="AS61" s="139">
        <f t="shared" si="325"/>
        <v>0</v>
      </c>
      <c r="AT61" s="139">
        <f t="shared" ref="AT61:BY61" si="326">AT26/40</f>
        <v>0</v>
      </c>
      <c r="AU61" s="139">
        <f t="shared" si="326"/>
        <v>0</v>
      </c>
      <c r="AV61" s="139">
        <f t="shared" si="326"/>
        <v>0</v>
      </c>
      <c r="AW61" s="139">
        <f t="shared" si="326"/>
        <v>0</v>
      </c>
      <c r="AX61" s="139">
        <f t="shared" si="326"/>
        <v>0</v>
      </c>
      <c r="AY61" s="139">
        <f t="shared" si="326"/>
        <v>0</v>
      </c>
      <c r="AZ61" s="139">
        <f t="shared" si="326"/>
        <v>0</v>
      </c>
      <c r="BA61" s="139">
        <f t="shared" si="326"/>
        <v>0</v>
      </c>
      <c r="BB61" s="139">
        <f t="shared" si="326"/>
        <v>0</v>
      </c>
      <c r="BC61" s="139">
        <f t="shared" si="326"/>
        <v>0</v>
      </c>
      <c r="BD61" s="139">
        <f t="shared" si="326"/>
        <v>0</v>
      </c>
      <c r="BE61" s="139">
        <f t="shared" si="326"/>
        <v>0</v>
      </c>
      <c r="BF61" s="139">
        <f t="shared" si="326"/>
        <v>0</v>
      </c>
      <c r="BG61" s="139">
        <f t="shared" si="326"/>
        <v>0</v>
      </c>
      <c r="BH61" s="139">
        <f t="shared" si="326"/>
        <v>0</v>
      </c>
      <c r="BI61" s="139">
        <f t="shared" si="326"/>
        <v>0</v>
      </c>
      <c r="BJ61" s="139">
        <f t="shared" si="326"/>
        <v>0</v>
      </c>
      <c r="BK61" s="139">
        <f t="shared" si="326"/>
        <v>0</v>
      </c>
      <c r="BL61" s="139">
        <f t="shared" si="326"/>
        <v>0</v>
      </c>
      <c r="BM61" s="139">
        <f t="shared" si="326"/>
        <v>0</v>
      </c>
      <c r="BN61" s="139">
        <f t="shared" si="326"/>
        <v>0</v>
      </c>
      <c r="BO61" s="139">
        <f t="shared" si="326"/>
        <v>0</v>
      </c>
      <c r="BP61" s="139">
        <f t="shared" si="326"/>
        <v>0</v>
      </c>
      <c r="BQ61" s="139">
        <f t="shared" si="326"/>
        <v>0</v>
      </c>
      <c r="BR61" s="139">
        <f t="shared" si="326"/>
        <v>0</v>
      </c>
      <c r="BS61" s="139">
        <f t="shared" si="326"/>
        <v>0</v>
      </c>
      <c r="BT61" s="139">
        <f t="shared" si="326"/>
        <v>0</v>
      </c>
      <c r="BU61" s="139">
        <f t="shared" si="326"/>
        <v>0</v>
      </c>
      <c r="BV61" s="139">
        <f t="shared" si="326"/>
        <v>0</v>
      </c>
      <c r="BW61" s="139">
        <f t="shared" si="326"/>
        <v>0</v>
      </c>
      <c r="BX61" s="139">
        <f t="shared" si="326"/>
        <v>0</v>
      </c>
      <c r="BY61" s="139">
        <f t="shared" si="326"/>
        <v>0</v>
      </c>
      <c r="BZ61" s="139">
        <f t="shared" ref="BZ61:CI61" si="327">BZ26/40</f>
        <v>0</v>
      </c>
      <c r="CA61" s="139">
        <f t="shared" si="327"/>
        <v>0</v>
      </c>
      <c r="CB61" s="139">
        <f t="shared" si="327"/>
        <v>0</v>
      </c>
      <c r="CC61" s="139">
        <f t="shared" si="327"/>
        <v>0</v>
      </c>
      <c r="CD61" s="139">
        <f t="shared" si="327"/>
        <v>0</v>
      </c>
      <c r="CE61" s="139">
        <f t="shared" si="327"/>
        <v>0</v>
      </c>
      <c r="CF61" s="139">
        <f t="shared" si="327"/>
        <v>0</v>
      </c>
      <c r="CG61" s="139">
        <f t="shared" si="327"/>
        <v>0</v>
      </c>
      <c r="CH61" s="139">
        <f t="shared" si="327"/>
        <v>0</v>
      </c>
      <c r="CI61" s="139">
        <f t="shared" si="327"/>
        <v>0</v>
      </c>
      <c r="CJ61" s="139">
        <f t="shared" ref="CJ61:DO61" si="328">CJ26/100</f>
        <v>0</v>
      </c>
      <c r="CK61" s="139">
        <f t="shared" si="328"/>
        <v>0</v>
      </c>
      <c r="CL61" s="139">
        <f t="shared" si="328"/>
        <v>0</v>
      </c>
      <c r="CM61" s="139">
        <f t="shared" si="328"/>
        <v>0</v>
      </c>
      <c r="CN61" s="139">
        <f t="shared" si="328"/>
        <v>0</v>
      </c>
      <c r="CO61" s="139">
        <f t="shared" si="328"/>
        <v>0</v>
      </c>
      <c r="CP61" s="139">
        <f t="shared" si="328"/>
        <v>0</v>
      </c>
      <c r="CQ61" s="139">
        <f t="shared" si="328"/>
        <v>0</v>
      </c>
      <c r="CR61" s="139">
        <f t="shared" si="328"/>
        <v>0</v>
      </c>
      <c r="CS61" s="139">
        <f t="shared" si="328"/>
        <v>0</v>
      </c>
      <c r="CT61" s="139">
        <f t="shared" si="328"/>
        <v>0</v>
      </c>
      <c r="CU61" s="139">
        <f t="shared" si="328"/>
        <v>0</v>
      </c>
      <c r="CV61" s="139">
        <f t="shared" si="328"/>
        <v>0</v>
      </c>
      <c r="CW61" s="139">
        <f t="shared" si="328"/>
        <v>0</v>
      </c>
      <c r="CX61" s="139">
        <f t="shared" si="328"/>
        <v>0</v>
      </c>
      <c r="CY61" s="139">
        <f t="shared" si="328"/>
        <v>0</v>
      </c>
      <c r="CZ61" s="139">
        <f t="shared" si="328"/>
        <v>0</v>
      </c>
      <c r="DA61" s="139">
        <f t="shared" si="328"/>
        <v>0</v>
      </c>
      <c r="DB61" s="139">
        <f t="shared" si="328"/>
        <v>0</v>
      </c>
      <c r="DC61" s="139">
        <f t="shared" si="328"/>
        <v>0</v>
      </c>
      <c r="DD61" s="139">
        <f t="shared" si="328"/>
        <v>0</v>
      </c>
      <c r="DE61" s="139">
        <f t="shared" si="328"/>
        <v>0</v>
      </c>
      <c r="DF61" s="139">
        <f t="shared" si="328"/>
        <v>0</v>
      </c>
      <c r="DG61" s="139">
        <f t="shared" si="328"/>
        <v>0</v>
      </c>
      <c r="DH61" s="139">
        <f t="shared" si="328"/>
        <v>0</v>
      </c>
      <c r="DI61" s="139">
        <f t="shared" si="328"/>
        <v>0</v>
      </c>
      <c r="DJ61" s="139">
        <f t="shared" si="328"/>
        <v>0</v>
      </c>
      <c r="DK61" s="139">
        <f t="shared" si="328"/>
        <v>0</v>
      </c>
      <c r="DL61" s="139">
        <f t="shared" si="328"/>
        <v>0</v>
      </c>
      <c r="DM61" s="139">
        <f t="shared" si="328"/>
        <v>0</v>
      </c>
      <c r="DN61" s="139">
        <f t="shared" si="328"/>
        <v>0</v>
      </c>
      <c r="DO61" s="139">
        <f t="shared" si="328"/>
        <v>0</v>
      </c>
      <c r="DP61" s="139">
        <f t="shared" ref="DP61:EU61" si="329">DP26/100</f>
        <v>0</v>
      </c>
      <c r="DQ61" s="139">
        <f t="shared" si="329"/>
        <v>0</v>
      </c>
      <c r="DR61" s="139">
        <f t="shared" si="329"/>
        <v>0</v>
      </c>
      <c r="DS61" s="139">
        <f t="shared" si="329"/>
        <v>0</v>
      </c>
      <c r="DT61" s="139">
        <f t="shared" si="329"/>
        <v>0</v>
      </c>
      <c r="DU61" s="139">
        <f t="shared" si="329"/>
        <v>0</v>
      </c>
      <c r="DV61" s="139">
        <f t="shared" si="329"/>
        <v>0</v>
      </c>
      <c r="DW61" s="139">
        <f t="shared" si="329"/>
        <v>0</v>
      </c>
      <c r="DX61" s="139">
        <f t="shared" si="329"/>
        <v>0</v>
      </c>
      <c r="DY61" s="139">
        <f t="shared" si="329"/>
        <v>0</v>
      </c>
      <c r="DZ61" s="139">
        <f t="shared" si="329"/>
        <v>0</v>
      </c>
      <c r="EA61" s="139">
        <f t="shared" si="329"/>
        <v>0</v>
      </c>
      <c r="EB61" s="139">
        <f t="shared" si="329"/>
        <v>0</v>
      </c>
      <c r="EC61" s="139">
        <f t="shared" si="329"/>
        <v>0</v>
      </c>
      <c r="ED61" s="139">
        <f t="shared" si="329"/>
        <v>0</v>
      </c>
      <c r="EE61" s="139">
        <f t="shared" si="329"/>
        <v>0</v>
      </c>
      <c r="EF61" s="139">
        <f t="shared" si="329"/>
        <v>0</v>
      </c>
      <c r="EG61" s="139">
        <f t="shared" si="329"/>
        <v>0</v>
      </c>
      <c r="EH61" s="139">
        <f t="shared" si="329"/>
        <v>0</v>
      </c>
      <c r="EI61" s="139">
        <f t="shared" si="329"/>
        <v>0</v>
      </c>
      <c r="EJ61" s="139">
        <f t="shared" si="329"/>
        <v>0</v>
      </c>
      <c r="EK61" s="139">
        <f t="shared" si="329"/>
        <v>0</v>
      </c>
      <c r="EL61" s="139">
        <f t="shared" si="329"/>
        <v>0</v>
      </c>
      <c r="EM61" s="139">
        <f t="shared" si="329"/>
        <v>0</v>
      </c>
      <c r="EN61" s="139">
        <f t="shared" si="329"/>
        <v>0</v>
      </c>
      <c r="EO61" s="139">
        <f t="shared" si="329"/>
        <v>0</v>
      </c>
      <c r="EP61" s="139">
        <f t="shared" si="329"/>
        <v>0</v>
      </c>
      <c r="EQ61" s="139">
        <f t="shared" si="329"/>
        <v>0</v>
      </c>
      <c r="ER61" s="139">
        <f t="shared" si="329"/>
        <v>0</v>
      </c>
      <c r="ES61" s="139">
        <f t="shared" si="329"/>
        <v>0</v>
      </c>
      <c r="ET61" s="139">
        <f t="shared" si="329"/>
        <v>0</v>
      </c>
      <c r="EU61" s="139">
        <f t="shared" si="329"/>
        <v>0</v>
      </c>
      <c r="EV61" s="139">
        <f t="shared" ref="EV61:GA61" si="330">EV26/100</f>
        <v>0</v>
      </c>
      <c r="EW61" s="139">
        <f t="shared" si="330"/>
        <v>0</v>
      </c>
      <c r="EX61" s="139">
        <f t="shared" si="330"/>
        <v>0</v>
      </c>
      <c r="EY61" s="139">
        <f t="shared" si="330"/>
        <v>0</v>
      </c>
      <c r="EZ61" s="139">
        <f t="shared" si="330"/>
        <v>0</v>
      </c>
      <c r="FA61" s="139">
        <f t="shared" si="330"/>
        <v>0</v>
      </c>
      <c r="FB61" s="139">
        <f t="shared" si="330"/>
        <v>0</v>
      </c>
      <c r="FC61" s="139">
        <f t="shared" si="330"/>
        <v>0</v>
      </c>
      <c r="FD61" s="139">
        <f t="shared" si="330"/>
        <v>0</v>
      </c>
      <c r="FE61" s="139">
        <f t="shared" si="330"/>
        <v>0</v>
      </c>
      <c r="FF61" s="139">
        <f t="shared" si="330"/>
        <v>0</v>
      </c>
      <c r="FG61" s="139">
        <f t="shared" si="330"/>
        <v>0</v>
      </c>
      <c r="FH61" s="139">
        <f t="shared" si="330"/>
        <v>0</v>
      </c>
      <c r="FI61" s="139">
        <f t="shared" si="330"/>
        <v>0</v>
      </c>
      <c r="FJ61" s="139">
        <f t="shared" si="330"/>
        <v>0</v>
      </c>
      <c r="FK61" s="139">
        <f t="shared" si="330"/>
        <v>0</v>
      </c>
      <c r="FL61" s="139">
        <f t="shared" si="330"/>
        <v>0</v>
      </c>
      <c r="FM61" s="139">
        <f t="shared" si="330"/>
        <v>0</v>
      </c>
      <c r="FN61" s="139">
        <f t="shared" si="330"/>
        <v>0</v>
      </c>
      <c r="FO61" s="139">
        <f t="shared" si="330"/>
        <v>0</v>
      </c>
      <c r="FP61" s="139">
        <f t="shared" si="330"/>
        <v>0</v>
      </c>
      <c r="FQ61" s="139">
        <f t="shared" si="330"/>
        <v>0</v>
      </c>
      <c r="FR61" s="139">
        <f t="shared" si="330"/>
        <v>0</v>
      </c>
      <c r="FS61" s="139">
        <f t="shared" si="330"/>
        <v>0</v>
      </c>
      <c r="FT61" s="139">
        <f t="shared" si="330"/>
        <v>0</v>
      </c>
      <c r="FU61" s="139">
        <f t="shared" si="330"/>
        <v>0</v>
      </c>
      <c r="FV61" s="139">
        <f t="shared" si="330"/>
        <v>0</v>
      </c>
      <c r="FW61" s="139">
        <f t="shared" si="330"/>
        <v>0</v>
      </c>
      <c r="FX61" s="139">
        <f t="shared" si="330"/>
        <v>0</v>
      </c>
      <c r="FY61" s="139">
        <f t="shared" si="330"/>
        <v>0</v>
      </c>
      <c r="FZ61" s="139">
        <f t="shared" si="330"/>
        <v>0</v>
      </c>
      <c r="GA61" s="139">
        <f t="shared" si="330"/>
        <v>0</v>
      </c>
      <c r="GB61" s="139">
        <f t="shared" ref="GB61:HA61" si="331">GB26/100</f>
        <v>0</v>
      </c>
      <c r="GC61" s="139">
        <f t="shared" si="331"/>
        <v>0</v>
      </c>
      <c r="GD61" s="139">
        <f t="shared" si="331"/>
        <v>0</v>
      </c>
      <c r="GE61" s="139">
        <f t="shared" si="331"/>
        <v>0</v>
      </c>
      <c r="GF61" s="139">
        <f t="shared" si="331"/>
        <v>0</v>
      </c>
      <c r="GG61" s="139">
        <f t="shared" si="331"/>
        <v>0</v>
      </c>
      <c r="GH61" s="139">
        <f t="shared" si="331"/>
        <v>0</v>
      </c>
      <c r="GI61" s="139">
        <f t="shared" si="331"/>
        <v>0</v>
      </c>
      <c r="GJ61" s="139">
        <f t="shared" si="331"/>
        <v>0</v>
      </c>
      <c r="GK61" s="139">
        <f t="shared" si="331"/>
        <v>0</v>
      </c>
      <c r="GL61" s="139">
        <f t="shared" si="331"/>
        <v>0</v>
      </c>
      <c r="GM61" s="139">
        <f t="shared" si="331"/>
        <v>0</v>
      </c>
      <c r="GN61" s="139">
        <f t="shared" si="331"/>
        <v>0</v>
      </c>
      <c r="GO61" s="139">
        <f t="shared" si="331"/>
        <v>0</v>
      </c>
      <c r="GP61" s="139">
        <f t="shared" si="331"/>
        <v>0</v>
      </c>
      <c r="GQ61" s="139">
        <f t="shared" si="331"/>
        <v>0</v>
      </c>
      <c r="GR61" s="139">
        <f t="shared" si="331"/>
        <v>0</v>
      </c>
      <c r="GS61" s="139">
        <f t="shared" si="331"/>
        <v>0</v>
      </c>
      <c r="GT61" s="139">
        <f t="shared" si="331"/>
        <v>0</v>
      </c>
      <c r="GU61" s="139">
        <f t="shared" si="331"/>
        <v>0</v>
      </c>
      <c r="GV61" s="139">
        <f t="shared" si="331"/>
        <v>0</v>
      </c>
      <c r="GW61" s="139">
        <f t="shared" si="331"/>
        <v>0</v>
      </c>
      <c r="GX61" s="139">
        <f t="shared" si="331"/>
        <v>0</v>
      </c>
      <c r="GY61" s="139">
        <f t="shared" si="331"/>
        <v>0</v>
      </c>
      <c r="GZ61" s="139">
        <f t="shared" si="331"/>
        <v>0</v>
      </c>
      <c r="HA61" s="139">
        <f t="shared" si="331"/>
        <v>0</v>
      </c>
      <c r="HB61" s="139">
        <f t="shared" ref="HB61:II61" si="332">HB26/40</f>
        <v>0</v>
      </c>
      <c r="HC61" s="139">
        <f t="shared" si="332"/>
        <v>0</v>
      </c>
      <c r="HD61" s="139">
        <f t="shared" si="332"/>
        <v>0</v>
      </c>
      <c r="HE61" s="139">
        <f t="shared" si="332"/>
        <v>0</v>
      </c>
      <c r="HF61" s="139">
        <f t="shared" si="332"/>
        <v>0</v>
      </c>
      <c r="HG61" s="139">
        <f t="shared" si="332"/>
        <v>0</v>
      </c>
      <c r="HH61" s="139">
        <f t="shared" si="332"/>
        <v>0</v>
      </c>
      <c r="HI61" s="139">
        <f t="shared" si="332"/>
        <v>0</v>
      </c>
      <c r="HJ61" s="139">
        <f t="shared" si="332"/>
        <v>0</v>
      </c>
      <c r="HK61" s="139">
        <f t="shared" si="332"/>
        <v>0</v>
      </c>
      <c r="HL61" s="139">
        <f t="shared" si="332"/>
        <v>0</v>
      </c>
      <c r="HM61" s="139">
        <f t="shared" si="332"/>
        <v>0</v>
      </c>
      <c r="HN61" s="139">
        <f t="shared" si="332"/>
        <v>0</v>
      </c>
      <c r="HO61" s="139">
        <f t="shared" si="332"/>
        <v>0</v>
      </c>
      <c r="HP61" s="139">
        <f t="shared" si="332"/>
        <v>0</v>
      </c>
      <c r="HQ61" s="139">
        <f t="shared" si="332"/>
        <v>0</v>
      </c>
      <c r="HR61" s="139">
        <f t="shared" si="332"/>
        <v>0</v>
      </c>
      <c r="HS61" s="139">
        <f t="shared" si="332"/>
        <v>0</v>
      </c>
      <c r="HT61" s="139">
        <f t="shared" si="332"/>
        <v>0</v>
      </c>
      <c r="HU61" s="139">
        <f t="shared" si="332"/>
        <v>0</v>
      </c>
      <c r="HV61" s="139">
        <f t="shared" si="332"/>
        <v>0</v>
      </c>
      <c r="HW61" s="139">
        <f t="shared" si="332"/>
        <v>0</v>
      </c>
      <c r="HX61" s="139">
        <f t="shared" si="332"/>
        <v>0</v>
      </c>
      <c r="HY61" s="139">
        <f t="shared" si="332"/>
        <v>0</v>
      </c>
      <c r="HZ61" s="139">
        <f t="shared" si="332"/>
        <v>0</v>
      </c>
      <c r="IA61" s="139">
        <f t="shared" si="332"/>
        <v>0</v>
      </c>
      <c r="IB61" s="139">
        <f t="shared" si="332"/>
        <v>0</v>
      </c>
      <c r="IC61" s="139">
        <f t="shared" si="332"/>
        <v>0</v>
      </c>
      <c r="ID61" s="139">
        <f t="shared" si="332"/>
        <v>0</v>
      </c>
      <c r="IE61" s="139">
        <f t="shared" si="332"/>
        <v>0</v>
      </c>
      <c r="IF61" s="139">
        <f t="shared" si="332"/>
        <v>0</v>
      </c>
      <c r="IG61" s="139">
        <f t="shared" si="332"/>
        <v>0</v>
      </c>
      <c r="IH61" s="139">
        <f t="shared" si="332"/>
        <v>0</v>
      </c>
      <c r="II61" s="139">
        <f t="shared" si="332"/>
        <v>0</v>
      </c>
      <c r="IJ61" s="139">
        <f t="shared" ref="IJ61:JM61" si="333">IJ26/100</f>
        <v>0</v>
      </c>
      <c r="IK61" s="139">
        <f t="shared" si="333"/>
        <v>0</v>
      </c>
      <c r="IL61" s="139">
        <f t="shared" si="333"/>
        <v>0</v>
      </c>
      <c r="IM61" s="139">
        <f t="shared" si="333"/>
        <v>0</v>
      </c>
      <c r="IN61" s="139">
        <f t="shared" si="333"/>
        <v>0</v>
      </c>
      <c r="IO61" s="139">
        <f t="shared" si="333"/>
        <v>0</v>
      </c>
      <c r="IP61" s="139">
        <f t="shared" si="333"/>
        <v>0</v>
      </c>
      <c r="IQ61" s="139">
        <f t="shared" si="333"/>
        <v>0</v>
      </c>
      <c r="IR61" s="139">
        <f t="shared" si="333"/>
        <v>0</v>
      </c>
      <c r="IS61" s="139">
        <f t="shared" si="333"/>
        <v>0</v>
      </c>
      <c r="IT61" s="139">
        <f t="shared" si="333"/>
        <v>0</v>
      </c>
      <c r="IU61" s="139">
        <f t="shared" si="333"/>
        <v>0</v>
      </c>
      <c r="IV61" s="139">
        <f t="shared" si="333"/>
        <v>0</v>
      </c>
      <c r="IW61" s="139">
        <f t="shared" si="333"/>
        <v>0</v>
      </c>
      <c r="IX61" s="139">
        <f t="shared" si="333"/>
        <v>0</v>
      </c>
      <c r="IY61" s="139">
        <f t="shared" si="333"/>
        <v>0</v>
      </c>
      <c r="IZ61" s="139">
        <f t="shared" si="333"/>
        <v>0</v>
      </c>
      <c r="JA61" s="139">
        <f t="shared" si="333"/>
        <v>0</v>
      </c>
      <c r="JB61" s="139">
        <f t="shared" si="333"/>
        <v>0</v>
      </c>
      <c r="JC61" s="139">
        <f t="shared" si="333"/>
        <v>0</v>
      </c>
      <c r="JD61" s="139">
        <f t="shared" si="333"/>
        <v>0</v>
      </c>
      <c r="JE61" s="139">
        <f t="shared" si="333"/>
        <v>0</v>
      </c>
      <c r="JF61" s="139">
        <f t="shared" si="333"/>
        <v>0</v>
      </c>
      <c r="JG61" s="139">
        <f t="shared" si="333"/>
        <v>0</v>
      </c>
      <c r="JH61" s="139">
        <f t="shared" si="333"/>
        <v>0</v>
      </c>
      <c r="JI61" s="139">
        <f t="shared" si="333"/>
        <v>0</v>
      </c>
      <c r="JJ61" s="139">
        <f t="shared" si="333"/>
        <v>0</v>
      </c>
      <c r="JK61" s="139">
        <f t="shared" si="333"/>
        <v>0</v>
      </c>
      <c r="JL61" s="139">
        <f t="shared" si="333"/>
        <v>0</v>
      </c>
      <c r="JM61" s="139">
        <f t="shared" si="333"/>
        <v>0</v>
      </c>
      <c r="JN61" s="139">
        <f t="shared" ref="JN61:JS61" si="334">JN26/40</f>
        <v>0</v>
      </c>
      <c r="JO61" s="139">
        <f t="shared" si="334"/>
        <v>0</v>
      </c>
      <c r="JP61" s="139">
        <f t="shared" si="334"/>
        <v>0</v>
      </c>
      <c r="JQ61" s="139">
        <f t="shared" si="334"/>
        <v>0</v>
      </c>
      <c r="JR61" s="139">
        <f t="shared" si="334"/>
        <v>0</v>
      </c>
      <c r="JS61" s="139">
        <f t="shared" si="334"/>
        <v>0</v>
      </c>
      <c r="JT61" s="139">
        <f t="shared" ref="JT61:JY61" si="335">JT26/100</f>
        <v>0</v>
      </c>
      <c r="JU61" s="139">
        <f t="shared" si="335"/>
        <v>0</v>
      </c>
      <c r="JV61" s="139">
        <f t="shared" si="335"/>
        <v>0</v>
      </c>
      <c r="JW61" s="139">
        <f t="shared" si="335"/>
        <v>0</v>
      </c>
      <c r="JX61" s="139">
        <f t="shared" si="335"/>
        <v>0</v>
      </c>
      <c r="JY61" s="139">
        <f t="shared" si="335"/>
        <v>0</v>
      </c>
      <c r="JZ61" s="139">
        <f t="shared" ref="JZ61:KY61" si="336">JZ26/40</f>
        <v>0</v>
      </c>
      <c r="KA61" s="139">
        <f t="shared" si="336"/>
        <v>0</v>
      </c>
      <c r="KB61" s="139">
        <f t="shared" si="336"/>
        <v>0</v>
      </c>
      <c r="KC61" s="139">
        <f t="shared" si="336"/>
        <v>0</v>
      </c>
      <c r="KD61" s="139">
        <f t="shared" si="336"/>
        <v>0</v>
      </c>
      <c r="KE61" s="139">
        <f t="shared" si="336"/>
        <v>0</v>
      </c>
      <c r="KF61" s="139">
        <f t="shared" si="336"/>
        <v>0</v>
      </c>
      <c r="KG61" s="139">
        <f t="shared" si="336"/>
        <v>0</v>
      </c>
      <c r="KH61" s="139">
        <f t="shared" si="336"/>
        <v>0</v>
      </c>
      <c r="KI61" s="139">
        <f t="shared" si="336"/>
        <v>0</v>
      </c>
      <c r="KJ61" s="139">
        <f t="shared" si="336"/>
        <v>0</v>
      </c>
      <c r="KK61" s="139">
        <f t="shared" si="336"/>
        <v>0</v>
      </c>
      <c r="KL61" s="139">
        <f t="shared" si="336"/>
        <v>0</v>
      </c>
      <c r="KM61" s="139">
        <f t="shared" si="336"/>
        <v>0</v>
      </c>
      <c r="KN61" s="139">
        <f t="shared" si="336"/>
        <v>0</v>
      </c>
      <c r="KO61" s="139">
        <f t="shared" si="336"/>
        <v>0</v>
      </c>
      <c r="KP61" s="139">
        <f t="shared" si="336"/>
        <v>0</v>
      </c>
      <c r="KQ61" s="139">
        <f t="shared" si="336"/>
        <v>0</v>
      </c>
      <c r="KR61" s="139">
        <f t="shared" si="336"/>
        <v>0</v>
      </c>
      <c r="KS61" s="139">
        <f t="shared" si="336"/>
        <v>0</v>
      </c>
      <c r="KT61" s="139">
        <f t="shared" si="336"/>
        <v>0</v>
      </c>
      <c r="KU61" s="139">
        <f t="shared" si="336"/>
        <v>0</v>
      </c>
      <c r="KV61" s="139">
        <f t="shared" si="336"/>
        <v>0</v>
      </c>
      <c r="KW61" s="139">
        <f t="shared" si="336"/>
        <v>0</v>
      </c>
      <c r="KX61" s="139">
        <f t="shared" si="336"/>
        <v>0</v>
      </c>
      <c r="KY61" s="139">
        <f t="shared" si="336"/>
        <v>0</v>
      </c>
      <c r="KZ61" s="139">
        <f t="shared" ref="KZ61:ME61" si="337">KZ26/100</f>
        <v>0</v>
      </c>
      <c r="LA61" s="139">
        <f t="shared" si="337"/>
        <v>0</v>
      </c>
      <c r="LB61" s="139">
        <f t="shared" si="337"/>
        <v>0</v>
      </c>
      <c r="LC61" s="139">
        <f t="shared" si="337"/>
        <v>0</v>
      </c>
      <c r="LD61" s="139">
        <f t="shared" si="337"/>
        <v>0</v>
      </c>
      <c r="LE61" s="139">
        <f t="shared" si="337"/>
        <v>0</v>
      </c>
      <c r="LF61" s="139">
        <f t="shared" si="337"/>
        <v>0</v>
      </c>
      <c r="LG61" s="139">
        <f t="shared" si="337"/>
        <v>0</v>
      </c>
      <c r="LH61" s="139">
        <f t="shared" si="337"/>
        <v>0</v>
      </c>
      <c r="LI61" s="139">
        <f t="shared" si="337"/>
        <v>0</v>
      </c>
      <c r="LJ61" s="139">
        <f t="shared" si="337"/>
        <v>0</v>
      </c>
      <c r="LK61" s="139">
        <f t="shared" si="337"/>
        <v>0</v>
      </c>
      <c r="LL61" s="139">
        <f t="shared" si="337"/>
        <v>0</v>
      </c>
      <c r="LM61" s="139">
        <f t="shared" si="337"/>
        <v>0</v>
      </c>
      <c r="LN61" s="139">
        <f t="shared" si="337"/>
        <v>0</v>
      </c>
      <c r="LO61" s="139">
        <f t="shared" si="337"/>
        <v>0</v>
      </c>
      <c r="LP61" s="139">
        <f t="shared" si="337"/>
        <v>0</v>
      </c>
      <c r="LQ61" s="139">
        <f t="shared" si="337"/>
        <v>0</v>
      </c>
      <c r="LR61" s="139">
        <f t="shared" si="337"/>
        <v>0</v>
      </c>
      <c r="LS61" s="139">
        <f t="shared" si="337"/>
        <v>0</v>
      </c>
      <c r="LT61" s="139">
        <f t="shared" si="337"/>
        <v>0</v>
      </c>
      <c r="LU61" s="139">
        <f t="shared" si="337"/>
        <v>0</v>
      </c>
      <c r="LV61" s="139">
        <f t="shared" si="337"/>
        <v>0</v>
      </c>
      <c r="LW61" s="139">
        <f t="shared" si="337"/>
        <v>0</v>
      </c>
      <c r="LX61" s="139">
        <f t="shared" si="337"/>
        <v>0</v>
      </c>
      <c r="LY61" s="139">
        <f t="shared" si="337"/>
        <v>0</v>
      </c>
      <c r="LZ61" s="139">
        <f t="shared" si="337"/>
        <v>0</v>
      </c>
      <c r="MA61" s="139">
        <f t="shared" si="337"/>
        <v>0</v>
      </c>
      <c r="MB61" s="139">
        <f t="shared" si="337"/>
        <v>0</v>
      </c>
      <c r="MC61" s="139">
        <f t="shared" si="337"/>
        <v>0</v>
      </c>
      <c r="MD61" s="139">
        <f t="shared" si="337"/>
        <v>0</v>
      </c>
      <c r="ME61" s="139">
        <f t="shared" si="337"/>
        <v>0</v>
      </c>
      <c r="MF61" s="139">
        <f t="shared" ref="MF61:NK61" si="338">MF26/100</f>
        <v>0</v>
      </c>
      <c r="MG61" s="139">
        <f t="shared" si="338"/>
        <v>0</v>
      </c>
      <c r="MH61" s="139">
        <f t="shared" si="338"/>
        <v>0</v>
      </c>
      <c r="MI61" s="139">
        <f t="shared" si="338"/>
        <v>0</v>
      </c>
      <c r="MJ61" s="139">
        <f t="shared" si="338"/>
        <v>0</v>
      </c>
      <c r="MK61" s="139">
        <f t="shared" si="338"/>
        <v>0</v>
      </c>
      <c r="ML61" s="139">
        <f t="shared" si="338"/>
        <v>0</v>
      </c>
      <c r="MM61" s="139">
        <f t="shared" si="338"/>
        <v>0</v>
      </c>
      <c r="MN61" s="139">
        <f t="shared" si="338"/>
        <v>0</v>
      </c>
      <c r="MO61" s="139">
        <f t="shared" si="338"/>
        <v>0</v>
      </c>
      <c r="MP61" s="139">
        <f t="shared" si="338"/>
        <v>0</v>
      </c>
      <c r="MQ61" s="139">
        <f t="shared" si="338"/>
        <v>0</v>
      </c>
      <c r="MR61" s="139">
        <f t="shared" si="338"/>
        <v>0</v>
      </c>
      <c r="MS61" s="139">
        <f t="shared" si="338"/>
        <v>0</v>
      </c>
      <c r="MT61" s="139">
        <f t="shared" si="338"/>
        <v>0</v>
      </c>
      <c r="MU61" s="139">
        <f t="shared" si="338"/>
        <v>0</v>
      </c>
      <c r="MV61" s="139">
        <f t="shared" si="338"/>
        <v>0</v>
      </c>
      <c r="MW61" s="139">
        <f t="shared" si="338"/>
        <v>0</v>
      </c>
      <c r="MX61" s="139">
        <f t="shared" si="338"/>
        <v>0</v>
      </c>
      <c r="MY61" s="139">
        <f t="shared" si="338"/>
        <v>0</v>
      </c>
      <c r="MZ61" s="139">
        <f t="shared" si="338"/>
        <v>0</v>
      </c>
      <c r="NA61" s="139">
        <f t="shared" si="338"/>
        <v>0</v>
      </c>
      <c r="NB61" s="139">
        <f t="shared" si="338"/>
        <v>0</v>
      </c>
      <c r="NC61" s="139">
        <f t="shared" si="338"/>
        <v>0</v>
      </c>
      <c r="ND61" s="139">
        <f t="shared" si="338"/>
        <v>0</v>
      </c>
      <c r="NE61" s="139">
        <f t="shared" si="338"/>
        <v>0</v>
      </c>
      <c r="NF61" s="139">
        <f t="shared" si="338"/>
        <v>0</v>
      </c>
      <c r="NG61" s="139">
        <f t="shared" si="338"/>
        <v>0</v>
      </c>
      <c r="NH61" s="139">
        <f t="shared" si="338"/>
        <v>0</v>
      </c>
      <c r="NI61" s="139">
        <f t="shared" si="338"/>
        <v>0</v>
      </c>
      <c r="NJ61" s="139">
        <f t="shared" si="338"/>
        <v>0</v>
      </c>
      <c r="NK61" s="139">
        <f t="shared" si="338"/>
        <v>0</v>
      </c>
      <c r="NL61" s="139">
        <f t="shared" ref="NL61:OQ61" si="339">NL26/100</f>
        <v>0</v>
      </c>
      <c r="NM61" s="139">
        <f t="shared" si="339"/>
        <v>0</v>
      </c>
      <c r="NN61" s="139">
        <f t="shared" si="339"/>
        <v>0</v>
      </c>
      <c r="NO61" s="139">
        <f t="shared" si="339"/>
        <v>0</v>
      </c>
      <c r="NP61" s="139">
        <f t="shared" si="339"/>
        <v>0</v>
      </c>
      <c r="NQ61" s="139">
        <f t="shared" si="339"/>
        <v>0</v>
      </c>
      <c r="NR61" s="139">
        <f t="shared" si="339"/>
        <v>0</v>
      </c>
      <c r="NS61" s="139">
        <f t="shared" si="339"/>
        <v>0</v>
      </c>
      <c r="NT61" s="139">
        <f t="shared" si="339"/>
        <v>0</v>
      </c>
      <c r="NU61" s="139">
        <f t="shared" si="339"/>
        <v>0</v>
      </c>
      <c r="NV61" s="139">
        <f t="shared" si="339"/>
        <v>0</v>
      </c>
      <c r="NW61" s="139">
        <f t="shared" si="339"/>
        <v>0</v>
      </c>
      <c r="NX61" s="139">
        <f t="shared" si="339"/>
        <v>0</v>
      </c>
      <c r="NY61" s="139">
        <f t="shared" si="339"/>
        <v>0</v>
      </c>
      <c r="NZ61" s="139">
        <f t="shared" si="339"/>
        <v>0</v>
      </c>
      <c r="OA61" s="139">
        <f t="shared" si="339"/>
        <v>0</v>
      </c>
      <c r="OB61" s="139">
        <f t="shared" si="339"/>
        <v>0</v>
      </c>
      <c r="OC61" s="139">
        <f t="shared" si="339"/>
        <v>0</v>
      </c>
      <c r="OD61" s="139">
        <f t="shared" si="339"/>
        <v>0</v>
      </c>
      <c r="OE61" s="139">
        <f t="shared" si="339"/>
        <v>0</v>
      </c>
      <c r="OF61" s="139">
        <f t="shared" si="339"/>
        <v>0</v>
      </c>
      <c r="OG61" s="139">
        <f t="shared" si="339"/>
        <v>0</v>
      </c>
      <c r="OH61" s="139">
        <f t="shared" si="339"/>
        <v>0</v>
      </c>
      <c r="OI61" s="139">
        <f t="shared" si="339"/>
        <v>0</v>
      </c>
      <c r="OJ61" s="139">
        <f t="shared" si="339"/>
        <v>0</v>
      </c>
      <c r="OK61" s="139">
        <f t="shared" si="339"/>
        <v>0</v>
      </c>
      <c r="OL61" s="139">
        <f t="shared" si="339"/>
        <v>0</v>
      </c>
      <c r="OM61" s="139">
        <f t="shared" si="339"/>
        <v>0</v>
      </c>
      <c r="ON61" s="139">
        <f t="shared" si="339"/>
        <v>0</v>
      </c>
      <c r="OO61" s="139">
        <f t="shared" si="339"/>
        <v>0</v>
      </c>
      <c r="OP61" s="139">
        <f t="shared" si="339"/>
        <v>0</v>
      </c>
      <c r="OQ61" s="139">
        <f t="shared" si="339"/>
        <v>0</v>
      </c>
      <c r="OR61" s="139">
        <f t="shared" ref="OR61:PW61" si="340">OR26/100</f>
        <v>0</v>
      </c>
      <c r="OS61" s="139">
        <f t="shared" si="340"/>
        <v>0</v>
      </c>
      <c r="OT61" s="139">
        <f t="shared" si="340"/>
        <v>0</v>
      </c>
      <c r="OU61" s="139">
        <f t="shared" si="340"/>
        <v>0</v>
      </c>
      <c r="OV61" s="139">
        <f t="shared" si="340"/>
        <v>0</v>
      </c>
      <c r="OW61" s="139">
        <f t="shared" si="340"/>
        <v>0</v>
      </c>
      <c r="OX61" s="139">
        <f t="shared" si="340"/>
        <v>0</v>
      </c>
      <c r="OY61" s="139">
        <f t="shared" si="340"/>
        <v>0</v>
      </c>
      <c r="OZ61" s="139">
        <f t="shared" si="340"/>
        <v>0</v>
      </c>
      <c r="PA61" s="139">
        <f t="shared" si="340"/>
        <v>0</v>
      </c>
      <c r="PB61" s="139">
        <f t="shared" si="340"/>
        <v>0</v>
      </c>
      <c r="PC61" s="139">
        <f t="shared" si="340"/>
        <v>0</v>
      </c>
      <c r="PD61" s="139">
        <f t="shared" si="340"/>
        <v>0</v>
      </c>
      <c r="PE61" s="139">
        <f t="shared" si="340"/>
        <v>0</v>
      </c>
      <c r="PF61" s="139">
        <f t="shared" si="340"/>
        <v>0</v>
      </c>
      <c r="PG61" s="139">
        <f t="shared" si="340"/>
        <v>0</v>
      </c>
      <c r="PH61" s="139">
        <f t="shared" si="340"/>
        <v>0</v>
      </c>
      <c r="PI61" s="139">
        <f t="shared" si="340"/>
        <v>0</v>
      </c>
      <c r="PJ61" s="139">
        <f t="shared" si="340"/>
        <v>0</v>
      </c>
      <c r="PK61" s="139">
        <f t="shared" si="340"/>
        <v>0</v>
      </c>
      <c r="PL61" s="139">
        <f t="shared" si="340"/>
        <v>0</v>
      </c>
      <c r="PM61" s="139">
        <f t="shared" si="340"/>
        <v>0</v>
      </c>
      <c r="PN61" s="139">
        <f t="shared" si="340"/>
        <v>0</v>
      </c>
      <c r="PO61" s="139">
        <f t="shared" si="340"/>
        <v>0</v>
      </c>
      <c r="PP61" s="139">
        <f t="shared" si="340"/>
        <v>0</v>
      </c>
      <c r="PQ61" s="139">
        <f t="shared" si="340"/>
        <v>0</v>
      </c>
      <c r="PR61" s="139">
        <f t="shared" si="340"/>
        <v>0</v>
      </c>
      <c r="PS61" s="139">
        <f t="shared" si="340"/>
        <v>0</v>
      </c>
      <c r="PT61" s="139">
        <f t="shared" si="340"/>
        <v>0</v>
      </c>
      <c r="PU61" s="139">
        <f t="shared" si="340"/>
        <v>0</v>
      </c>
      <c r="PV61" s="139">
        <f t="shared" si="340"/>
        <v>0</v>
      </c>
      <c r="PW61" s="139">
        <f t="shared" si="340"/>
        <v>0</v>
      </c>
      <c r="PX61" s="139">
        <f t="shared" ref="PX61:QN61" si="341">PX26/100</f>
        <v>0</v>
      </c>
      <c r="PY61" s="139">
        <f t="shared" si="341"/>
        <v>0</v>
      </c>
      <c r="PZ61" s="139">
        <f t="shared" si="341"/>
        <v>0</v>
      </c>
      <c r="QA61" s="139">
        <f t="shared" si="341"/>
        <v>0</v>
      </c>
      <c r="QB61" s="139">
        <f t="shared" si="341"/>
        <v>0</v>
      </c>
      <c r="QC61" s="139">
        <f t="shared" si="341"/>
        <v>0</v>
      </c>
      <c r="QD61" s="139">
        <f t="shared" si="341"/>
        <v>0</v>
      </c>
      <c r="QE61" s="139">
        <f t="shared" si="341"/>
        <v>0</v>
      </c>
      <c r="QF61" s="139">
        <f t="shared" si="341"/>
        <v>0</v>
      </c>
      <c r="QG61" s="139">
        <f t="shared" si="341"/>
        <v>0</v>
      </c>
      <c r="QH61" s="139">
        <f t="shared" si="341"/>
        <v>0</v>
      </c>
      <c r="QI61" s="139">
        <f t="shared" si="341"/>
        <v>0</v>
      </c>
      <c r="QJ61" s="139">
        <f t="shared" si="341"/>
        <v>0</v>
      </c>
      <c r="QK61" s="139">
        <f t="shared" si="341"/>
        <v>0</v>
      </c>
      <c r="QL61" s="139">
        <f t="shared" si="341"/>
        <v>0</v>
      </c>
      <c r="QM61" s="139">
        <f t="shared" si="341"/>
        <v>0</v>
      </c>
      <c r="QN61" s="139">
        <f t="shared" si="341"/>
        <v>0</v>
      </c>
      <c r="QO61" s="139">
        <f>QO26/40</f>
        <v>0</v>
      </c>
      <c r="QP61" s="139">
        <f>QP26/100</f>
        <v>0</v>
      </c>
      <c r="QQ61" s="139">
        <f>QQ26/100</f>
        <v>0</v>
      </c>
      <c r="QR61" s="139">
        <f>QR26/40</f>
        <v>0</v>
      </c>
      <c r="QS61" s="139">
        <f>QS26/100</f>
        <v>0</v>
      </c>
      <c r="QT61" s="139">
        <f>QT26/100</f>
        <v>0</v>
      </c>
      <c r="RA61" s="139">
        <f t="shared" ref="RA61:RF61" si="342">RA26/100</f>
        <v>0</v>
      </c>
      <c r="RB61" s="139">
        <f t="shared" si="342"/>
        <v>0</v>
      </c>
      <c r="RC61" s="139">
        <f t="shared" si="342"/>
        <v>0</v>
      </c>
      <c r="RD61" s="139">
        <f t="shared" si="342"/>
        <v>0</v>
      </c>
      <c r="RE61" s="139">
        <f t="shared" si="342"/>
        <v>0</v>
      </c>
      <c r="RF61" s="139">
        <f t="shared" si="342"/>
        <v>0</v>
      </c>
      <c r="RG61" s="70"/>
      <c r="RM61" s="145"/>
      <c r="SB61" s="70">
        <f>SB26/40</f>
        <v>0</v>
      </c>
      <c r="SC61" s="70">
        <f>SC26/40</f>
        <v>0</v>
      </c>
      <c r="SD61" s="70">
        <f>SD26/40</f>
        <v>0</v>
      </c>
      <c r="SE61" s="70">
        <f t="shared" ref="SE61:SU61" si="343">SE26/100</f>
        <v>0</v>
      </c>
      <c r="SF61" s="70">
        <f t="shared" si="343"/>
        <v>0</v>
      </c>
      <c r="SG61" s="70">
        <f t="shared" si="343"/>
        <v>0</v>
      </c>
      <c r="SH61" s="70">
        <f t="shared" si="343"/>
        <v>0</v>
      </c>
      <c r="SI61" s="70">
        <f t="shared" si="343"/>
        <v>0</v>
      </c>
      <c r="SJ61" s="70">
        <f t="shared" si="343"/>
        <v>0</v>
      </c>
      <c r="SK61" s="70">
        <f t="shared" si="343"/>
        <v>0</v>
      </c>
      <c r="SL61" s="70">
        <f t="shared" si="343"/>
        <v>0</v>
      </c>
      <c r="SM61" s="70">
        <f t="shared" si="343"/>
        <v>0</v>
      </c>
      <c r="SN61" s="70">
        <f t="shared" si="343"/>
        <v>0</v>
      </c>
      <c r="SO61" s="70">
        <f t="shared" si="343"/>
        <v>0</v>
      </c>
      <c r="SP61" s="70">
        <f t="shared" si="343"/>
        <v>0</v>
      </c>
      <c r="SQ61" s="70">
        <f t="shared" si="343"/>
        <v>0</v>
      </c>
      <c r="SR61" s="70">
        <f t="shared" si="343"/>
        <v>0</v>
      </c>
      <c r="SS61" s="70">
        <f t="shared" si="343"/>
        <v>0</v>
      </c>
      <c r="ST61" s="70">
        <f t="shared" si="343"/>
        <v>0</v>
      </c>
      <c r="SU61" s="70">
        <f t="shared" si="343"/>
        <v>0</v>
      </c>
      <c r="SV61" s="139">
        <f>SV26/40</f>
        <v>0</v>
      </c>
      <c r="SW61" s="139">
        <f>SW26/40</f>
        <v>0</v>
      </c>
      <c r="SX61" s="70">
        <f t="shared" ref="SX61:TR61" si="344">SX26/100</f>
        <v>0</v>
      </c>
      <c r="SY61" s="70">
        <f t="shared" si="344"/>
        <v>0</v>
      </c>
      <c r="SZ61" s="70">
        <f t="shared" si="344"/>
        <v>0</v>
      </c>
      <c r="TA61" s="70">
        <f t="shared" si="344"/>
        <v>0</v>
      </c>
      <c r="TB61" s="70">
        <f t="shared" si="344"/>
        <v>0</v>
      </c>
      <c r="TC61" s="70">
        <f t="shared" si="344"/>
        <v>0</v>
      </c>
      <c r="TD61" s="70">
        <f t="shared" si="344"/>
        <v>0</v>
      </c>
      <c r="TE61" s="70">
        <f t="shared" si="344"/>
        <v>0</v>
      </c>
      <c r="TF61" s="70">
        <f t="shared" si="344"/>
        <v>0</v>
      </c>
      <c r="TG61" s="70">
        <f t="shared" si="344"/>
        <v>0</v>
      </c>
      <c r="TH61" s="70">
        <f t="shared" si="344"/>
        <v>0</v>
      </c>
      <c r="TI61" s="70">
        <f t="shared" si="344"/>
        <v>0</v>
      </c>
      <c r="TJ61" s="70">
        <f t="shared" si="344"/>
        <v>0</v>
      </c>
      <c r="TK61" s="70">
        <f t="shared" si="344"/>
        <v>0</v>
      </c>
      <c r="TL61" s="70">
        <f t="shared" si="344"/>
        <v>0</v>
      </c>
      <c r="TM61" s="70">
        <f t="shared" si="344"/>
        <v>0</v>
      </c>
      <c r="TN61" s="70">
        <f t="shared" si="344"/>
        <v>0</v>
      </c>
      <c r="TO61" s="70">
        <f t="shared" si="344"/>
        <v>0</v>
      </c>
      <c r="TP61" s="70">
        <f t="shared" si="344"/>
        <v>0</v>
      </c>
      <c r="TQ61" s="70">
        <f t="shared" si="344"/>
        <v>0</v>
      </c>
      <c r="TR61" s="70">
        <f t="shared" si="344"/>
        <v>0</v>
      </c>
      <c r="TS61" s="139">
        <f>TS26/40</f>
        <v>0</v>
      </c>
      <c r="TT61" s="70">
        <f t="shared" ref="TT61:UY61" si="345">TT26/100</f>
        <v>0</v>
      </c>
      <c r="TU61" s="70">
        <f t="shared" si="345"/>
        <v>0</v>
      </c>
      <c r="TV61" s="70">
        <f t="shared" si="345"/>
        <v>0</v>
      </c>
      <c r="TW61" s="70">
        <f t="shared" si="345"/>
        <v>0</v>
      </c>
      <c r="TX61" s="70">
        <f t="shared" si="345"/>
        <v>0</v>
      </c>
      <c r="TY61" s="70">
        <f t="shared" si="345"/>
        <v>0</v>
      </c>
      <c r="TZ61" s="70">
        <f t="shared" si="345"/>
        <v>0</v>
      </c>
      <c r="UA61" s="70">
        <f t="shared" si="345"/>
        <v>0</v>
      </c>
      <c r="UB61" s="70">
        <f t="shared" si="345"/>
        <v>0</v>
      </c>
      <c r="UC61" s="70">
        <f t="shared" si="345"/>
        <v>0</v>
      </c>
      <c r="UD61" s="70">
        <f t="shared" si="345"/>
        <v>0</v>
      </c>
      <c r="UE61" s="70">
        <f t="shared" si="345"/>
        <v>0</v>
      </c>
      <c r="UF61" s="70">
        <f t="shared" si="345"/>
        <v>0</v>
      </c>
      <c r="UG61" s="70">
        <f t="shared" si="345"/>
        <v>0</v>
      </c>
      <c r="UH61" s="70">
        <f t="shared" si="345"/>
        <v>0</v>
      </c>
      <c r="UI61" s="70">
        <f t="shared" si="345"/>
        <v>0</v>
      </c>
      <c r="UJ61" s="70">
        <f t="shared" si="345"/>
        <v>0</v>
      </c>
      <c r="UK61" s="70">
        <f t="shared" si="345"/>
        <v>0</v>
      </c>
      <c r="UL61" s="70">
        <f t="shared" si="345"/>
        <v>0</v>
      </c>
      <c r="UM61" s="70">
        <f t="shared" si="345"/>
        <v>0</v>
      </c>
      <c r="UN61" s="70">
        <f t="shared" si="345"/>
        <v>0</v>
      </c>
      <c r="UO61" s="70">
        <f t="shared" si="345"/>
        <v>0</v>
      </c>
      <c r="UP61" s="70">
        <f t="shared" si="345"/>
        <v>0</v>
      </c>
      <c r="UQ61" s="70">
        <f t="shared" si="345"/>
        <v>0</v>
      </c>
      <c r="UR61" s="70">
        <f t="shared" si="345"/>
        <v>0</v>
      </c>
      <c r="US61" s="70">
        <f t="shared" si="345"/>
        <v>0</v>
      </c>
      <c r="UT61" s="70">
        <f t="shared" si="345"/>
        <v>0</v>
      </c>
      <c r="UU61" s="70">
        <f t="shared" si="345"/>
        <v>0</v>
      </c>
      <c r="UV61" s="70">
        <f t="shared" si="345"/>
        <v>0</v>
      </c>
      <c r="UW61" s="70">
        <f t="shared" si="345"/>
        <v>0</v>
      </c>
      <c r="UX61" s="70">
        <f t="shared" si="345"/>
        <v>0</v>
      </c>
      <c r="UY61" s="70">
        <f t="shared" si="345"/>
        <v>0</v>
      </c>
      <c r="UZ61" s="70">
        <f t="shared" ref="UZ61:WE61" si="346">UZ26/100</f>
        <v>0</v>
      </c>
      <c r="VA61" s="70">
        <f t="shared" si="346"/>
        <v>0</v>
      </c>
      <c r="VB61" s="70">
        <f t="shared" si="346"/>
        <v>0</v>
      </c>
      <c r="VC61" s="70">
        <f t="shared" si="346"/>
        <v>0</v>
      </c>
      <c r="VD61" s="70">
        <f t="shared" si="346"/>
        <v>0</v>
      </c>
      <c r="VE61" s="70">
        <f t="shared" si="346"/>
        <v>0</v>
      </c>
      <c r="VF61" s="70">
        <f t="shared" si="346"/>
        <v>0</v>
      </c>
      <c r="VG61" s="70">
        <f t="shared" si="346"/>
        <v>0</v>
      </c>
      <c r="VH61" s="70">
        <f t="shared" si="346"/>
        <v>0</v>
      </c>
      <c r="VI61" s="70">
        <f t="shared" si="346"/>
        <v>0</v>
      </c>
      <c r="VJ61" s="70">
        <f t="shared" si="346"/>
        <v>0</v>
      </c>
      <c r="VK61" s="70">
        <f t="shared" si="346"/>
        <v>0</v>
      </c>
      <c r="VL61" s="70">
        <f t="shared" si="346"/>
        <v>0</v>
      </c>
      <c r="VM61" s="70">
        <f t="shared" si="346"/>
        <v>0</v>
      </c>
      <c r="VN61" s="70">
        <f t="shared" si="346"/>
        <v>0</v>
      </c>
      <c r="VO61" s="70">
        <f t="shared" si="346"/>
        <v>0</v>
      </c>
      <c r="VP61" s="70">
        <f t="shared" si="346"/>
        <v>0</v>
      </c>
      <c r="VQ61" s="70">
        <f t="shared" si="346"/>
        <v>0</v>
      </c>
      <c r="VR61" s="70">
        <f t="shared" si="346"/>
        <v>0</v>
      </c>
      <c r="VS61" s="70">
        <f t="shared" si="346"/>
        <v>0</v>
      </c>
      <c r="VT61" s="70">
        <f t="shared" si="346"/>
        <v>0</v>
      </c>
      <c r="VU61" s="70">
        <f t="shared" si="346"/>
        <v>0</v>
      </c>
      <c r="VV61" s="70">
        <f t="shared" si="346"/>
        <v>0</v>
      </c>
      <c r="VW61" s="70">
        <f t="shared" si="346"/>
        <v>0</v>
      </c>
      <c r="VX61" s="70">
        <f t="shared" si="346"/>
        <v>0</v>
      </c>
      <c r="VY61" s="70">
        <f t="shared" si="346"/>
        <v>0</v>
      </c>
      <c r="VZ61" s="70">
        <f t="shared" si="346"/>
        <v>0</v>
      </c>
      <c r="WA61" s="70">
        <f t="shared" si="346"/>
        <v>0</v>
      </c>
      <c r="WB61" s="70">
        <f t="shared" si="346"/>
        <v>0</v>
      </c>
      <c r="WC61" s="70">
        <f t="shared" si="346"/>
        <v>0</v>
      </c>
      <c r="WD61" s="70">
        <f t="shared" si="346"/>
        <v>0</v>
      </c>
      <c r="WE61" s="70">
        <f t="shared" si="346"/>
        <v>0</v>
      </c>
      <c r="WF61" s="70">
        <f t="shared" ref="WF61:WS61" si="347">WF26/100</f>
        <v>0</v>
      </c>
      <c r="WG61" s="70">
        <f t="shared" si="347"/>
        <v>0</v>
      </c>
      <c r="WH61" s="70">
        <f t="shared" si="347"/>
        <v>0</v>
      </c>
      <c r="WI61" s="70">
        <f t="shared" si="347"/>
        <v>0</v>
      </c>
      <c r="WJ61" s="70">
        <f t="shared" si="347"/>
        <v>0</v>
      </c>
      <c r="WK61" s="70">
        <f t="shared" si="347"/>
        <v>0</v>
      </c>
      <c r="WL61" s="70">
        <f t="shared" si="347"/>
        <v>0</v>
      </c>
      <c r="WM61" s="70">
        <f t="shared" si="347"/>
        <v>0</v>
      </c>
      <c r="WN61" s="70">
        <f t="shared" si="347"/>
        <v>0</v>
      </c>
      <c r="WO61" s="70">
        <f t="shared" si="347"/>
        <v>0</v>
      </c>
      <c r="WP61" s="70">
        <f t="shared" si="347"/>
        <v>0</v>
      </c>
      <c r="WQ61" s="70">
        <f t="shared" si="347"/>
        <v>0</v>
      </c>
      <c r="WR61" s="70">
        <f t="shared" si="347"/>
        <v>0</v>
      </c>
      <c r="WS61" s="70">
        <f t="shared" si="347"/>
        <v>0</v>
      </c>
    </row>
    <row r="62" spans="1:830" hidden="1" x14ac:dyDescent="0.25">
      <c r="M62" t="s">
        <v>417</v>
      </c>
      <c r="N62" s="139">
        <f t="shared" ref="N62:AS62" si="348">N29/40</f>
        <v>0</v>
      </c>
      <c r="O62" s="139">
        <f t="shared" si="348"/>
        <v>0</v>
      </c>
      <c r="P62" s="139">
        <f t="shared" si="348"/>
        <v>0</v>
      </c>
      <c r="Q62" s="139">
        <f t="shared" si="348"/>
        <v>0</v>
      </c>
      <c r="R62" s="139">
        <f t="shared" si="348"/>
        <v>0</v>
      </c>
      <c r="S62" s="139">
        <f t="shared" si="348"/>
        <v>0</v>
      </c>
      <c r="T62" s="139">
        <f t="shared" si="348"/>
        <v>0</v>
      </c>
      <c r="U62" s="139">
        <f t="shared" si="348"/>
        <v>0</v>
      </c>
      <c r="V62" s="139">
        <f t="shared" si="348"/>
        <v>0</v>
      </c>
      <c r="W62" s="139">
        <f t="shared" si="348"/>
        <v>0</v>
      </c>
      <c r="X62" s="139">
        <f t="shared" si="348"/>
        <v>0</v>
      </c>
      <c r="Y62" s="139">
        <f t="shared" si="348"/>
        <v>0</v>
      </c>
      <c r="Z62" s="139">
        <f t="shared" si="348"/>
        <v>0</v>
      </c>
      <c r="AA62" s="139">
        <f t="shared" si="348"/>
        <v>0</v>
      </c>
      <c r="AB62" s="139">
        <f t="shared" si="348"/>
        <v>0</v>
      </c>
      <c r="AC62" s="139">
        <f t="shared" si="348"/>
        <v>0</v>
      </c>
      <c r="AD62" s="139">
        <f t="shared" si="348"/>
        <v>0</v>
      </c>
      <c r="AE62" s="139">
        <f t="shared" si="348"/>
        <v>0</v>
      </c>
      <c r="AF62" s="139">
        <f t="shared" si="348"/>
        <v>0</v>
      </c>
      <c r="AG62" s="139">
        <f t="shared" si="348"/>
        <v>0</v>
      </c>
      <c r="AH62" s="139">
        <f t="shared" si="348"/>
        <v>0</v>
      </c>
      <c r="AI62" s="139">
        <f t="shared" si="348"/>
        <v>0</v>
      </c>
      <c r="AJ62" s="139">
        <f t="shared" si="348"/>
        <v>0</v>
      </c>
      <c r="AK62" s="139">
        <f t="shared" si="348"/>
        <v>0</v>
      </c>
      <c r="AL62" s="139">
        <f t="shared" si="348"/>
        <v>0</v>
      </c>
      <c r="AM62" s="139">
        <f t="shared" si="348"/>
        <v>0</v>
      </c>
      <c r="AN62" s="139">
        <f t="shared" si="348"/>
        <v>0</v>
      </c>
      <c r="AO62" s="139">
        <f t="shared" si="348"/>
        <v>0</v>
      </c>
      <c r="AP62" s="139">
        <f t="shared" si="348"/>
        <v>0</v>
      </c>
      <c r="AQ62" s="139">
        <f t="shared" si="348"/>
        <v>0</v>
      </c>
      <c r="AR62" s="139">
        <f t="shared" si="348"/>
        <v>0</v>
      </c>
      <c r="AS62" s="139">
        <f t="shared" si="348"/>
        <v>0</v>
      </c>
      <c r="AT62" s="139">
        <f t="shared" ref="AT62:BY62" si="349">AT29/40</f>
        <v>0</v>
      </c>
      <c r="AU62" s="139">
        <f t="shared" si="349"/>
        <v>0</v>
      </c>
      <c r="AV62" s="139">
        <f t="shared" si="349"/>
        <v>0</v>
      </c>
      <c r="AW62" s="139">
        <f t="shared" si="349"/>
        <v>0</v>
      </c>
      <c r="AX62" s="139">
        <f t="shared" si="349"/>
        <v>0</v>
      </c>
      <c r="AY62" s="139">
        <f t="shared" si="349"/>
        <v>0</v>
      </c>
      <c r="AZ62" s="139">
        <f t="shared" si="349"/>
        <v>0</v>
      </c>
      <c r="BA62" s="139">
        <f t="shared" si="349"/>
        <v>0</v>
      </c>
      <c r="BB62" s="139">
        <f t="shared" si="349"/>
        <v>0</v>
      </c>
      <c r="BC62" s="139">
        <f t="shared" si="349"/>
        <v>0</v>
      </c>
      <c r="BD62" s="139">
        <f t="shared" si="349"/>
        <v>0</v>
      </c>
      <c r="BE62" s="139">
        <f t="shared" si="349"/>
        <v>0</v>
      </c>
      <c r="BF62" s="139">
        <f t="shared" si="349"/>
        <v>0</v>
      </c>
      <c r="BG62" s="139">
        <f t="shared" si="349"/>
        <v>0</v>
      </c>
      <c r="BH62" s="139">
        <f t="shared" si="349"/>
        <v>0</v>
      </c>
      <c r="BI62" s="139">
        <f t="shared" si="349"/>
        <v>0</v>
      </c>
      <c r="BJ62" s="139">
        <f t="shared" si="349"/>
        <v>0</v>
      </c>
      <c r="BK62" s="139">
        <f t="shared" si="349"/>
        <v>0</v>
      </c>
      <c r="BL62" s="139">
        <f t="shared" si="349"/>
        <v>0</v>
      </c>
      <c r="BM62" s="139">
        <f t="shared" si="349"/>
        <v>0</v>
      </c>
      <c r="BN62" s="139">
        <f t="shared" si="349"/>
        <v>0</v>
      </c>
      <c r="BO62" s="139">
        <f t="shared" si="349"/>
        <v>0</v>
      </c>
      <c r="BP62" s="139">
        <f t="shared" si="349"/>
        <v>0</v>
      </c>
      <c r="BQ62" s="139">
        <f t="shared" si="349"/>
        <v>0</v>
      </c>
      <c r="BR62" s="139">
        <f t="shared" si="349"/>
        <v>0</v>
      </c>
      <c r="BS62" s="139">
        <f t="shared" si="349"/>
        <v>0</v>
      </c>
      <c r="BT62" s="139">
        <f t="shared" si="349"/>
        <v>0</v>
      </c>
      <c r="BU62" s="139">
        <f t="shared" si="349"/>
        <v>0</v>
      </c>
      <c r="BV62" s="139">
        <f t="shared" si="349"/>
        <v>0</v>
      </c>
      <c r="BW62" s="139">
        <f t="shared" si="349"/>
        <v>0</v>
      </c>
      <c r="BX62" s="139">
        <f t="shared" si="349"/>
        <v>0</v>
      </c>
      <c r="BY62" s="139">
        <f t="shared" si="349"/>
        <v>0</v>
      </c>
      <c r="BZ62" s="139">
        <f t="shared" ref="BZ62:CI62" si="350">BZ29/40</f>
        <v>0</v>
      </c>
      <c r="CA62" s="139">
        <f t="shared" si="350"/>
        <v>0</v>
      </c>
      <c r="CB62" s="139">
        <f t="shared" si="350"/>
        <v>0</v>
      </c>
      <c r="CC62" s="139">
        <f t="shared" si="350"/>
        <v>0</v>
      </c>
      <c r="CD62" s="139">
        <f t="shared" si="350"/>
        <v>0</v>
      </c>
      <c r="CE62" s="139">
        <f t="shared" si="350"/>
        <v>0</v>
      </c>
      <c r="CF62" s="139">
        <f t="shared" si="350"/>
        <v>0</v>
      </c>
      <c r="CG62" s="139">
        <f t="shared" si="350"/>
        <v>0</v>
      </c>
      <c r="CH62" s="139">
        <f t="shared" si="350"/>
        <v>0</v>
      </c>
      <c r="CI62" s="139">
        <f t="shared" si="350"/>
        <v>0</v>
      </c>
      <c r="CJ62" s="139">
        <f t="shared" ref="CJ62:DO62" si="351">CJ29/100</f>
        <v>0</v>
      </c>
      <c r="CK62" s="139">
        <f t="shared" si="351"/>
        <v>0</v>
      </c>
      <c r="CL62" s="139">
        <f t="shared" si="351"/>
        <v>0</v>
      </c>
      <c r="CM62" s="139">
        <f t="shared" si="351"/>
        <v>0</v>
      </c>
      <c r="CN62" s="139">
        <f t="shared" si="351"/>
        <v>0</v>
      </c>
      <c r="CO62" s="139">
        <f t="shared" si="351"/>
        <v>0</v>
      </c>
      <c r="CP62" s="139">
        <f t="shared" si="351"/>
        <v>0</v>
      </c>
      <c r="CQ62" s="139">
        <f t="shared" si="351"/>
        <v>0</v>
      </c>
      <c r="CR62" s="139">
        <f t="shared" si="351"/>
        <v>0</v>
      </c>
      <c r="CS62" s="139">
        <f t="shared" si="351"/>
        <v>0</v>
      </c>
      <c r="CT62" s="139">
        <f t="shared" si="351"/>
        <v>0</v>
      </c>
      <c r="CU62" s="139">
        <f t="shared" si="351"/>
        <v>0</v>
      </c>
      <c r="CV62" s="139">
        <f t="shared" si="351"/>
        <v>0</v>
      </c>
      <c r="CW62" s="139">
        <f t="shared" si="351"/>
        <v>0</v>
      </c>
      <c r="CX62" s="139">
        <f t="shared" si="351"/>
        <v>0</v>
      </c>
      <c r="CY62" s="139">
        <f t="shared" si="351"/>
        <v>0</v>
      </c>
      <c r="CZ62" s="139">
        <f t="shared" si="351"/>
        <v>0</v>
      </c>
      <c r="DA62" s="139">
        <f t="shared" si="351"/>
        <v>0</v>
      </c>
      <c r="DB62" s="139">
        <f t="shared" si="351"/>
        <v>0</v>
      </c>
      <c r="DC62" s="139">
        <f t="shared" si="351"/>
        <v>0</v>
      </c>
      <c r="DD62" s="139">
        <f t="shared" si="351"/>
        <v>0</v>
      </c>
      <c r="DE62" s="139">
        <f t="shared" si="351"/>
        <v>0</v>
      </c>
      <c r="DF62" s="139">
        <f t="shared" si="351"/>
        <v>0</v>
      </c>
      <c r="DG62" s="139">
        <f t="shared" si="351"/>
        <v>0</v>
      </c>
      <c r="DH62" s="139">
        <f t="shared" si="351"/>
        <v>0</v>
      </c>
      <c r="DI62" s="139">
        <f t="shared" si="351"/>
        <v>0</v>
      </c>
      <c r="DJ62" s="139">
        <f t="shared" si="351"/>
        <v>0</v>
      </c>
      <c r="DK62" s="139">
        <f t="shared" si="351"/>
        <v>0</v>
      </c>
      <c r="DL62" s="139">
        <f t="shared" si="351"/>
        <v>0</v>
      </c>
      <c r="DM62" s="139">
        <f t="shared" si="351"/>
        <v>0</v>
      </c>
      <c r="DN62" s="139">
        <f t="shared" si="351"/>
        <v>0</v>
      </c>
      <c r="DO62" s="139">
        <f t="shared" si="351"/>
        <v>0</v>
      </c>
      <c r="DP62" s="139">
        <f t="shared" ref="DP62:EU62" si="352">DP29/100</f>
        <v>0</v>
      </c>
      <c r="DQ62" s="139">
        <f t="shared" si="352"/>
        <v>0</v>
      </c>
      <c r="DR62" s="139">
        <f t="shared" si="352"/>
        <v>0</v>
      </c>
      <c r="DS62" s="139">
        <f t="shared" si="352"/>
        <v>0</v>
      </c>
      <c r="DT62" s="139">
        <f t="shared" si="352"/>
        <v>0</v>
      </c>
      <c r="DU62" s="139">
        <f t="shared" si="352"/>
        <v>0</v>
      </c>
      <c r="DV62" s="139">
        <f t="shared" si="352"/>
        <v>0</v>
      </c>
      <c r="DW62" s="139">
        <f t="shared" si="352"/>
        <v>0</v>
      </c>
      <c r="DX62" s="139">
        <f t="shared" si="352"/>
        <v>0</v>
      </c>
      <c r="DY62" s="139">
        <f t="shared" si="352"/>
        <v>0</v>
      </c>
      <c r="DZ62" s="139">
        <f t="shared" si="352"/>
        <v>0</v>
      </c>
      <c r="EA62" s="139">
        <f t="shared" si="352"/>
        <v>0</v>
      </c>
      <c r="EB62" s="139">
        <f t="shared" si="352"/>
        <v>0</v>
      </c>
      <c r="EC62" s="139">
        <f t="shared" si="352"/>
        <v>0</v>
      </c>
      <c r="ED62" s="139">
        <f t="shared" si="352"/>
        <v>0</v>
      </c>
      <c r="EE62" s="139">
        <f t="shared" si="352"/>
        <v>0</v>
      </c>
      <c r="EF62" s="139">
        <f t="shared" si="352"/>
        <v>0</v>
      </c>
      <c r="EG62" s="139">
        <f t="shared" si="352"/>
        <v>0</v>
      </c>
      <c r="EH62" s="139">
        <f t="shared" si="352"/>
        <v>0</v>
      </c>
      <c r="EI62" s="139">
        <f t="shared" si="352"/>
        <v>0</v>
      </c>
      <c r="EJ62" s="139">
        <f t="shared" si="352"/>
        <v>0</v>
      </c>
      <c r="EK62" s="139">
        <f t="shared" si="352"/>
        <v>0</v>
      </c>
      <c r="EL62" s="139">
        <f t="shared" si="352"/>
        <v>0</v>
      </c>
      <c r="EM62" s="139">
        <f t="shared" si="352"/>
        <v>0</v>
      </c>
      <c r="EN62" s="139">
        <f t="shared" si="352"/>
        <v>0</v>
      </c>
      <c r="EO62" s="139">
        <f t="shared" si="352"/>
        <v>0</v>
      </c>
      <c r="EP62" s="139">
        <f t="shared" si="352"/>
        <v>0</v>
      </c>
      <c r="EQ62" s="139">
        <f t="shared" si="352"/>
        <v>0</v>
      </c>
      <c r="ER62" s="139">
        <f t="shared" si="352"/>
        <v>0</v>
      </c>
      <c r="ES62" s="139">
        <f t="shared" si="352"/>
        <v>0</v>
      </c>
      <c r="ET62" s="139">
        <f t="shared" si="352"/>
        <v>0</v>
      </c>
      <c r="EU62" s="139">
        <f t="shared" si="352"/>
        <v>0</v>
      </c>
      <c r="EV62" s="139">
        <f t="shared" ref="EV62:GA62" si="353">EV29/100</f>
        <v>0</v>
      </c>
      <c r="EW62" s="139">
        <f t="shared" si="353"/>
        <v>0</v>
      </c>
      <c r="EX62" s="139">
        <f t="shared" si="353"/>
        <v>0</v>
      </c>
      <c r="EY62" s="139">
        <f t="shared" si="353"/>
        <v>0</v>
      </c>
      <c r="EZ62" s="139">
        <f t="shared" si="353"/>
        <v>0</v>
      </c>
      <c r="FA62" s="139">
        <f t="shared" si="353"/>
        <v>0</v>
      </c>
      <c r="FB62" s="139">
        <f t="shared" si="353"/>
        <v>0</v>
      </c>
      <c r="FC62" s="139">
        <f t="shared" si="353"/>
        <v>0</v>
      </c>
      <c r="FD62" s="139">
        <f t="shared" si="353"/>
        <v>0</v>
      </c>
      <c r="FE62" s="139">
        <f t="shared" si="353"/>
        <v>0</v>
      </c>
      <c r="FF62" s="139">
        <f t="shared" si="353"/>
        <v>0</v>
      </c>
      <c r="FG62" s="139">
        <f t="shared" si="353"/>
        <v>0</v>
      </c>
      <c r="FH62" s="139">
        <f t="shared" si="353"/>
        <v>0</v>
      </c>
      <c r="FI62" s="139">
        <f t="shared" si="353"/>
        <v>0</v>
      </c>
      <c r="FJ62" s="139">
        <f t="shared" si="353"/>
        <v>0</v>
      </c>
      <c r="FK62" s="139">
        <f t="shared" si="353"/>
        <v>0</v>
      </c>
      <c r="FL62" s="139">
        <f t="shared" si="353"/>
        <v>0</v>
      </c>
      <c r="FM62" s="139">
        <f t="shared" si="353"/>
        <v>0</v>
      </c>
      <c r="FN62" s="139">
        <f t="shared" si="353"/>
        <v>0</v>
      </c>
      <c r="FO62" s="139">
        <f t="shared" si="353"/>
        <v>0</v>
      </c>
      <c r="FP62" s="139">
        <f t="shared" si="353"/>
        <v>0</v>
      </c>
      <c r="FQ62" s="139">
        <f t="shared" si="353"/>
        <v>0</v>
      </c>
      <c r="FR62" s="139">
        <f t="shared" si="353"/>
        <v>0</v>
      </c>
      <c r="FS62" s="139">
        <f t="shared" si="353"/>
        <v>0</v>
      </c>
      <c r="FT62" s="139">
        <f t="shared" si="353"/>
        <v>0</v>
      </c>
      <c r="FU62" s="139">
        <f t="shared" si="353"/>
        <v>0</v>
      </c>
      <c r="FV62" s="139">
        <f t="shared" si="353"/>
        <v>0</v>
      </c>
      <c r="FW62" s="139">
        <f t="shared" si="353"/>
        <v>0</v>
      </c>
      <c r="FX62" s="139">
        <f t="shared" si="353"/>
        <v>0</v>
      </c>
      <c r="FY62" s="139">
        <f t="shared" si="353"/>
        <v>0</v>
      </c>
      <c r="FZ62" s="139">
        <f t="shared" si="353"/>
        <v>0</v>
      </c>
      <c r="GA62" s="139">
        <f t="shared" si="353"/>
        <v>0</v>
      </c>
      <c r="GB62" s="139">
        <f t="shared" ref="GB62:HA62" si="354">GB29/100</f>
        <v>0</v>
      </c>
      <c r="GC62" s="139">
        <f t="shared" si="354"/>
        <v>0</v>
      </c>
      <c r="GD62" s="139">
        <f t="shared" si="354"/>
        <v>0</v>
      </c>
      <c r="GE62" s="139">
        <f t="shared" si="354"/>
        <v>0</v>
      </c>
      <c r="GF62" s="139">
        <f t="shared" si="354"/>
        <v>0</v>
      </c>
      <c r="GG62" s="139">
        <f t="shared" si="354"/>
        <v>0</v>
      </c>
      <c r="GH62" s="139">
        <f t="shared" si="354"/>
        <v>0</v>
      </c>
      <c r="GI62" s="139">
        <f t="shared" si="354"/>
        <v>0</v>
      </c>
      <c r="GJ62" s="139">
        <f t="shared" si="354"/>
        <v>0</v>
      </c>
      <c r="GK62" s="139">
        <f t="shared" si="354"/>
        <v>0</v>
      </c>
      <c r="GL62" s="139">
        <f t="shared" si="354"/>
        <v>0</v>
      </c>
      <c r="GM62" s="139">
        <f t="shared" si="354"/>
        <v>0</v>
      </c>
      <c r="GN62" s="139">
        <f t="shared" si="354"/>
        <v>0</v>
      </c>
      <c r="GO62" s="139">
        <f t="shared" si="354"/>
        <v>0</v>
      </c>
      <c r="GP62" s="139">
        <f t="shared" si="354"/>
        <v>0</v>
      </c>
      <c r="GQ62" s="139">
        <f t="shared" si="354"/>
        <v>0</v>
      </c>
      <c r="GR62" s="139">
        <f t="shared" si="354"/>
        <v>0</v>
      </c>
      <c r="GS62" s="139">
        <f t="shared" si="354"/>
        <v>0</v>
      </c>
      <c r="GT62" s="139">
        <f t="shared" si="354"/>
        <v>0</v>
      </c>
      <c r="GU62" s="139">
        <f t="shared" si="354"/>
        <v>0</v>
      </c>
      <c r="GV62" s="139">
        <f t="shared" si="354"/>
        <v>0</v>
      </c>
      <c r="GW62" s="139">
        <f t="shared" si="354"/>
        <v>0</v>
      </c>
      <c r="GX62" s="139">
        <f t="shared" si="354"/>
        <v>0</v>
      </c>
      <c r="GY62" s="139">
        <f t="shared" si="354"/>
        <v>0</v>
      </c>
      <c r="GZ62" s="139">
        <f t="shared" si="354"/>
        <v>0</v>
      </c>
      <c r="HA62" s="139">
        <f t="shared" si="354"/>
        <v>0</v>
      </c>
      <c r="HB62" s="139">
        <f t="shared" ref="HB62:II62" si="355">HB29/40</f>
        <v>0</v>
      </c>
      <c r="HC62" s="139">
        <f t="shared" si="355"/>
        <v>0</v>
      </c>
      <c r="HD62" s="139">
        <f t="shared" si="355"/>
        <v>0</v>
      </c>
      <c r="HE62" s="139">
        <f t="shared" si="355"/>
        <v>0</v>
      </c>
      <c r="HF62" s="139">
        <f t="shared" si="355"/>
        <v>0</v>
      </c>
      <c r="HG62" s="139">
        <f t="shared" si="355"/>
        <v>0</v>
      </c>
      <c r="HH62" s="139">
        <f t="shared" si="355"/>
        <v>0</v>
      </c>
      <c r="HI62" s="139">
        <f t="shared" si="355"/>
        <v>0</v>
      </c>
      <c r="HJ62" s="139">
        <f t="shared" si="355"/>
        <v>0</v>
      </c>
      <c r="HK62" s="139">
        <f t="shared" si="355"/>
        <v>0</v>
      </c>
      <c r="HL62" s="139">
        <f t="shared" si="355"/>
        <v>0</v>
      </c>
      <c r="HM62" s="139">
        <f t="shared" si="355"/>
        <v>0</v>
      </c>
      <c r="HN62" s="139">
        <f t="shared" si="355"/>
        <v>0</v>
      </c>
      <c r="HO62" s="139">
        <f t="shared" si="355"/>
        <v>0</v>
      </c>
      <c r="HP62" s="139">
        <f t="shared" si="355"/>
        <v>0</v>
      </c>
      <c r="HQ62" s="139">
        <f t="shared" si="355"/>
        <v>0</v>
      </c>
      <c r="HR62" s="139">
        <f t="shared" si="355"/>
        <v>0</v>
      </c>
      <c r="HS62" s="139">
        <f t="shared" si="355"/>
        <v>0</v>
      </c>
      <c r="HT62" s="139">
        <f t="shared" si="355"/>
        <v>0</v>
      </c>
      <c r="HU62" s="139">
        <f t="shared" si="355"/>
        <v>0</v>
      </c>
      <c r="HV62" s="139">
        <f t="shared" si="355"/>
        <v>0</v>
      </c>
      <c r="HW62" s="139">
        <f t="shared" si="355"/>
        <v>0</v>
      </c>
      <c r="HX62" s="139">
        <f t="shared" si="355"/>
        <v>0</v>
      </c>
      <c r="HY62" s="139">
        <f t="shared" si="355"/>
        <v>0</v>
      </c>
      <c r="HZ62" s="139">
        <f t="shared" si="355"/>
        <v>0</v>
      </c>
      <c r="IA62" s="139">
        <f t="shared" si="355"/>
        <v>0</v>
      </c>
      <c r="IB62" s="139">
        <f t="shared" si="355"/>
        <v>0</v>
      </c>
      <c r="IC62" s="139">
        <f t="shared" si="355"/>
        <v>0</v>
      </c>
      <c r="ID62" s="139">
        <f t="shared" si="355"/>
        <v>0</v>
      </c>
      <c r="IE62" s="139">
        <f t="shared" si="355"/>
        <v>0</v>
      </c>
      <c r="IF62" s="139">
        <f t="shared" si="355"/>
        <v>0</v>
      </c>
      <c r="IG62" s="139">
        <f t="shared" si="355"/>
        <v>0</v>
      </c>
      <c r="IH62" s="139">
        <f t="shared" si="355"/>
        <v>0</v>
      </c>
      <c r="II62" s="139">
        <f t="shared" si="355"/>
        <v>0</v>
      </c>
      <c r="IJ62" s="139">
        <f t="shared" ref="IJ62:JM62" si="356">IJ29/100</f>
        <v>0</v>
      </c>
      <c r="IK62" s="139">
        <f t="shared" si="356"/>
        <v>0</v>
      </c>
      <c r="IL62" s="139">
        <f t="shared" si="356"/>
        <v>0</v>
      </c>
      <c r="IM62" s="139">
        <f t="shared" si="356"/>
        <v>0</v>
      </c>
      <c r="IN62" s="139">
        <f t="shared" si="356"/>
        <v>0</v>
      </c>
      <c r="IO62" s="139">
        <f t="shared" si="356"/>
        <v>0</v>
      </c>
      <c r="IP62" s="139">
        <f t="shared" si="356"/>
        <v>0</v>
      </c>
      <c r="IQ62" s="139">
        <f t="shared" si="356"/>
        <v>0</v>
      </c>
      <c r="IR62" s="139">
        <f t="shared" si="356"/>
        <v>0</v>
      </c>
      <c r="IS62" s="139">
        <f t="shared" si="356"/>
        <v>0</v>
      </c>
      <c r="IT62" s="139">
        <f t="shared" si="356"/>
        <v>0</v>
      </c>
      <c r="IU62" s="139">
        <f t="shared" si="356"/>
        <v>0</v>
      </c>
      <c r="IV62" s="139">
        <f t="shared" si="356"/>
        <v>0</v>
      </c>
      <c r="IW62" s="139">
        <f t="shared" si="356"/>
        <v>0</v>
      </c>
      <c r="IX62" s="139">
        <f t="shared" si="356"/>
        <v>0</v>
      </c>
      <c r="IY62" s="139">
        <f t="shared" si="356"/>
        <v>0</v>
      </c>
      <c r="IZ62" s="139">
        <f t="shared" si="356"/>
        <v>0</v>
      </c>
      <c r="JA62" s="139">
        <f t="shared" si="356"/>
        <v>0</v>
      </c>
      <c r="JB62" s="139">
        <f t="shared" si="356"/>
        <v>0</v>
      </c>
      <c r="JC62" s="139">
        <f t="shared" si="356"/>
        <v>0</v>
      </c>
      <c r="JD62" s="139">
        <f t="shared" si="356"/>
        <v>0</v>
      </c>
      <c r="JE62" s="139">
        <f t="shared" si="356"/>
        <v>0</v>
      </c>
      <c r="JF62" s="139">
        <f t="shared" si="356"/>
        <v>0</v>
      </c>
      <c r="JG62" s="139">
        <f t="shared" si="356"/>
        <v>0</v>
      </c>
      <c r="JH62" s="139">
        <f t="shared" si="356"/>
        <v>0</v>
      </c>
      <c r="JI62" s="139">
        <f t="shared" si="356"/>
        <v>0</v>
      </c>
      <c r="JJ62" s="139">
        <f t="shared" si="356"/>
        <v>0</v>
      </c>
      <c r="JK62" s="139">
        <f t="shared" si="356"/>
        <v>0</v>
      </c>
      <c r="JL62" s="139">
        <f t="shared" si="356"/>
        <v>0</v>
      </c>
      <c r="JM62" s="139">
        <f t="shared" si="356"/>
        <v>0</v>
      </c>
      <c r="JN62" s="139">
        <f t="shared" ref="JN62:JS62" si="357">JN29/40</f>
        <v>0</v>
      </c>
      <c r="JO62" s="139">
        <f t="shared" si="357"/>
        <v>0</v>
      </c>
      <c r="JP62" s="139">
        <f t="shared" si="357"/>
        <v>0</v>
      </c>
      <c r="JQ62" s="139">
        <f t="shared" si="357"/>
        <v>0</v>
      </c>
      <c r="JR62" s="139">
        <f t="shared" si="357"/>
        <v>0</v>
      </c>
      <c r="JS62" s="139">
        <f t="shared" si="357"/>
        <v>0</v>
      </c>
      <c r="JT62" s="139">
        <f t="shared" ref="JT62:JY62" si="358">JT29/100</f>
        <v>0</v>
      </c>
      <c r="JU62" s="139">
        <f t="shared" si="358"/>
        <v>0</v>
      </c>
      <c r="JV62" s="139">
        <f t="shared" si="358"/>
        <v>0</v>
      </c>
      <c r="JW62" s="139">
        <f t="shared" si="358"/>
        <v>0</v>
      </c>
      <c r="JX62" s="139">
        <f t="shared" si="358"/>
        <v>0</v>
      </c>
      <c r="JY62" s="139">
        <f t="shared" si="358"/>
        <v>0</v>
      </c>
      <c r="JZ62" s="139">
        <f t="shared" ref="JZ62:KY62" si="359">JZ29/40</f>
        <v>0</v>
      </c>
      <c r="KA62" s="139">
        <f t="shared" si="359"/>
        <v>0</v>
      </c>
      <c r="KB62" s="139">
        <f t="shared" si="359"/>
        <v>0</v>
      </c>
      <c r="KC62" s="139">
        <f t="shared" si="359"/>
        <v>0</v>
      </c>
      <c r="KD62" s="139">
        <f t="shared" si="359"/>
        <v>0</v>
      </c>
      <c r="KE62" s="139">
        <f t="shared" si="359"/>
        <v>0</v>
      </c>
      <c r="KF62" s="139">
        <f t="shared" si="359"/>
        <v>0</v>
      </c>
      <c r="KG62" s="139">
        <f t="shared" si="359"/>
        <v>0</v>
      </c>
      <c r="KH62" s="139">
        <f t="shared" si="359"/>
        <v>0</v>
      </c>
      <c r="KI62" s="139">
        <f t="shared" si="359"/>
        <v>0</v>
      </c>
      <c r="KJ62" s="139">
        <f t="shared" si="359"/>
        <v>0</v>
      </c>
      <c r="KK62" s="139">
        <f t="shared" si="359"/>
        <v>0</v>
      </c>
      <c r="KL62" s="139">
        <f t="shared" si="359"/>
        <v>0</v>
      </c>
      <c r="KM62" s="139">
        <f t="shared" si="359"/>
        <v>0</v>
      </c>
      <c r="KN62" s="139">
        <f t="shared" si="359"/>
        <v>0</v>
      </c>
      <c r="KO62" s="139">
        <f t="shared" si="359"/>
        <v>0</v>
      </c>
      <c r="KP62" s="139">
        <f t="shared" si="359"/>
        <v>0</v>
      </c>
      <c r="KQ62" s="139">
        <f t="shared" si="359"/>
        <v>0</v>
      </c>
      <c r="KR62" s="139">
        <f t="shared" si="359"/>
        <v>0</v>
      </c>
      <c r="KS62" s="139">
        <f t="shared" si="359"/>
        <v>0</v>
      </c>
      <c r="KT62" s="139">
        <f t="shared" si="359"/>
        <v>0</v>
      </c>
      <c r="KU62" s="139">
        <f t="shared" si="359"/>
        <v>0</v>
      </c>
      <c r="KV62" s="139">
        <f t="shared" si="359"/>
        <v>0</v>
      </c>
      <c r="KW62" s="139">
        <f t="shared" si="359"/>
        <v>0</v>
      </c>
      <c r="KX62" s="139">
        <f t="shared" si="359"/>
        <v>0</v>
      </c>
      <c r="KY62" s="139">
        <f t="shared" si="359"/>
        <v>0</v>
      </c>
      <c r="KZ62" s="139">
        <f t="shared" ref="KZ62:ME62" si="360">KZ29/100</f>
        <v>0</v>
      </c>
      <c r="LA62" s="139">
        <f t="shared" si="360"/>
        <v>0</v>
      </c>
      <c r="LB62" s="139">
        <f t="shared" si="360"/>
        <v>0</v>
      </c>
      <c r="LC62" s="139">
        <f t="shared" si="360"/>
        <v>0</v>
      </c>
      <c r="LD62" s="139">
        <f t="shared" si="360"/>
        <v>0</v>
      </c>
      <c r="LE62" s="139">
        <f t="shared" si="360"/>
        <v>0</v>
      </c>
      <c r="LF62" s="139">
        <f t="shared" si="360"/>
        <v>0</v>
      </c>
      <c r="LG62" s="139">
        <f t="shared" si="360"/>
        <v>0</v>
      </c>
      <c r="LH62" s="139">
        <f t="shared" si="360"/>
        <v>0</v>
      </c>
      <c r="LI62" s="139">
        <f t="shared" si="360"/>
        <v>0</v>
      </c>
      <c r="LJ62" s="139">
        <f t="shared" si="360"/>
        <v>0</v>
      </c>
      <c r="LK62" s="139">
        <f t="shared" si="360"/>
        <v>0</v>
      </c>
      <c r="LL62" s="139">
        <f t="shared" si="360"/>
        <v>0</v>
      </c>
      <c r="LM62" s="139">
        <f t="shared" si="360"/>
        <v>0</v>
      </c>
      <c r="LN62" s="139">
        <f t="shared" si="360"/>
        <v>0</v>
      </c>
      <c r="LO62" s="139">
        <f t="shared" si="360"/>
        <v>0</v>
      </c>
      <c r="LP62" s="139">
        <f t="shared" si="360"/>
        <v>0</v>
      </c>
      <c r="LQ62" s="139">
        <f t="shared" si="360"/>
        <v>0</v>
      </c>
      <c r="LR62" s="139">
        <f t="shared" si="360"/>
        <v>0</v>
      </c>
      <c r="LS62" s="139">
        <f t="shared" si="360"/>
        <v>0</v>
      </c>
      <c r="LT62" s="139">
        <f t="shared" si="360"/>
        <v>0</v>
      </c>
      <c r="LU62" s="139">
        <f t="shared" si="360"/>
        <v>0</v>
      </c>
      <c r="LV62" s="139">
        <f t="shared" si="360"/>
        <v>0</v>
      </c>
      <c r="LW62" s="139">
        <f t="shared" si="360"/>
        <v>0</v>
      </c>
      <c r="LX62" s="139">
        <f t="shared" si="360"/>
        <v>0</v>
      </c>
      <c r="LY62" s="139">
        <f t="shared" si="360"/>
        <v>0</v>
      </c>
      <c r="LZ62" s="139">
        <f t="shared" si="360"/>
        <v>0</v>
      </c>
      <c r="MA62" s="139">
        <f t="shared" si="360"/>
        <v>0</v>
      </c>
      <c r="MB62" s="139">
        <f t="shared" si="360"/>
        <v>0</v>
      </c>
      <c r="MC62" s="139">
        <f t="shared" si="360"/>
        <v>0</v>
      </c>
      <c r="MD62" s="139">
        <f t="shared" si="360"/>
        <v>0</v>
      </c>
      <c r="ME62" s="139">
        <f t="shared" si="360"/>
        <v>0</v>
      </c>
      <c r="MF62" s="139">
        <f t="shared" ref="MF62:NK62" si="361">MF29/100</f>
        <v>0</v>
      </c>
      <c r="MG62" s="139">
        <f t="shared" si="361"/>
        <v>0</v>
      </c>
      <c r="MH62" s="139">
        <f t="shared" si="361"/>
        <v>0</v>
      </c>
      <c r="MI62" s="139">
        <f t="shared" si="361"/>
        <v>0</v>
      </c>
      <c r="MJ62" s="139">
        <f t="shared" si="361"/>
        <v>0</v>
      </c>
      <c r="MK62" s="139">
        <f t="shared" si="361"/>
        <v>0</v>
      </c>
      <c r="ML62" s="139">
        <f t="shared" si="361"/>
        <v>0</v>
      </c>
      <c r="MM62" s="139">
        <f t="shared" si="361"/>
        <v>0</v>
      </c>
      <c r="MN62" s="139">
        <f t="shared" si="361"/>
        <v>0</v>
      </c>
      <c r="MO62" s="139">
        <f t="shared" si="361"/>
        <v>0</v>
      </c>
      <c r="MP62" s="139">
        <f t="shared" si="361"/>
        <v>0</v>
      </c>
      <c r="MQ62" s="139">
        <f t="shared" si="361"/>
        <v>0</v>
      </c>
      <c r="MR62" s="139">
        <f t="shared" si="361"/>
        <v>0</v>
      </c>
      <c r="MS62" s="139">
        <f t="shared" si="361"/>
        <v>0</v>
      </c>
      <c r="MT62" s="139">
        <f t="shared" si="361"/>
        <v>0</v>
      </c>
      <c r="MU62" s="139">
        <f t="shared" si="361"/>
        <v>0</v>
      </c>
      <c r="MV62" s="139">
        <f t="shared" si="361"/>
        <v>0</v>
      </c>
      <c r="MW62" s="139">
        <f t="shared" si="361"/>
        <v>0</v>
      </c>
      <c r="MX62" s="139">
        <f t="shared" si="361"/>
        <v>0</v>
      </c>
      <c r="MY62" s="139">
        <f t="shared" si="361"/>
        <v>0</v>
      </c>
      <c r="MZ62" s="139">
        <f t="shared" si="361"/>
        <v>0</v>
      </c>
      <c r="NA62" s="139">
        <f t="shared" si="361"/>
        <v>0</v>
      </c>
      <c r="NB62" s="139">
        <f t="shared" si="361"/>
        <v>0</v>
      </c>
      <c r="NC62" s="139">
        <f t="shared" si="361"/>
        <v>0</v>
      </c>
      <c r="ND62" s="139">
        <f t="shared" si="361"/>
        <v>0</v>
      </c>
      <c r="NE62" s="139">
        <f t="shared" si="361"/>
        <v>0</v>
      </c>
      <c r="NF62" s="139">
        <f t="shared" si="361"/>
        <v>0</v>
      </c>
      <c r="NG62" s="139">
        <f t="shared" si="361"/>
        <v>0</v>
      </c>
      <c r="NH62" s="139">
        <f t="shared" si="361"/>
        <v>0</v>
      </c>
      <c r="NI62" s="139">
        <f t="shared" si="361"/>
        <v>0</v>
      </c>
      <c r="NJ62" s="139">
        <f t="shared" si="361"/>
        <v>0</v>
      </c>
      <c r="NK62" s="139">
        <f t="shared" si="361"/>
        <v>0</v>
      </c>
      <c r="NL62" s="139">
        <f t="shared" ref="NL62:OQ62" si="362">NL29/100</f>
        <v>0</v>
      </c>
      <c r="NM62" s="139">
        <f t="shared" si="362"/>
        <v>0</v>
      </c>
      <c r="NN62" s="139">
        <f t="shared" si="362"/>
        <v>0</v>
      </c>
      <c r="NO62" s="139">
        <f t="shared" si="362"/>
        <v>0</v>
      </c>
      <c r="NP62" s="139">
        <f t="shared" si="362"/>
        <v>0</v>
      </c>
      <c r="NQ62" s="139">
        <f t="shared" si="362"/>
        <v>0</v>
      </c>
      <c r="NR62" s="139">
        <f t="shared" si="362"/>
        <v>0</v>
      </c>
      <c r="NS62" s="139">
        <f t="shared" si="362"/>
        <v>0</v>
      </c>
      <c r="NT62" s="139">
        <f t="shared" si="362"/>
        <v>0</v>
      </c>
      <c r="NU62" s="139">
        <f t="shared" si="362"/>
        <v>0</v>
      </c>
      <c r="NV62" s="139">
        <f t="shared" si="362"/>
        <v>0</v>
      </c>
      <c r="NW62" s="139">
        <f t="shared" si="362"/>
        <v>0</v>
      </c>
      <c r="NX62" s="139">
        <f t="shared" si="362"/>
        <v>0</v>
      </c>
      <c r="NY62" s="139">
        <f t="shared" si="362"/>
        <v>0</v>
      </c>
      <c r="NZ62" s="139">
        <f t="shared" si="362"/>
        <v>0</v>
      </c>
      <c r="OA62" s="139">
        <f t="shared" si="362"/>
        <v>0</v>
      </c>
      <c r="OB62" s="139">
        <f t="shared" si="362"/>
        <v>0</v>
      </c>
      <c r="OC62" s="139">
        <f t="shared" si="362"/>
        <v>0</v>
      </c>
      <c r="OD62" s="139">
        <f t="shared" si="362"/>
        <v>0</v>
      </c>
      <c r="OE62" s="139">
        <f t="shared" si="362"/>
        <v>0</v>
      </c>
      <c r="OF62" s="139">
        <f t="shared" si="362"/>
        <v>0</v>
      </c>
      <c r="OG62" s="139">
        <f t="shared" si="362"/>
        <v>0</v>
      </c>
      <c r="OH62" s="139">
        <f t="shared" si="362"/>
        <v>0</v>
      </c>
      <c r="OI62" s="139">
        <f t="shared" si="362"/>
        <v>0</v>
      </c>
      <c r="OJ62" s="139">
        <f t="shared" si="362"/>
        <v>0</v>
      </c>
      <c r="OK62" s="139">
        <f t="shared" si="362"/>
        <v>0</v>
      </c>
      <c r="OL62" s="139">
        <f t="shared" si="362"/>
        <v>0</v>
      </c>
      <c r="OM62" s="139">
        <f t="shared" si="362"/>
        <v>0</v>
      </c>
      <c r="ON62" s="139">
        <f t="shared" si="362"/>
        <v>0</v>
      </c>
      <c r="OO62" s="139">
        <f t="shared" si="362"/>
        <v>0</v>
      </c>
      <c r="OP62" s="139">
        <f t="shared" si="362"/>
        <v>0</v>
      </c>
      <c r="OQ62" s="139">
        <f t="shared" si="362"/>
        <v>0</v>
      </c>
      <c r="OR62" s="139">
        <f t="shared" ref="OR62:PW62" si="363">OR29/100</f>
        <v>0</v>
      </c>
      <c r="OS62" s="139">
        <f t="shared" si="363"/>
        <v>0</v>
      </c>
      <c r="OT62" s="139">
        <f t="shared" si="363"/>
        <v>0</v>
      </c>
      <c r="OU62" s="139">
        <f t="shared" si="363"/>
        <v>0</v>
      </c>
      <c r="OV62" s="139">
        <f t="shared" si="363"/>
        <v>0</v>
      </c>
      <c r="OW62" s="139">
        <f t="shared" si="363"/>
        <v>0</v>
      </c>
      <c r="OX62" s="139">
        <f t="shared" si="363"/>
        <v>0</v>
      </c>
      <c r="OY62" s="139">
        <f t="shared" si="363"/>
        <v>0</v>
      </c>
      <c r="OZ62" s="139">
        <f t="shared" si="363"/>
        <v>0</v>
      </c>
      <c r="PA62" s="139">
        <f t="shared" si="363"/>
        <v>0</v>
      </c>
      <c r="PB62" s="139">
        <f t="shared" si="363"/>
        <v>0</v>
      </c>
      <c r="PC62" s="139">
        <f t="shared" si="363"/>
        <v>0</v>
      </c>
      <c r="PD62" s="139">
        <f t="shared" si="363"/>
        <v>0</v>
      </c>
      <c r="PE62" s="139">
        <f t="shared" si="363"/>
        <v>0</v>
      </c>
      <c r="PF62" s="139">
        <f t="shared" si="363"/>
        <v>0</v>
      </c>
      <c r="PG62" s="139">
        <f t="shared" si="363"/>
        <v>0</v>
      </c>
      <c r="PH62" s="139">
        <f t="shared" si="363"/>
        <v>0</v>
      </c>
      <c r="PI62" s="139">
        <f t="shared" si="363"/>
        <v>0</v>
      </c>
      <c r="PJ62" s="139">
        <f t="shared" si="363"/>
        <v>0</v>
      </c>
      <c r="PK62" s="139">
        <f t="shared" si="363"/>
        <v>0</v>
      </c>
      <c r="PL62" s="139">
        <f t="shared" si="363"/>
        <v>0</v>
      </c>
      <c r="PM62" s="139">
        <f t="shared" si="363"/>
        <v>0</v>
      </c>
      <c r="PN62" s="139">
        <f t="shared" si="363"/>
        <v>0</v>
      </c>
      <c r="PO62" s="139">
        <f t="shared" si="363"/>
        <v>0</v>
      </c>
      <c r="PP62" s="139">
        <f t="shared" si="363"/>
        <v>0</v>
      </c>
      <c r="PQ62" s="139">
        <f t="shared" si="363"/>
        <v>0</v>
      </c>
      <c r="PR62" s="139">
        <f t="shared" si="363"/>
        <v>0</v>
      </c>
      <c r="PS62" s="139">
        <f t="shared" si="363"/>
        <v>0</v>
      </c>
      <c r="PT62" s="139">
        <f t="shared" si="363"/>
        <v>0</v>
      </c>
      <c r="PU62" s="139">
        <f t="shared" si="363"/>
        <v>0</v>
      </c>
      <c r="PV62" s="139">
        <f t="shared" si="363"/>
        <v>0</v>
      </c>
      <c r="PW62" s="139">
        <f t="shared" si="363"/>
        <v>0</v>
      </c>
      <c r="PX62" s="139">
        <f t="shared" ref="PX62:QN62" si="364">PX29/100</f>
        <v>0</v>
      </c>
      <c r="PY62" s="139">
        <f t="shared" si="364"/>
        <v>0</v>
      </c>
      <c r="PZ62" s="139">
        <f t="shared" si="364"/>
        <v>0</v>
      </c>
      <c r="QA62" s="139">
        <f t="shared" si="364"/>
        <v>0</v>
      </c>
      <c r="QB62" s="139">
        <f t="shared" si="364"/>
        <v>0</v>
      </c>
      <c r="QC62" s="139">
        <f t="shared" si="364"/>
        <v>0</v>
      </c>
      <c r="QD62" s="139">
        <f t="shared" si="364"/>
        <v>0</v>
      </c>
      <c r="QE62" s="139">
        <f t="shared" si="364"/>
        <v>0</v>
      </c>
      <c r="QF62" s="139">
        <f t="shared" si="364"/>
        <v>0</v>
      </c>
      <c r="QG62" s="139">
        <f t="shared" si="364"/>
        <v>0</v>
      </c>
      <c r="QH62" s="139">
        <f t="shared" si="364"/>
        <v>0</v>
      </c>
      <c r="QI62" s="139">
        <f t="shared" si="364"/>
        <v>0</v>
      </c>
      <c r="QJ62" s="139">
        <f t="shared" si="364"/>
        <v>0</v>
      </c>
      <c r="QK62" s="139">
        <f t="shared" si="364"/>
        <v>0</v>
      </c>
      <c r="QL62" s="139">
        <f t="shared" si="364"/>
        <v>0</v>
      </c>
      <c r="QM62" s="139">
        <f t="shared" si="364"/>
        <v>0</v>
      </c>
      <c r="QN62" s="139">
        <f t="shared" si="364"/>
        <v>0</v>
      </c>
      <c r="QO62" s="139">
        <f>QO29/40</f>
        <v>0</v>
      </c>
      <c r="QP62" s="139">
        <f>QP29/100</f>
        <v>0</v>
      </c>
      <c r="QQ62" s="139">
        <f>QQ29/100</f>
        <v>0</v>
      </c>
      <c r="QR62" s="139">
        <f>QR29/40</f>
        <v>0</v>
      </c>
      <c r="QS62" s="139">
        <f>QS29/100</f>
        <v>0</v>
      </c>
      <c r="QT62" s="139">
        <f>QT29/100</f>
        <v>0</v>
      </c>
      <c r="RA62" s="139">
        <f t="shared" ref="RA62:RF62" si="365">RA29/100</f>
        <v>0</v>
      </c>
      <c r="RB62" s="139">
        <f t="shared" si="365"/>
        <v>0</v>
      </c>
      <c r="RC62" s="139">
        <f t="shared" si="365"/>
        <v>0</v>
      </c>
      <c r="RD62" s="139">
        <f t="shared" si="365"/>
        <v>0</v>
      </c>
      <c r="RE62" s="139">
        <f t="shared" si="365"/>
        <v>0</v>
      </c>
      <c r="RF62" s="139">
        <f t="shared" si="365"/>
        <v>0</v>
      </c>
      <c r="RG62" s="70"/>
      <c r="RM62" s="145"/>
      <c r="SB62" s="70">
        <f>SB29/40</f>
        <v>0</v>
      </c>
      <c r="SC62" s="70">
        <f>SC29/40</f>
        <v>0</v>
      </c>
      <c r="SD62" s="70">
        <f>SD29/40</f>
        <v>0</v>
      </c>
      <c r="SE62" s="70">
        <f t="shared" ref="SE62:SU62" si="366">SE29/100</f>
        <v>0</v>
      </c>
      <c r="SF62" s="70">
        <f t="shared" si="366"/>
        <v>0</v>
      </c>
      <c r="SG62" s="70">
        <f t="shared" si="366"/>
        <v>0</v>
      </c>
      <c r="SH62" s="70">
        <f t="shared" si="366"/>
        <v>0</v>
      </c>
      <c r="SI62" s="70">
        <f t="shared" si="366"/>
        <v>0</v>
      </c>
      <c r="SJ62" s="70">
        <f t="shared" si="366"/>
        <v>0</v>
      </c>
      <c r="SK62" s="70">
        <f t="shared" si="366"/>
        <v>0</v>
      </c>
      <c r="SL62" s="70">
        <f t="shared" si="366"/>
        <v>0</v>
      </c>
      <c r="SM62" s="70">
        <f t="shared" si="366"/>
        <v>0</v>
      </c>
      <c r="SN62" s="70">
        <f t="shared" si="366"/>
        <v>0</v>
      </c>
      <c r="SO62" s="70">
        <f t="shared" si="366"/>
        <v>0</v>
      </c>
      <c r="SP62" s="70">
        <f t="shared" si="366"/>
        <v>0</v>
      </c>
      <c r="SQ62" s="70">
        <f t="shared" si="366"/>
        <v>0</v>
      </c>
      <c r="SR62" s="70">
        <f t="shared" si="366"/>
        <v>0</v>
      </c>
      <c r="SS62" s="70">
        <f t="shared" si="366"/>
        <v>0</v>
      </c>
      <c r="ST62" s="70">
        <f t="shared" si="366"/>
        <v>0</v>
      </c>
      <c r="SU62" s="70">
        <f t="shared" si="366"/>
        <v>0</v>
      </c>
      <c r="SV62" s="139">
        <f>SV29/40</f>
        <v>0</v>
      </c>
      <c r="SW62" s="139">
        <f>SW29/40</f>
        <v>0</v>
      </c>
      <c r="SX62" s="70">
        <f t="shared" ref="SX62:TR62" si="367">SX29/100</f>
        <v>0</v>
      </c>
      <c r="SY62" s="70">
        <f t="shared" si="367"/>
        <v>0</v>
      </c>
      <c r="SZ62" s="70">
        <f t="shared" si="367"/>
        <v>0</v>
      </c>
      <c r="TA62" s="70">
        <f t="shared" si="367"/>
        <v>0</v>
      </c>
      <c r="TB62" s="70">
        <f t="shared" si="367"/>
        <v>0</v>
      </c>
      <c r="TC62" s="70">
        <f t="shared" si="367"/>
        <v>0</v>
      </c>
      <c r="TD62" s="70">
        <f t="shared" si="367"/>
        <v>0</v>
      </c>
      <c r="TE62" s="70">
        <f t="shared" si="367"/>
        <v>0</v>
      </c>
      <c r="TF62" s="70">
        <f t="shared" si="367"/>
        <v>0</v>
      </c>
      <c r="TG62" s="70">
        <f t="shared" si="367"/>
        <v>0</v>
      </c>
      <c r="TH62" s="70">
        <f t="shared" si="367"/>
        <v>0</v>
      </c>
      <c r="TI62" s="70">
        <f t="shared" si="367"/>
        <v>0</v>
      </c>
      <c r="TJ62" s="70">
        <f t="shared" si="367"/>
        <v>0</v>
      </c>
      <c r="TK62" s="70">
        <f t="shared" si="367"/>
        <v>0</v>
      </c>
      <c r="TL62" s="70">
        <f t="shared" si="367"/>
        <v>0</v>
      </c>
      <c r="TM62" s="70">
        <f t="shared" si="367"/>
        <v>0</v>
      </c>
      <c r="TN62" s="70">
        <f t="shared" si="367"/>
        <v>0</v>
      </c>
      <c r="TO62" s="70">
        <f t="shared" si="367"/>
        <v>0</v>
      </c>
      <c r="TP62" s="70">
        <f t="shared" si="367"/>
        <v>0</v>
      </c>
      <c r="TQ62" s="70">
        <f t="shared" si="367"/>
        <v>0</v>
      </c>
      <c r="TR62" s="70">
        <f t="shared" si="367"/>
        <v>0</v>
      </c>
      <c r="TS62" s="139">
        <f>TS29/40</f>
        <v>0</v>
      </c>
      <c r="TT62" s="70">
        <f t="shared" ref="TT62:UY62" si="368">TT29/100</f>
        <v>0</v>
      </c>
      <c r="TU62" s="70">
        <f t="shared" si="368"/>
        <v>0</v>
      </c>
      <c r="TV62" s="70">
        <f t="shared" si="368"/>
        <v>0</v>
      </c>
      <c r="TW62" s="70">
        <f t="shared" si="368"/>
        <v>0</v>
      </c>
      <c r="TX62" s="70">
        <f t="shared" si="368"/>
        <v>0</v>
      </c>
      <c r="TY62" s="70">
        <f t="shared" si="368"/>
        <v>0</v>
      </c>
      <c r="TZ62" s="70">
        <f t="shared" si="368"/>
        <v>0</v>
      </c>
      <c r="UA62" s="70">
        <f t="shared" si="368"/>
        <v>0</v>
      </c>
      <c r="UB62" s="70">
        <f t="shared" si="368"/>
        <v>0</v>
      </c>
      <c r="UC62" s="70">
        <f t="shared" si="368"/>
        <v>0</v>
      </c>
      <c r="UD62" s="70">
        <f t="shared" si="368"/>
        <v>0</v>
      </c>
      <c r="UE62" s="70">
        <f t="shared" si="368"/>
        <v>0</v>
      </c>
      <c r="UF62" s="70">
        <f t="shared" si="368"/>
        <v>0</v>
      </c>
      <c r="UG62" s="70">
        <f t="shared" si="368"/>
        <v>0</v>
      </c>
      <c r="UH62" s="70">
        <f t="shared" si="368"/>
        <v>0</v>
      </c>
      <c r="UI62" s="70">
        <f t="shared" si="368"/>
        <v>0</v>
      </c>
      <c r="UJ62" s="70">
        <f t="shared" si="368"/>
        <v>0</v>
      </c>
      <c r="UK62" s="70">
        <f t="shared" si="368"/>
        <v>0</v>
      </c>
      <c r="UL62" s="70">
        <f t="shared" si="368"/>
        <v>0</v>
      </c>
      <c r="UM62" s="70">
        <f t="shared" si="368"/>
        <v>0</v>
      </c>
      <c r="UN62" s="70">
        <f t="shared" si="368"/>
        <v>0</v>
      </c>
      <c r="UO62" s="70">
        <f t="shared" si="368"/>
        <v>0</v>
      </c>
      <c r="UP62" s="70">
        <f t="shared" si="368"/>
        <v>0</v>
      </c>
      <c r="UQ62" s="70">
        <f t="shared" si="368"/>
        <v>0</v>
      </c>
      <c r="UR62" s="70">
        <f t="shared" si="368"/>
        <v>0</v>
      </c>
      <c r="US62" s="70">
        <f t="shared" si="368"/>
        <v>0</v>
      </c>
      <c r="UT62" s="70">
        <f t="shared" si="368"/>
        <v>0</v>
      </c>
      <c r="UU62" s="70">
        <f t="shared" si="368"/>
        <v>0</v>
      </c>
      <c r="UV62" s="70">
        <f t="shared" si="368"/>
        <v>0</v>
      </c>
      <c r="UW62" s="70">
        <f t="shared" si="368"/>
        <v>0</v>
      </c>
      <c r="UX62" s="70">
        <f t="shared" si="368"/>
        <v>0</v>
      </c>
      <c r="UY62" s="70">
        <f t="shared" si="368"/>
        <v>0</v>
      </c>
      <c r="UZ62" s="70">
        <f t="shared" ref="UZ62:WE62" si="369">UZ29/100</f>
        <v>0</v>
      </c>
      <c r="VA62" s="70">
        <f t="shared" si="369"/>
        <v>0</v>
      </c>
      <c r="VB62" s="70">
        <f t="shared" si="369"/>
        <v>0</v>
      </c>
      <c r="VC62" s="70">
        <f t="shared" si="369"/>
        <v>0</v>
      </c>
      <c r="VD62" s="70">
        <f t="shared" si="369"/>
        <v>0</v>
      </c>
      <c r="VE62" s="70">
        <f t="shared" si="369"/>
        <v>0</v>
      </c>
      <c r="VF62" s="70">
        <f t="shared" si="369"/>
        <v>0</v>
      </c>
      <c r="VG62" s="70">
        <f t="shared" si="369"/>
        <v>0</v>
      </c>
      <c r="VH62" s="70">
        <f t="shared" si="369"/>
        <v>0</v>
      </c>
      <c r="VI62" s="70">
        <f t="shared" si="369"/>
        <v>0</v>
      </c>
      <c r="VJ62" s="70">
        <f t="shared" si="369"/>
        <v>0</v>
      </c>
      <c r="VK62" s="70">
        <f t="shared" si="369"/>
        <v>0</v>
      </c>
      <c r="VL62" s="70">
        <f t="shared" si="369"/>
        <v>0</v>
      </c>
      <c r="VM62" s="70">
        <f t="shared" si="369"/>
        <v>0</v>
      </c>
      <c r="VN62" s="70">
        <f t="shared" si="369"/>
        <v>0</v>
      </c>
      <c r="VO62" s="70">
        <f t="shared" si="369"/>
        <v>0</v>
      </c>
      <c r="VP62" s="70">
        <f t="shared" si="369"/>
        <v>0</v>
      </c>
      <c r="VQ62" s="70">
        <f t="shared" si="369"/>
        <v>0</v>
      </c>
      <c r="VR62" s="70">
        <f t="shared" si="369"/>
        <v>0</v>
      </c>
      <c r="VS62" s="70">
        <f t="shared" si="369"/>
        <v>0</v>
      </c>
      <c r="VT62" s="70">
        <f t="shared" si="369"/>
        <v>0</v>
      </c>
      <c r="VU62" s="70">
        <f t="shared" si="369"/>
        <v>0</v>
      </c>
      <c r="VV62" s="70">
        <f t="shared" si="369"/>
        <v>0</v>
      </c>
      <c r="VW62" s="70">
        <f t="shared" si="369"/>
        <v>0</v>
      </c>
      <c r="VX62" s="70">
        <f t="shared" si="369"/>
        <v>0</v>
      </c>
      <c r="VY62" s="70">
        <f t="shared" si="369"/>
        <v>0</v>
      </c>
      <c r="VZ62" s="70">
        <f t="shared" si="369"/>
        <v>0</v>
      </c>
      <c r="WA62" s="70">
        <f t="shared" si="369"/>
        <v>0</v>
      </c>
      <c r="WB62" s="70">
        <f t="shared" si="369"/>
        <v>0</v>
      </c>
      <c r="WC62" s="70">
        <f t="shared" si="369"/>
        <v>0</v>
      </c>
      <c r="WD62" s="70">
        <f t="shared" si="369"/>
        <v>0</v>
      </c>
      <c r="WE62" s="70">
        <f t="shared" si="369"/>
        <v>0</v>
      </c>
      <c r="WF62" s="70">
        <f t="shared" ref="WF62:WS62" si="370">WF29/100</f>
        <v>0</v>
      </c>
      <c r="WG62" s="70">
        <f t="shared" si="370"/>
        <v>0</v>
      </c>
      <c r="WH62" s="70">
        <f t="shared" si="370"/>
        <v>0</v>
      </c>
      <c r="WI62" s="70">
        <f t="shared" si="370"/>
        <v>0</v>
      </c>
      <c r="WJ62" s="70">
        <f t="shared" si="370"/>
        <v>0</v>
      </c>
      <c r="WK62" s="70">
        <f t="shared" si="370"/>
        <v>0</v>
      </c>
      <c r="WL62" s="70">
        <f t="shared" si="370"/>
        <v>0</v>
      </c>
      <c r="WM62" s="70">
        <f t="shared" si="370"/>
        <v>0</v>
      </c>
      <c r="WN62" s="70">
        <f t="shared" si="370"/>
        <v>0</v>
      </c>
      <c r="WO62" s="70">
        <f t="shared" si="370"/>
        <v>0</v>
      </c>
      <c r="WP62" s="70">
        <f t="shared" si="370"/>
        <v>0</v>
      </c>
      <c r="WQ62" s="70">
        <f t="shared" si="370"/>
        <v>0</v>
      </c>
      <c r="WR62" s="70">
        <f t="shared" si="370"/>
        <v>0</v>
      </c>
      <c r="WS62" s="70">
        <f t="shared" si="370"/>
        <v>0</v>
      </c>
    </row>
    <row r="63" spans="1:830" hidden="1" x14ac:dyDescent="0.25">
      <c r="M63" t="s">
        <v>198</v>
      </c>
      <c r="N63" s="139">
        <f t="shared" ref="N63:AS63" si="371">N32/40</f>
        <v>0</v>
      </c>
      <c r="O63" s="139">
        <f t="shared" si="371"/>
        <v>0</v>
      </c>
      <c r="P63" s="139">
        <f t="shared" si="371"/>
        <v>0</v>
      </c>
      <c r="Q63" s="139">
        <f t="shared" si="371"/>
        <v>0</v>
      </c>
      <c r="R63" s="139">
        <f t="shared" si="371"/>
        <v>0</v>
      </c>
      <c r="S63" s="139">
        <f t="shared" si="371"/>
        <v>0</v>
      </c>
      <c r="T63" s="139">
        <f t="shared" si="371"/>
        <v>0</v>
      </c>
      <c r="U63" s="139">
        <f t="shared" si="371"/>
        <v>0</v>
      </c>
      <c r="V63" s="139">
        <f t="shared" si="371"/>
        <v>0</v>
      </c>
      <c r="W63" s="139">
        <f t="shared" si="371"/>
        <v>0</v>
      </c>
      <c r="X63" s="139">
        <f t="shared" si="371"/>
        <v>0</v>
      </c>
      <c r="Y63" s="139">
        <f t="shared" si="371"/>
        <v>0</v>
      </c>
      <c r="Z63" s="139">
        <f t="shared" si="371"/>
        <v>0</v>
      </c>
      <c r="AA63" s="139">
        <f t="shared" si="371"/>
        <v>0</v>
      </c>
      <c r="AB63" s="139">
        <f t="shared" si="371"/>
        <v>0</v>
      </c>
      <c r="AC63" s="139">
        <f t="shared" si="371"/>
        <v>0</v>
      </c>
      <c r="AD63" s="139">
        <f t="shared" si="371"/>
        <v>0</v>
      </c>
      <c r="AE63" s="139">
        <f t="shared" si="371"/>
        <v>0</v>
      </c>
      <c r="AF63" s="139">
        <f t="shared" si="371"/>
        <v>0</v>
      </c>
      <c r="AG63" s="139">
        <f t="shared" si="371"/>
        <v>0</v>
      </c>
      <c r="AH63" s="139">
        <f t="shared" si="371"/>
        <v>0</v>
      </c>
      <c r="AI63" s="139">
        <f t="shared" si="371"/>
        <v>0</v>
      </c>
      <c r="AJ63" s="139">
        <f t="shared" si="371"/>
        <v>0</v>
      </c>
      <c r="AK63" s="139">
        <f t="shared" si="371"/>
        <v>0</v>
      </c>
      <c r="AL63" s="139">
        <f t="shared" si="371"/>
        <v>0</v>
      </c>
      <c r="AM63" s="139">
        <f t="shared" si="371"/>
        <v>0</v>
      </c>
      <c r="AN63" s="139">
        <f t="shared" si="371"/>
        <v>0</v>
      </c>
      <c r="AO63" s="139">
        <f t="shared" si="371"/>
        <v>0</v>
      </c>
      <c r="AP63" s="139">
        <f t="shared" si="371"/>
        <v>0</v>
      </c>
      <c r="AQ63" s="139">
        <f t="shared" si="371"/>
        <v>0</v>
      </c>
      <c r="AR63" s="139">
        <f t="shared" si="371"/>
        <v>0</v>
      </c>
      <c r="AS63" s="139">
        <f t="shared" si="371"/>
        <v>0</v>
      </c>
      <c r="AT63" s="139">
        <f t="shared" ref="AT63:BY63" si="372">AT32/40</f>
        <v>0</v>
      </c>
      <c r="AU63" s="139">
        <f t="shared" si="372"/>
        <v>0</v>
      </c>
      <c r="AV63" s="139">
        <f t="shared" si="372"/>
        <v>0</v>
      </c>
      <c r="AW63" s="139">
        <f t="shared" si="372"/>
        <v>0</v>
      </c>
      <c r="AX63" s="139">
        <f t="shared" si="372"/>
        <v>0</v>
      </c>
      <c r="AY63" s="139">
        <f t="shared" si="372"/>
        <v>0</v>
      </c>
      <c r="AZ63" s="139">
        <f t="shared" si="372"/>
        <v>0</v>
      </c>
      <c r="BA63" s="139">
        <f t="shared" si="372"/>
        <v>0</v>
      </c>
      <c r="BB63" s="139">
        <f t="shared" si="372"/>
        <v>0</v>
      </c>
      <c r="BC63" s="139">
        <f t="shared" si="372"/>
        <v>0</v>
      </c>
      <c r="BD63" s="139">
        <f t="shared" si="372"/>
        <v>0</v>
      </c>
      <c r="BE63" s="139">
        <f t="shared" si="372"/>
        <v>0</v>
      </c>
      <c r="BF63" s="139">
        <f t="shared" si="372"/>
        <v>0</v>
      </c>
      <c r="BG63" s="139">
        <f t="shared" si="372"/>
        <v>0</v>
      </c>
      <c r="BH63" s="139">
        <f t="shared" si="372"/>
        <v>0</v>
      </c>
      <c r="BI63" s="139">
        <f t="shared" si="372"/>
        <v>0</v>
      </c>
      <c r="BJ63" s="139">
        <f t="shared" si="372"/>
        <v>0</v>
      </c>
      <c r="BK63" s="139">
        <f t="shared" si="372"/>
        <v>0</v>
      </c>
      <c r="BL63" s="139">
        <f t="shared" si="372"/>
        <v>0</v>
      </c>
      <c r="BM63" s="139">
        <f t="shared" si="372"/>
        <v>0</v>
      </c>
      <c r="BN63" s="139">
        <f t="shared" si="372"/>
        <v>0</v>
      </c>
      <c r="BO63" s="139">
        <f t="shared" si="372"/>
        <v>0</v>
      </c>
      <c r="BP63" s="139">
        <f t="shared" si="372"/>
        <v>0</v>
      </c>
      <c r="BQ63" s="139">
        <f t="shared" si="372"/>
        <v>0</v>
      </c>
      <c r="BR63" s="139">
        <f t="shared" si="372"/>
        <v>0</v>
      </c>
      <c r="BS63" s="139">
        <f t="shared" si="372"/>
        <v>0</v>
      </c>
      <c r="BT63" s="139">
        <f t="shared" si="372"/>
        <v>0</v>
      </c>
      <c r="BU63" s="139">
        <f t="shared" si="372"/>
        <v>0</v>
      </c>
      <c r="BV63" s="139">
        <f t="shared" si="372"/>
        <v>0</v>
      </c>
      <c r="BW63" s="139">
        <f t="shared" si="372"/>
        <v>0</v>
      </c>
      <c r="BX63" s="139">
        <f t="shared" si="372"/>
        <v>0</v>
      </c>
      <c r="BY63" s="139">
        <f t="shared" si="372"/>
        <v>0</v>
      </c>
      <c r="BZ63" s="139">
        <f t="shared" ref="BZ63:CI63" si="373">BZ32/40</f>
        <v>0</v>
      </c>
      <c r="CA63" s="139">
        <f t="shared" si="373"/>
        <v>0</v>
      </c>
      <c r="CB63" s="139">
        <f t="shared" si="373"/>
        <v>0</v>
      </c>
      <c r="CC63" s="139">
        <f t="shared" si="373"/>
        <v>0</v>
      </c>
      <c r="CD63" s="139">
        <f t="shared" si="373"/>
        <v>0</v>
      </c>
      <c r="CE63" s="139">
        <f t="shared" si="373"/>
        <v>0</v>
      </c>
      <c r="CF63" s="139">
        <f t="shared" si="373"/>
        <v>0</v>
      </c>
      <c r="CG63" s="139">
        <f t="shared" si="373"/>
        <v>0</v>
      </c>
      <c r="CH63" s="139">
        <f t="shared" si="373"/>
        <v>0</v>
      </c>
      <c r="CI63" s="139">
        <f t="shared" si="373"/>
        <v>0</v>
      </c>
      <c r="CJ63" s="139">
        <f t="shared" ref="CJ63:DO63" si="374">CJ32/100</f>
        <v>0</v>
      </c>
      <c r="CK63" s="139">
        <f t="shared" si="374"/>
        <v>0</v>
      </c>
      <c r="CL63" s="139">
        <f t="shared" si="374"/>
        <v>0</v>
      </c>
      <c r="CM63" s="139">
        <f t="shared" si="374"/>
        <v>0</v>
      </c>
      <c r="CN63" s="139">
        <f t="shared" si="374"/>
        <v>0</v>
      </c>
      <c r="CO63" s="139">
        <f t="shared" si="374"/>
        <v>0</v>
      </c>
      <c r="CP63" s="139">
        <f t="shared" si="374"/>
        <v>0</v>
      </c>
      <c r="CQ63" s="139">
        <f t="shared" si="374"/>
        <v>0</v>
      </c>
      <c r="CR63" s="139">
        <f t="shared" si="374"/>
        <v>0</v>
      </c>
      <c r="CS63" s="139">
        <f t="shared" si="374"/>
        <v>0</v>
      </c>
      <c r="CT63" s="139">
        <f t="shared" si="374"/>
        <v>0</v>
      </c>
      <c r="CU63" s="139">
        <f t="shared" si="374"/>
        <v>0</v>
      </c>
      <c r="CV63" s="139">
        <f t="shared" si="374"/>
        <v>0</v>
      </c>
      <c r="CW63" s="139">
        <f t="shared" si="374"/>
        <v>0</v>
      </c>
      <c r="CX63" s="139">
        <f t="shared" si="374"/>
        <v>0</v>
      </c>
      <c r="CY63" s="139">
        <f t="shared" si="374"/>
        <v>0</v>
      </c>
      <c r="CZ63" s="139">
        <f t="shared" si="374"/>
        <v>0</v>
      </c>
      <c r="DA63" s="139">
        <f t="shared" si="374"/>
        <v>0</v>
      </c>
      <c r="DB63" s="139">
        <f t="shared" si="374"/>
        <v>0</v>
      </c>
      <c r="DC63" s="139">
        <f t="shared" si="374"/>
        <v>0</v>
      </c>
      <c r="DD63" s="139">
        <f t="shared" si="374"/>
        <v>0</v>
      </c>
      <c r="DE63" s="139">
        <f t="shared" si="374"/>
        <v>0</v>
      </c>
      <c r="DF63" s="139">
        <f t="shared" si="374"/>
        <v>0</v>
      </c>
      <c r="DG63" s="139">
        <f t="shared" si="374"/>
        <v>0</v>
      </c>
      <c r="DH63" s="139">
        <f t="shared" si="374"/>
        <v>0</v>
      </c>
      <c r="DI63" s="139">
        <f t="shared" si="374"/>
        <v>0</v>
      </c>
      <c r="DJ63" s="139">
        <f t="shared" si="374"/>
        <v>0</v>
      </c>
      <c r="DK63" s="139">
        <f t="shared" si="374"/>
        <v>0</v>
      </c>
      <c r="DL63" s="139">
        <f t="shared" si="374"/>
        <v>0</v>
      </c>
      <c r="DM63" s="139">
        <f t="shared" si="374"/>
        <v>0</v>
      </c>
      <c r="DN63" s="139">
        <f t="shared" si="374"/>
        <v>0</v>
      </c>
      <c r="DO63" s="139">
        <f t="shared" si="374"/>
        <v>0</v>
      </c>
      <c r="DP63" s="139">
        <f t="shared" ref="DP63:EU63" si="375">DP32/100</f>
        <v>0</v>
      </c>
      <c r="DQ63" s="139">
        <f t="shared" si="375"/>
        <v>0</v>
      </c>
      <c r="DR63" s="139">
        <f t="shared" si="375"/>
        <v>0</v>
      </c>
      <c r="DS63" s="139">
        <f t="shared" si="375"/>
        <v>0</v>
      </c>
      <c r="DT63" s="139">
        <f t="shared" si="375"/>
        <v>0</v>
      </c>
      <c r="DU63" s="139">
        <f t="shared" si="375"/>
        <v>0</v>
      </c>
      <c r="DV63" s="139">
        <f t="shared" si="375"/>
        <v>0</v>
      </c>
      <c r="DW63" s="139">
        <f t="shared" si="375"/>
        <v>0</v>
      </c>
      <c r="DX63" s="139">
        <f t="shared" si="375"/>
        <v>0</v>
      </c>
      <c r="DY63" s="139">
        <f t="shared" si="375"/>
        <v>0</v>
      </c>
      <c r="DZ63" s="139">
        <f t="shared" si="375"/>
        <v>0</v>
      </c>
      <c r="EA63" s="139">
        <f t="shared" si="375"/>
        <v>0</v>
      </c>
      <c r="EB63" s="139">
        <f t="shared" si="375"/>
        <v>0</v>
      </c>
      <c r="EC63" s="139">
        <f t="shared" si="375"/>
        <v>0</v>
      </c>
      <c r="ED63" s="139">
        <f t="shared" si="375"/>
        <v>0</v>
      </c>
      <c r="EE63" s="139">
        <f t="shared" si="375"/>
        <v>0</v>
      </c>
      <c r="EF63" s="139">
        <f t="shared" si="375"/>
        <v>0</v>
      </c>
      <c r="EG63" s="139">
        <f t="shared" si="375"/>
        <v>0</v>
      </c>
      <c r="EH63" s="139">
        <f t="shared" si="375"/>
        <v>0</v>
      </c>
      <c r="EI63" s="139">
        <f t="shared" si="375"/>
        <v>0</v>
      </c>
      <c r="EJ63" s="139">
        <f t="shared" si="375"/>
        <v>0</v>
      </c>
      <c r="EK63" s="139">
        <f t="shared" si="375"/>
        <v>0</v>
      </c>
      <c r="EL63" s="139">
        <f t="shared" si="375"/>
        <v>0</v>
      </c>
      <c r="EM63" s="139">
        <f t="shared" si="375"/>
        <v>0</v>
      </c>
      <c r="EN63" s="139">
        <f t="shared" si="375"/>
        <v>0</v>
      </c>
      <c r="EO63" s="139">
        <f t="shared" si="375"/>
        <v>0</v>
      </c>
      <c r="EP63" s="139">
        <f t="shared" si="375"/>
        <v>0</v>
      </c>
      <c r="EQ63" s="139">
        <f t="shared" si="375"/>
        <v>0</v>
      </c>
      <c r="ER63" s="139">
        <f t="shared" si="375"/>
        <v>0</v>
      </c>
      <c r="ES63" s="139">
        <f t="shared" si="375"/>
        <v>0</v>
      </c>
      <c r="ET63" s="139">
        <f t="shared" si="375"/>
        <v>0</v>
      </c>
      <c r="EU63" s="139">
        <f t="shared" si="375"/>
        <v>0</v>
      </c>
      <c r="EV63" s="139">
        <f t="shared" ref="EV63:GA63" si="376">EV32/100</f>
        <v>0</v>
      </c>
      <c r="EW63" s="139">
        <f t="shared" si="376"/>
        <v>0</v>
      </c>
      <c r="EX63" s="139">
        <f t="shared" si="376"/>
        <v>0</v>
      </c>
      <c r="EY63" s="139">
        <f t="shared" si="376"/>
        <v>0</v>
      </c>
      <c r="EZ63" s="139">
        <f t="shared" si="376"/>
        <v>0</v>
      </c>
      <c r="FA63" s="139">
        <f t="shared" si="376"/>
        <v>0</v>
      </c>
      <c r="FB63" s="139">
        <f t="shared" si="376"/>
        <v>0</v>
      </c>
      <c r="FC63" s="139">
        <f t="shared" si="376"/>
        <v>0</v>
      </c>
      <c r="FD63" s="139">
        <f t="shared" si="376"/>
        <v>0</v>
      </c>
      <c r="FE63" s="139">
        <f t="shared" si="376"/>
        <v>0</v>
      </c>
      <c r="FF63" s="139">
        <f t="shared" si="376"/>
        <v>0</v>
      </c>
      <c r="FG63" s="139">
        <f t="shared" si="376"/>
        <v>0</v>
      </c>
      <c r="FH63" s="139">
        <f t="shared" si="376"/>
        <v>0</v>
      </c>
      <c r="FI63" s="139">
        <f t="shared" si="376"/>
        <v>0</v>
      </c>
      <c r="FJ63" s="139">
        <f t="shared" si="376"/>
        <v>0</v>
      </c>
      <c r="FK63" s="139">
        <f t="shared" si="376"/>
        <v>0</v>
      </c>
      <c r="FL63" s="139">
        <f t="shared" si="376"/>
        <v>0</v>
      </c>
      <c r="FM63" s="139">
        <f t="shared" si="376"/>
        <v>0</v>
      </c>
      <c r="FN63" s="139">
        <f t="shared" si="376"/>
        <v>0</v>
      </c>
      <c r="FO63" s="139">
        <f t="shared" si="376"/>
        <v>0</v>
      </c>
      <c r="FP63" s="139">
        <f t="shared" si="376"/>
        <v>0</v>
      </c>
      <c r="FQ63" s="139">
        <f t="shared" si="376"/>
        <v>0</v>
      </c>
      <c r="FR63" s="139">
        <f t="shared" si="376"/>
        <v>0</v>
      </c>
      <c r="FS63" s="139">
        <f t="shared" si="376"/>
        <v>0</v>
      </c>
      <c r="FT63" s="139">
        <f t="shared" si="376"/>
        <v>0</v>
      </c>
      <c r="FU63" s="139">
        <f t="shared" si="376"/>
        <v>0</v>
      </c>
      <c r="FV63" s="139">
        <f t="shared" si="376"/>
        <v>0</v>
      </c>
      <c r="FW63" s="139">
        <f t="shared" si="376"/>
        <v>0</v>
      </c>
      <c r="FX63" s="139">
        <f t="shared" si="376"/>
        <v>0</v>
      </c>
      <c r="FY63" s="139">
        <f t="shared" si="376"/>
        <v>0</v>
      </c>
      <c r="FZ63" s="139">
        <f t="shared" si="376"/>
        <v>0</v>
      </c>
      <c r="GA63" s="139">
        <f t="shared" si="376"/>
        <v>0</v>
      </c>
      <c r="GB63" s="139">
        <f t="shared" ref="GB63:HA63" si="377">GB32/100</f>
        <v>0</v>
      </c>
      <c r="GC63" s="139">
        <f t="shared" si="377"/>
        <v>0</v>
      </c>
      <c r="GD63" s="139">
        <f t="shared" si="377"/>
        <v>0</v>
      </c>
      <c r="GE63" s="139">
        <f t="shared" si="377"/>
        <v>0</v>
      </c>
      <c r="GF63" s="139">
        <f t="shared" si="377"/>
        <v>0</v>
      </c>
      <c r="GG63" s="139">
        <f t="shared" si="377"/>
        <v>0</v>
      </c>
      <c r="GH63" s="139">
        <f t="shared" si="377"/>
        <v>0</v>
      </c>
      <c r="GI63" s="139">
        <f t="shared" si="377"/>
        <v>0</v>
      </c>
      <c r="GJ63" s="139">
        <f t="shared" si="377"/>
        <v>0</v>
      </c>
      <c r="GK63" s="139">
        <f t="shared" si="377"/>
        <v>0</v>
      </c>
      <c r="GL63" s="139">
        <f t="shared" si="377"/>
        <v>0</v>
      </c>
      <c r="GM63" s="139">
        <f t="shared" si="377"/>
        <v>0</v>
      </c>
      <c r="GN63" s="139">
        <f t="shared" si="377"/>
        <v>0</v>
      </c>
      <c r="GO63" s="139">
        <f t="shared" si="377"/>
        <v>0</v>
      </c>
      <c r="GP63" s="139">
        <f t="shared" si="377"/>
        <v>0</v>
      </c>
      <c r="GQ63" s="139">
        <f t="shared" si="377"/>
        <v>0</v>
      </c>
      <c r="GR63" s="139">
        <f t="shared" si="377"/>
        <v>0</v>
      </c>
      <c r="GS63" s="139">
        <f t="shared" si="377"/>
        <v>0</v>
      </c>
      <c r="GT63" s="139">
        <f t="shared" si="377"/>
        <v>0</v>
      </c>
      <c r="GU63" s="139">
        <f t="shared" si="377"/>
        <v>0</v>
      </c>
      <c r="GV63" s="139">
        <f t="shared" si="377"/>
        <v>0</v>
      </c>
      <c r="GW63" s="139">
        <f t="shared" si="377"/>
        <v>0</v>
      </c>
      <c r="GX63" s="139">
        <f t="shared" si="377"/>
        <v>0</v>
      </c>
      <c r="GY63" s="139">
        <f t="shared" si="377"/>
        <v>0</v>
      </c>
      <c r="GZ63" s="139">
        <f t="shared" si="377"/>
        <v>0</v>
      </c>
      <c r="HA63" s="139">
        <f t="shared" si="377"/>
        <v>0</v>
      </c>
      <c r="HB63" s="139">
        <f t="shared" ref="HB63:II63" si="378">HB32/40</f>
        <v>0</v>
      </c>
      <c r="HC63" s="139">
        <f t="shared" si="378"/>
        <v>0</v>
      </c>
      <c r="HD63" s="139">
        <f t="shared" si="378"/>
        <v>0</v>
      </c>
      <c r="HE63" s="139">
        <f t="shared" si="378"/>
        <v>0</v>
      </c>
      <c r="HF63" s="139">
        <f t="shared" si="378"/>
        <v>0</v>
      </c>
      <c r="HG63" s="139">
        <f t="shared" si="378"/>
        <v>0</v>
      </c>
      <c r="HH63" s="139">
        <f t="shared" si="378"/>
        <v>0</v>
      </c>
      <c r="HI63" s="139">
        <f t="shared" si="378"/>
        <v>0</v>
      </c>
      <c r="HJ63" s="139">
        <f t="shared" si="378"/>
        <v>0</v>
      </c>
      <c r="HK63" s="139">
        <f t="shared" si="378"/>
        <v>0</v>
      </c>
      <c r="HL63" s="139">
        <f t="shared" si="378"/>
        <v>0</v>
      </c>
      <c r="HM63" s="139">
        <f t="shared" si="378"/>
        <v>0</v>
      </c>
      <c r="HN63" s="139">
        <f t="shared" si="378"/>
        <v>0</v>
      </c>
      <c r="HO63" s="139">
        <f t="shared" si="378"/>
        <v>0</v>
      </c>
      <c r="HP63" s="139">
        <f t="shared" si="378"/>
        <v>0</v>
      </c>
      <c r="HQ63" s="139">
        <f t="shared" si="378"/>
        <v>0</v>
      </c>
      <c r="HR63" s="139">
        <f t="shared" si="378"/>
        <v>0</v>
      </c>
      <c r="HS63" s="139">
        <f t="shared" si="378"/>
        <v>0</v>
      </c>
      <c r="HT63" s="139">
        <f t="shared" si="378"/>
        <v>0</v>
      </c>
      <c r="HU63" s="139">
        <f t="shared" si="378"/>
        <v>0</v>
      </c>
      <c r="HV63" s="139">
        <f t="shared" si="378"/>
        <v>0</v>
      </c>
      <c r="HW63" s="139">
        <f t="shared" si="378"/>
        <v>0</v>
      </c>
      <c r="HX63" s="139">
        <f t="shared" si="378"/>
        <v>0</v>
      </c>
      <c r="HY63" s="139">
        <f t="shared" si="378"/>
        <v>0</v>
      </c>
      <c r="HZ63" s="139">
        <f t="shared" si="378"/>
        <v>0</v>
      </c>
      <c r="IA63" s="139">
        <f t="shared" si="378"/>
        <v>0</v>
      </c>
      <c r="IB63" s="139">
        <f t="shared" si="378"/>
        <v>0</v>
      </c>
      <c r="IC63" s="139">
        <f t="shared" si="378"/>
        <v>0</v>
      </c>
      <c r="ID63" s="139">
        <f t="shared" si="378"/>
        <v>0</v>
      </c>
      <c r="IE63" s="139">
        <f t="shared" si="378"/>
        <v>0</v>
      </c>
      <c r="IF63" s="139">
        <f t="shared" si="378"/>
        <v>0</v>
      </c>
      <c r="IG63" s="139">
        <f t="shared" si="378"/>
        <v>0</v>
      </c>
      <c r="IH63" s="139">
        <f t="shared" si="378"/>
        <v>0</v>
      </c>
      <c r="II63" s="139">
        <f t="shared" si="378"/>
        <v>0</v>
      </c>
      <c r="IJ63" s="139">
        <f t="shared" ref="IJ63:JM63" si="379">IJ32/100</f>
        <v>0</v>
      </c>
      <c r="IK63" s="139">
        <f t="shared" si="379"/>
        <v>0</v>
      </c>
      <c r="IL63" s="139">
        <f t="shared" si="379"/>
        <v>0</v>
      </c>
      <c r="IM63" s="139">
        <f t="shared" si="379"/>
        <v>0</v>
      </c>
      <c r="IN63" s="139">
        <f t="shared" si="379"/>
        <v>0</v>
      </c>
      <c r="IO63" s="139">
        <f t="shared" si="379"/>
        <v>0</v>
      </c>
      <c r="IP63" s="139">
        <f t="shared" si="379"/>
        <v>0</v>
      </c>
      <c r="IQ63" s="139">
        <f t="shared" si="379"/>
        <v>0</v>
      </c>
      <c r="IR63" s="139">
        <f t="shared" si="379"/>
        <v>0</v>
      </c>
      <c r="IS63" s="139">
        <f t="shared" si="379"/>
        <v>0</v>
      </c>
      <c r="IT63" s="139">
        <f t="shared" si="379"/>
        <v>0</v>
      </c>
      <c r="IU63" s="139">
        <f t="shared" si="379"/>
        <v>0</v>
      </c>
      <c r="IV63" s="139">
        <f t="shared" si="379"/>
        <v>0</v>
      </c>
      <c r="IW63" s="139">
        <f t="shared" si="379"/>
        <v>0</v>
      </c>
      <c r="IX63" s="139">
        <f t="shared" si="379"/>
        <v>0</v>
      </c>
      <c r="IY63" s="139">
        <f t="shared" si="379"/>
        <v>0</v>
      </c>
      <c r="IZ63" s="139">
        <f t="shared" si="379"/>
        <v>0</v>
      </c>
      <c r="JA63" s="139">
        <f t="shared" si="379"/>
        <v>0</v>
      </c>
      <c r="JB63" s="139">
        <f t="shared" si="379"/>
        <v>0</v>
      </c>
      <c r="JC63" s="139">
        <f t="shared" si="379"/>
        <v>0</v>
      </c>
      <c r="JD63" s="139">
        <f t="shared" si="379"/>
        <v>0</v>
      </c>
      <c r="JE63" s="139">
        <f t="shared" si="379"/>
        <v>0</v>
      </c>
      <c r="JF63" s="139">
        <f t="shared" si="379"/>
        <v>0</v>
      </c>
      <c r="JG63" s="139">
        <f t="shared" si="379"/>
        <v>0</v>
      </c>
      <c r="JH63" s="139">
        <f t="shared" si="379"/>
        <v>0</v>
      </c>
      <c r="JI63" s="139">
        <f t="shared" si="379"/>
        <v>0</v>
      </c>
      <c r="JJ63" s="139">
        <f t="shared" si="379"/>
        <v>0</v>
      </c>
      <c r="JK63" s="139">
        <f t="shared" si="379"/>
        <v>0</v>
      </c>
      <c r="JL63" s="139">
        <f t="shared" si="379"/>
        <v>0</v>
      </c>
      <c r="JM63" s="139">
        <f t="shared" si="379"/>
        <v>0</v>
      </c>
      <c r="JN63" s="139">
        <f t="shared" ref="JN63:JS63" si="380">JN32/40</f>
        <v>0</v>
      </c>
      <c r="JO63" s="139">
        <f t="shared" si="380"/>
        <v>0</v>
      </c>
      <c r="JP63" s="139">
        <f t="shared" si="380"/>
        <v>0</v>
      </c>
      <c r="JQ63" s="139">
        <f t="shared" si="380"/>
        <v>0</v>
      </c>
      <c r="JR63" s="139">
        <f t="shared" si="380"/>
        <v>0</v>
      </c>
      <c r="JS63" s="139">
        <f t="shared" si="380"/>
        <v>0</v>
      </c>
      <c r="JT63" s="139">
        <f t="shared" ref="JT63:JY63" si="381">JT32/100</f>
        <v>0</v>
      </c>
      <c r="JU63" s="139">
        <f t="shared" si="381"/>
        <v>0</v>
      </c>
      <c r="JV63" s="139">
        <f t="shared" si="381"/>
        <v>0</v>
      </c>
      <c r="JW63" s="139">
        <f t="shared" si="381"/>
        <v>0</v>
      </c>
      <c r="JX63" s="139">
        <f t="shared" si="381"/>
        <v>0</v>
      </c>
      <c r="JY63" s="139">
        <f t="shared" si="381"/>
        <v>0</v>
      </c>
      <c r="JZ63" s="139">
        <f t="shared" ref="JZ63:KY63" si="382">JZ32/40</f>
        <v>0</v>
      </c>
      <c r="KA63" s="139">
        <f t="shared" si="382"/>
        <v>0</v>
      </c>
      <c r="KB63" s="139">
        <f t="shared" si="382"/>
        <v>0</v>
      </c>
      <c r="KC63" s="139">
        <f t="shared" si="382"/>
        <v>0</v>
      </c>
      <c r="KD63" s="139">
        <f t="shared" si="382"/>
        <v>0</v>
      </c>
      <c r="KE63" s="139">
        <f t="shared" si="382"/>
        <v>0</v>
      </c>
      <c r="KF63" s="139">
        <f t="shared" si="382"/>
        <v>0</v>
      </c>
      <c r="KG63" s="139">
        <f t="shared" si="382"/>
        <v>0</v>
      </c>
      <c r="KH63" s="139">
        <f t="shared" si="382"/>
        <v>0</v>
      </c>
      <c r="KI63" s="139">
        <f t="shared" si="382"/>
        <v>0</v>
      </c>
      <c r="KJ63" s="139">
        <f t="shared" si="382"/>
        <v>0</v>
      </c>
      <c r="KK63" s="139">
        <f t="shared" si="382"/>
        <v>0</v>
      </c>
      <c r="KL63" s="139">
        <f t="shared" si="382"/>
        <v>0</v>
      </c>
      <c r="KM63" s="139">
        <f t="shared" si="382"/>
        <v>0</v>
      </c>
      <c r="KN63" s="139">
        <f t="shared" si="382"/>
        <v>0</v>
      </c>
      <c r="KO63" s="139">
        <f t="shared" si="382"/>
        <v>0</v>
      </c>
      <c r="KP63" s="139">
        <f t="shared" si="382"/>
        <v>0</v>
      </c>
      <c r="KQ63" s="139">
        <f t="shared" si="382"/>
        <v>0</v>
      </c>
      <c r="KR63" s="139">
        <f t="shared" si="382"/>
        <v>0</v>
      </c>
      <c r="KS63" s="139">
        <f t="shared" si="382"/>
        <v>0</v>
      </c>
      <c r="KT63" s="139">
        <f t="shared" si="382"/>
        <v>0</v>
      </c>
      <c r="KU63" s="139">
        <f t="shared" si="382"/>
        <v>0</v>
      </c>
      <c r="KV63" s="139">
        <f t="shared" si="382"/>
        <v>0</v>
      </c>
      <c r="KW63" s="139">
        <f t="shared" si="382"/>
        <v>0</v>
      </c>
      <c r="KX63" s="139">
        <f t="shared" si="382"/>
        <v>0</v>
      </c>
      <c r="KY63" s="139">
        <f t="shared" si="382"/>
        <v>0</v>
      </c>
      <c r="KZ63" s="139">
        <f t="shared" ref="KZ63:ME63" si="383">KZ32/100</f>
        <v>0</v>
      </c>
      <c r="LA63" s="139">
        <f t="shared" si="383"/>
        <v>0</v>
      </c>
      <c r="LB63" s="139">
        <f t="shared" si="383"/>
        <v>0</v>
      </c>
      <c r="LC63" s="139">
        <f t="shared" si="383"/>
        <v>0</v>
      </c>
      <c r="LD63" s="139">
        <f t="shared" si="383"/>
        <v>0</v>
      </c>
      <c r="LE63" s="139">
        <f t="shared" si="383"/>
        <v>0</v>
      </c>
      <c r="LF63" s="139">
        <f t="shared" si="383"/>
        <v>0</v>
      </c>
      <c r="LG63" s="139">
        <f t="shared" si="383"/>
        <v>0</v>
      </c>
      <c r="LH63" s="139">
        <f t="shared" si="383"/>
        <v>0</v>
      </c>
      <c r="LI63" s="139">
        <f t="shared" si="383"/>
        <v>0</v>
      </c>
      <c r="LJ63" s="139">
        <f t="shared" si="383"/>
        <v>0</v>
      </c>
      <c r="LK63" s="139">
        <f t="shared" si="383"/>
        <v>0</v>
      </c>
      <c r="LL63" s="139">
        <f t="shared" si="383"/>
        <v>0</v>
      </c>
      <c r="LM63" s="139">
        <f t="shared" si="383"/>
        <v>0</v>
      </c>
      <c r="LN63" s="139">
        <f t="shared" si="383"/>
        <v>0</v>
      </c>
      <c r="LO63" s="139">
        <f t="shared" si="383"/>
        <v>0</v>
      </c>
      <c r="LP63" s="139">
        <f t="shared" si="383"/>
        <v>0</v>
      </c>
      <c r="LQ63" s="139">
        <f t="shared" si="383"/>
        <v>0</v>
      </c>
      <c r="LR63" s="139">
        <f t="shared" si="383"/>
        <v>0</v>
      </c>
      <c r="LS63" s="139">
        <f t="shared" si="383"/>
        <v>0</v>
      </c>
      <c r="LT63" s="139">
        <f t="shared" si="383"/>
        <v>0</v>
      </c>
      <c r="LU63" s="139">
        <f t="shared" si="383"/>
        <v>0</v>
      </c>
      <c r="LV63" s="139">
        <f t="shared" si="383"/>
        <v>0</v>
      </c>
      <c r="LW63" s="139">
        <f t="shared" si="383"/>
        <v>0</v>
      </c>
      <c r="LX63" s="139">
        <f t="shared" si="383"/>
        <v>0</v>
      </c>
      <c r="LY63" s="139">
        <f t="shared" si="383"/>
        <v>0</v>
      </c>
      <c r="LZ63" s="139">
        <f t="shared" si="383"/>
        <v>0</v>
      </c>
      <c r="MA63" s="139">
        <f t="shared" si="383"/>
        <v>0</v>
      </c>
      <c r="MB63" s="139">
        <f t="shared" si="383"/>
        <v>0</v>
      </c>
      <c r="MC63" s="139">
        <f t="shared" si="383"/>
        <v>0</v>
      </c>
      <c r="MD63" s="139">
        <f t="shared" si="383"/>
        <v>0</v>
      </c>
      <c r="ME63" s="139">
        <f t="shared" si="383"/>
        <v>0</v>
      </c>
      <c r="MF63" s="139">
        <f t="shared" ref="MF63:NK63" si="384">MF32/100</f>
        <v>0</v>
      </c>
      <c r="MG63" s="139">
        <f t="shared" si="384"/>
        <v>0</v>
      </c>
      <c r="MH63" s="139">
        <f t="shared" si="384"/>
        <v>0</v>
      </c>
      <c r="MI63" s="139">
        <f t="shared" si="384"/>
        <v>0</v>
      </c>
      <c r="MJ63" s="139">
        <f t="shared" si="384"/>
        <v>0</v>
      </c>
      <c r="MK63" s="139">
        <f t="shared" si="384"/>
        <v>0</v>
      </c>
      <c r="ML63" s="139">
        <f t="shared" si="384"/>
        <v>0</v>
      </c>
      <c r="MM63" s="139">
        <f t="shared" si="384"/>
        <v>0</v>
      </c>
      <c r="MN63" s="139">
        <f t="shared" si="384"/>
        <v>0</v>
      </c>
      <c r="MO63" s="139">
        <f t="shared" si="384"/>
        <v>0</v>
      </c>
      <c r="MP63" s="139">
        <f t="shared" si="384"/>
        <v>0</v>
      </c>
      <c r="MQ63" s="139">
        <f t="shared" si="384"/>
        <v>0</v>
      </c>
      <c r="MR63" s="139">
        <f t="shared" si="384"/>
        <v>0</v>
      </c>
      <c r="MS63" s="139">
        <f t="shared" si="384"/>
        <v>0</v>
      </c>
      <c r="MT63" s="139">
        <f t="shared" si="384"/>
        <v>0</v>
      </c>
      <c r="MU63" s="139">
        <f t="shared" si="384"/>
        <v>0</v>
      </c>
      <c r="MV63" s="139">
        <f t="shared" si="384"/>
        <v>0</v>
      </c>
      <c r="MW63" s="139">
        <f t="shared" si="384"/>
        <v>0</v>
      </c>
      <c r="MX63" s="139">
        <f t="shared" si="384"/>
        <v>0</v>
      </c>
      <c r="MY63" s="139">
        <f t="shared" si="384"/>
        <v>0</v>
      </c>
      <c r="MZ63" s="139">
        <f t="shared" si="384"/>
        <v>0</v>
      </c>
      <c r="NA63" s="139">
        <f t="shared" si="384"/>
        <v>0</v>
      </c>
      <c r="NB63" s="139">
        <f t="shared" si="384"/>
        <v>0</v>
      </c>
      <c r="NC63" s="139">
        <f t="shared" si="384"/>
        <v>0</v>
      </c>
      <c r="ND63" s="139">
        <f t="shared" si="384"/>
        <v>0</v>
      </c>
      <c r="NE63" s="139">
        <f t="shared" si="384"/>
        <v>0</v>
      </c>
      <c r="NF63" s="139">
        <f t="shared" si="384"/>
        <v>0</v>
      </c>
      <c r="NG63" s="139">
        <f t="shared" si="384"/>
        <v>0</v>
      </c>
      <c r="NH63" s="139">
        <f t="shared" si="384"/>
        <v>0</v>
      </c>
      <c r="NI63" s="139">
        <f t="shared" si="384"/>
        <v>0</v>
      </c>
      <c r="NJ63" s="139">
        <f t="shared" si="384"/>
        <v>0</v>
      </c>
      <c r="NK63" s="139">
        <f t="shared" si="384"/>
        <v>0</v>
      </c>
      <c r="NL63" s="139">
        <f t="shared" ref="NL63:OQ63" si="385">NL32/100</f>
        <v>0</v>
      </c>
      <c r="NM63" s="139">
        <f t="shared" si="385"/>
        <v>0</v>
      </c>
      <c r="NN63" s="139">
        <f t="shared" si="385"/>
        <v>0</v>
      </c>
      <c r="NO63" s="139">
        <f t="shared" si="385"/>
        <v>0</v>
      </c>
      <c r="NP63" s="139">
        <f t="shared" si="385"/>
        <v>0</v>
      </c>
      <c r="NQ63" s="139">
        <f t="shared" si="385"/>
        <v>0</v>
      </c>
      <c r="NR63" s="139">
        <f t="shared" si="385"/>
        <v>0</v>
      </c>
      <c r="NS63" s="139">
        <f t="shared" si="385"/>
        <v>0</v>
      </c>
      <c r="NT63" s="139">
        <f t="shared" si="385"/>
        <v>0</v>
      </c>
      <c r="NU63" s="139">
        <f t="shared" si="385"/>
        <v>0</v>
      </c>
      <c r="NV63" s="139">
        <f t="shared" si="385"/>
        <v>0</v>
      </c>
      <c r="NW63" s="139">
        <f t="shared" si="385"/>
        <v>0</v>
      </c>
      <c r="NX63" s="139">
        <f t="shared" si="385"/>
        <v>0</v>
      </c>
      <c r="NY63" s="139">
        <f t="shared" si="385"/>
        <v>0</v>
      </c>
      <c r="NZ63" s="139">
        <f t="shared" si="385"/>
        <v>0</v>
      </c>
      <c r="OA63" s="139">
        <f t="shared" si="385"/>
        <v>0</v>
      </c>
      <c r="OB63" s="139">
        <f t="shared" si="385"/>
        <v>0</v>
      </c>
      <c r="OC63" s="139">
        <f t="shared" si="385"/>
        <v>0</v>
      </c>
      <c r="OD63" s="139">
        <f t="shared" si="385"/>
        <v>0</v>
      </c>
      <c r="OE63" s="139">
        <f t="shared" si="385"/>
        <v>0</v>
      </c>
      <c r="OF63" s="139">
        <f t="shared" si="385"/>
        <v>0</v>
      </c>
      <c r="OG63" s="139">
        <f t="shared" si="385"/>
        <v>0</v>
      </c>
      <c r="OH63" s="139">
        <f t="shared" si="385"/>
        <v>0</v>
      </c>
      <c r="OI63" s="139">
        <f t="shared" si="385"/>
        <v>0</v>
      </c>
      <c r="OJ63" s="139">
        <f t="shared" si="385"/>
        <v>0</v>
      </c>
      <c r="OK63" s="139">
        <f t="shared" si="385"/>
        <v>0</v>
      </c>
      <c r="OL63" s="139">
        <f t="shared" si="385"/>
        <v>0</v>
      </c>
      <c r="OM63" s="139">
        <f t="shared" si="385"/>
        <v>0</v>
      </c>
      <c r="ON63" s="139">
        <f t="shared" si="385"/>
        <v>0</v>
      </c>
      <c r="OO63" s="139">
        <f t="shared" si="385"/>
        <v>0</v>
      </c>
      <c r="OP63" s="139">
        <f t="shared" si="385"/>
        <v>0</v>
      </c>
      <c r="OQ63" s="139">
        <f t="shared" si="385"/>
        <v>0</v>
      </c>
      <c r="OR63" s="139">
        <f t="shared" ref="OR63:PW63" si="386">OR32/100</f>
        <v>0</v>
      </c>
      <c r="OS63" s="139">
        <f t="shared" si="386"/>
        <v>0</v>
      </c>
      <c r="OT63" s="139">
        <f t="shared" si="386"/>
        <v>0</v>
      </c>
      <c r="OU63" s="139">
        <f t="shared" si="386"/>
        <v>0</v>
      </c>
      <c r="OV63" s="139">
        <f t="shared" si="386"/>
        <v>0</v>
      </c>
      <c r="OW63" s="139">
        <f t="shared" si="386"/>
        <v>0</v>
      </c>
      <c r="OX63" s="139">
        <f t="shared" si="386"/>
        <v>0</v>
      </c>
      <c r="OY63" s="139">
        <f t="shared" si="386"/>
        <v>0</v>
      </c>
      <c r="OZ63" s="139">
        <f t="shared" si="386"/>
        <v>0</v>
      </c>
      <c r="PA63" s="139">
        <f t="shared" si="386"/>
        <v>0</v>
      </c>
      <c r="PB63" s="139">
        <f t="shared" si="386"/>
        <v>0</v>
      </c>
      <c r="PC63" s="139">
        <f t="shared" si="386"/>
        <v>0</v>
      </c>
      <c r="PD63" s="139">
        <f t="shared" si="386"/>
        <v>0</v>
      </c>
      <c r="PE63" s="139">
        <f t="shared" si="386"/>
        <v>0</v>
      </c>
      <c r="PF63" s="139">
        <f t="shared" si="386"/>
        <v>0</v>
      </c>
      <c r="PG63" s="139">
        <f t="shared" si="386"/>
        <v>0</v>
      </c>
      <c r="PH63" s="139">
        <f t="shared" si="386"/>
        <v>0</v>
      </c>
      <c r="PI63" s="139">
        <f t="shared" si="386"/>
        <v>0</v>
      </c>
      <c r="PJ63" s="139">
        <f t="shared" si="386"/>
        <v>0</v>
      </c>
      <c r="PK63" s="139">
        <f t="shared" si="386"/>
        <v>0</v>
      </c>
      <c r="PL63" s="139">
        <f t="shared" si="386"/>
        <v>0</v>
      </c>
      <c r="PM63" s="139">
        <f t="shared" si="386"/>
        <v>0</v>
      </c>
      <c r="PN63" s="139">
        <f t="shared" si="386"/>
        <v>0</v>
      </c>
      <c r="PO63" s="139">
        <f t="shared" si="386"/>
        <v>0</v>
      </c>
      <c r="PP63" s="139">
        <f t="shared" si="386"/>
        <v>0</v>
      </c>
      <c r="PQ63" s="139">
        <f t="shared" si="386"/>
        <v>0</v>
      </c>
      <c r="PR63" s="139">
        <f t="shared" si="386"/>
        <v>0</v>
      </c>
      <c r="PS63" s="139">
        <f t="shared" si="386"/>
        <v>0</v>
      </c>
      <c r="PT63" s="139">
        <f t="shared" si="386"/>
        <v>0</v>
      </c>
      <c r="PU63" s="139">
        <f t="shared" si="386"/>
        <v>0</v>
      </c>
      <c r="PV63" s="139">
        <f t="shared" si="386"/>
        <v>0</v>
      </c>
      <c r="PW63" s="139">
        <f t="shared" si="386"/>
        <v>0</v>
      </c>
      <c r="PX63" s="139">
        <f t="shared" ref="PX63:QN63" si="387">PX32/100</f>
        <v>0</v>
      </c>
      <c r="PY63" s="139">
        <f t="shared" si="387"/>
        <v>0</v>
      </c>
      <c r="PZ63" s="139">
        <f t="shared" si="387"/>
        <v>0</v>
      </c>
      <c r="QA63" s="139">
        <f t="shared" si="387"/>
        <v>0</v>
      </c>
      <c r="QB63" s="139">
        <f t="shared" si="387"/>
        <v>0</v>
      </c>
      <c r="QC63" s="139">
        <f t="shared" si="387"/>
        <v>0</v>
      </c>
      <c r="QD63" s="139">
        <f t="shared" si="387"/>
        <v>0</v>
      </c>
      <c r="QE63" s="139">
        <f t="shared" si="387"/>
        <v>0</v>
      </c>
      <c r="QF63" s="139">
        <f t="shared" si="387"/>
        <v>0</v>
      </c>
      <c r="QG63" s="139">
        <f t="shared" si="387"/>
        <v>0</v>
      </c>
      <c r="QH63" s="139">
        <f t="shared" si="387"/>
        <v>0</v>
      </c>
      <c r="QI63" s="139">
        <f t="shared" si="387"/>
        <v>0</v>
      </c>
      <c r="QJ63" s="139">
        <f t="shared" si="387"/>
        <v>0</v>
      </c>
      <c r="QK63" s="139">
        <f t="shared" si="387"/>
        <v>0</v>
      </c>
      <c r="QL63" s="139">
        <f t="shared" si="387"/>
        <v>0</v>
      </c>
      <c r="QM63" s="139">
        <f t="shared" si="387"/>
        <v>0</v>
      </c>
      <c r="QN63" s="139">
        <f t="shared" si="387"/>
        <v>0</v>
      </c>
      <c r="QO63" s="139">
        <f>QO32/40</f>
        <v>0</v>
      </c>
      <c r="QP63" s="139">
        <f>QP32/100</f>
        <v>0</v>
      </c>
      <c r="QQ63" s="139">
        <f>QQ32/100</f>
        <v>0</v>
      </c>
      <c r="QR63" s="139">
        <f>QR32/40</f>
        <v>0</v>
      </c>
      <c r="QS63" s="139">
        <f>QS32/100</f>
        <v>0</v>
      </c>
      <c r="QT63" s="139">
        <f>QT32/100</f>
        <v>0</v>
      </c>
      <c r="RA63" s="139">
        <f t="shared" ref="RA63:RF63" si="388">RA32/100</f>
        <v>0</v>
      </c>
      <c r="RB63" s="139">
        <f t="shared" si="388"/>
        <v>0</v>
      </c>
      <c r="RC63" s="139">
        <f t="shared" si="388"/>
        <v>0</v>
      </c>
      <c r="RD63" s="139">
        <f t="shared" si="388"/>
        <v>0</v>
      </c>
      <c r="RE63" s="139">
        <f t="shared" si="388"/>
        <v>0</v>
      </c>
      <c r="RF63" s="139">
        <f t="shared" si="388"/>
        <v>0</v>
      </c>
      <c r="RG63" s="70"/>
      <c r="RM63" s="145"/>
      <c r="SB63" s="70">
        <f>SB32/40</f>
        <v>0</v>
      </c>
      <c r="SC63" s="70">
        <f>SC32/40</f>
        <v>0</v>
      </c>
      <c r="SD63" s="70">
        <f>SD32/40</f>
        <v>0</v>
      </c>
      <c r="SE63" s="70">
        <f t="shared" ref="SE63:SU63" si="389">SE32/100</f>
        <v>0</v>
      </c>
      <c r="SF63" s="70">
        <f t="shared" si="389"/>
        <v>0</v>
      </c>
      <c r="SG63" s="70">
        <f t="shared" si="389"/>
        <v>0</v>
      </c>
      <c r="SH63" s="70">
        <f t="shared" si="389"/>
        <v>0</v>
      </c>
      <c r="SI63" s="70">
        <f t="shared" si="389"/>
        <v>0</v>
      </c>
      <c r="SJ63" s="70">
        <f t="shared" si="389"/>
        <v>0</v>
      </c>
      <c r="SK63" s="70">
        <f t="shared" si="389"/>
        <v>0</v>
      </c>
      <c r="SL63" s="70">
        <f t="shared" si="389"/>
        <v>0</v>
      </c>
      <c r="SM63" s="70">
        <f t="shared" si="389"/>
        <v>0</v>
      </c>
      <c r="SN63" s="70">
        <f t="shared" si="389"/>
        <v>0</v>
      </c>
      <c r="SO63" s="70">
        <f t="shared" si="389"/>
        <v>0</v>
      </c>
      <c r="SP63" s="70">
        <f t="shared" si="389"/>
        <v>0</v>
      </c>
      <c r="SQ63" s="70">
        <f t="shared" si="389"/>
        <v>0</v>
      </c>
      <c r="SR63" s="70">
        <f t="shared" si="389"/>
        <v>0</v>
      </c>
      <c r="SS63" s="70">
        <f t="shared" si="389"/>
        <v>0</v>
      </c>
      <c r="ST63" s="70">
        <f t="shared" si="389"/>
        <v>0</v>
      </c>
      <c r="SU63" s="70">
        <f t="shared" si="389"/>
        <v>0</v>
      </c>
      <c r="SV63" s="139">
        <f>SV32/40</f>
        <v>0</v>
      </c>
      <c r="SW63" s="139">
        <f>SW32/40</f>
        <v>0</v>
      </c>
      <c r="SX63" s="70">
        <f t="shared" ref="SX63:TR63" si="390">SX32/100</f>
        <v>0</v>
      </c>
      <c r="SY63" s="70">
        <f t="shared" si="390"/>
        <v>0</v>
      </c>
      <c r="SZ63" s="70">
        <f t="shared" si="390"/>
        <v>0</v>
      </c>
      <c r="TA63" s="70">
        <f t="shared" si="390"/>
        <v>0</v>
      </c>
      <c r="TB63" s="70">
        <f t="shared" si="390"/>
        <v>0</v>
      </c>
      <c r="TC63" s="70">
        <f t="shared" si="390"/>
        <v>0</v>
      </c>
      <c r="TD63" s="70">
        <f t="shared" si="390"/>
        <v>0</v>
      </c>
      <c r="TE63" s="70">
        <f t="shared" si="390"/>
        <v>0</v>
      </c>
      <c r="TF63" s="70">
        <f t="shared" si="390"/>
        <v>0</v>
      </c>
      <c r="TG63" s="70">
        <f t="shared" si="390"/>
        <v>0</v>
      </c>
      <c r="TH63" s="70">
        <f t="shared" si="390"/>
        <v>0</v>
      </c>
      <c r="TI63" s="70">
        <f t="shared" si="390"/>
        <v>0</v>
      </c>
      <c r="TJ63" s="70">
        <f t="shared" si="390"/>
        <v>0</v>
      </c>
      <c r="TK63" s="70">
        <f t="shared" si="390"/>
        <v>0</v>
      </c>
      <c r="TL63" s="70">
        <f t="shared" si="390"/>
        <v>0</v>
      </c>
      <c r="TM63" s="70">
        <f t="shared" si="390"/>
        <v>0</v>
      </c>
      <c r="TN63" s="70">
        <f t="shared" si="390"/>
        <v>0</v>
      </c>
      <c r="TO63" s="70">
        <f t="shared" si="390"/>
        <v>0</v>
      </c>
      <c r="TP63" s="70">
        <f t="shared" si="390"/>
        <v>0</v>
      </c>
      <c r="TQ63" s="70">
        <f t="shared" si="390"/>
        <v>0</v>
      </c>
      <c r="TR63" s="70">
        <f t="shared" si="390"/>
        <v>0</v>
      </c>
      <c r="TS63" s="139">
        <f>TS32/40</f>
        <v>0</v>
      </c>
      <c r="TT63" s="70">
        <f t="shared" ref="TT63:UY63" si="391">TT32/100</f>
        <v>0</v>
      </c>
      <c r="TU63" s="70">
        <f t="shared" si="391"/>
        <v>0</v>
      </c>
      <c r="TV63" s="70">
        <f t="shared" si="391"/>
        <v>0</v>
      </c>
      <c r="TW63" s="70">
        <f t="shared" si="391"/>
        <v>0</v>
      </c>
      <c r="TX63" s="70">
        <f t="shared" si="391"/>
        <v>0</v>
      </c>
      <c r="TY63" s="70">
        <f t="shared" si="391"/>
        <v>0</v>
      </c>
      <c r="TZ63" s="70">
        <f t="shared" si="391"/>
        <v>0</v>
      </c>
      <c r="UA63" s="70">
        <f t="shared" si="391"/>
        <v>0</v>
      </c>
      <c r="UB63" s="70">
        <f t="shared" si="391"/>
        <v>0</v>
      </c>
      <c r="UC63" s="70">
        <f t="shared" si="391"/>
        <v>0</v>
      </c>
      <c r="UD63" s="70">
        <f t="shared" si="391"/>
        <v>0</v>
      </c>
      <c r="UE63" s="70">
        <f t="shared" si="391"/>
        <v>0</v>
      </c>
      <c r="UF63" s="70">
        <f t="shared" si="391"/>
        <v>0</v>
      </c>
      <c r="UG63" s="70">
        <f t="shared" si="391"/>
        <v>0</v>
      </c>
      <c r="UH63" s="70">
        <f t="shared" si="391"/>
        <v>0</v>
      </c>
      <c r="UI63" s="70">
        <f t="shared" si="391"/>
        <v>0</v>
      </c>
      <c r="UJ63" s="70">
        <f t="shared" si="391"/>
        <v>0</v>
      </c>
      <c r="UK63" s="70">
        <f t="shared" si="391"/>
        <v>0</v>
      </c>
      <c r="UL63" s="70">
        <f t="shared" si="391"/>
        <v>0</v>
      </c>
      <c r="UM63" s="70">
        <f t="shared" si="391"/>
        <v>0</v>
      </c>
      <c r="UN63" s="70">
        <f t="shared" si="391"/>
        <v>0</v>
      </c>
      <c r="UO63" s="70">
        <f t="shared" si="391"/>
        <v>0</v>
      </c>
      <c r="UP63" s="70">
        <f t="shared" si="391"/>
        <v>0</v>
      </c>
      <c r="UQ63" s="70">
        <f t="shared" si="391"/>
        <v>0</v>
      </c>
      <c r="UR63" s="70">
        <f t="shared" si="391"/>
        <v>0</v>
      </c>
      <c r="US63" s="70">
        <f t="shared" si="391"/>
        <v>0</v>
      </c>
      <c r="UT63" s="70">
        <f t="shared" si="391"/>
        <v>0</v>
      </c>
      <c r="UU63" s="70">
        <f t="shared" si="391"/>
        <v>0</v>
      </c>
      <c r="UV63" s="70">
        <f t="shared" si="391"/>
        <v>0</v>
      </c>
      <c r="UW63" s="70">
        <f t="shared" si="391"/>
        <v>0</v>
      </c>
      <c r="UX63" s="70">
        <f t="shared" si="391"/>
        <v>0</v>
      </c>
      <c r="UY63" s="70">
        <f t="shared" si="391"/>
        <v>0</v>
      </c>
      <c r="UZ63" s="70">
        <f t="shared" ref="UZ63:WE63" si="392">UZ32/100</f>
        <v>0</v>
      </c>
      <c r="VA63" s="70">
        <f t="shared" si="392"/>
        <v>0</v>
      </c>
      <c r="VB63" s="70">
        <f t="shared" si="392"/>
        <v>0</v>
      </c>
      <c r="VC63" s="70">
        <f t="shared" si="392"/>
        <v>0</v>
      </c>
      <c r="VD63" s="70">
        <f t="shared" si="392"/>
        <v>0</v>
      </c>
      <c r="VE63" s="70">
        <f t="shared" si="392"/>
        <v>0</v>
      </c>
      <c r="VF63" s="70">
        <f t="shared" si="392"/>
        <v>0</v>
      </c>
      <c r="VG63" s="70">
        <f t="shared" si="392"/>
        <v>0</v>
      </c>
      <c r="VH63" s="70">
        <f t="shared" si="392"/>
        <v>0</v>
      </c>
      <c r="VI63" s="70">
        <f t="shared" si="392"/>
        <v>0</v>
      </c>
      <c r="VJ63" s="70">
        <f t="shared" si="392"/>
        <v>0</v>
      </c>
      <c r="VK63" s="70">
        <f t="shared" si="392"/>
        <v>0</v>
      </c>
      <c r="VL63" s="70">
        <f t="shared" si="392"/>
        <v>0</v>
      </c>
      <c r="VM63" s="70">
        <f t="shared" si="392"/>
        <v>0</v>
      </c>
      <c r="VN63" s="70">
        <f t="shared" si="392"/>
        <v>0</v>
      </c>
      <c r="VO63" s="70">
        <f t="shared" si="392"/>
        <v>0</v>
      </c>
      <c r="VP63" s="70">
        <f t="shared" si="392"/>
        <v>0</v>
      </c>
      <c r="VQ63" s="70">
        <f t="shared" si="392"/>
        <v>0</v>
      </c>
      <c r="VR63" s="70">
        <f t="shared" si="392"/>
        <v>0</v>
      </c>
      <c r="VS63" s="70">
        <f t="shared" si="392"/>
        <v>0</v>
      </c>
      <c r="VT63" s="70">
        <f t="shared" si="392"/>
        <v>0</v>
      </c>
      <c r="VU63" s="70">
        <f t="shared" si="392"/>
        <v>0</v>
      </c>
      <c r="VV63" s="70">
        <f t="shared" si="392"/>
        <v>0</v>
      </c>
      <c r="VW63" s="70">
        <f t="shared" si="392"/>
        <v>0</v>
      </c>
      <c r="VX63" s="70">
        <f t="shared" si="392"/>
        <v>0</v>
      </c>
      <c r="VY63" s="70">
        <f t="shared" si="392"/>
        <v>0</v>
      </c>
      <c r="VZ63" s="70">
        <f t="shared" si="392"/>
        <v>0</v>
      </c>
      <c r="WA63" s="70">
        <f t="shared" si="392"/>
        <v>0</v>
      </c>
      <c r="WB63" s="70">
        <f t="shared" si="392"/>
        <v>0</v>
      </c>
      <c r="WC63" s="70">
        <f t="shared" si="392"/>
        <v>0</v>
      </c>
      <c r="WD63" s="70">
        <f t="shared" si="392"/>
        <v>0</v>
      </c>
      <c r="WE63" s="70">
        <f t="shared" si="392"/>
        <v>0</v>
      </c>
      <c r="WF63" s="70">
        <f t="shared" ref="WF63:WS63" si="393">WF32/100</f>
        <v>0</v>
      </c>
      <c r="WG63" s="70">
        <f t="shared" si="393"/>
        <v>0</v>
      </c>
      <c r="WH63" s="70">
        <f t="shared" si="393"/>
        <v>0</v>
      </c>
      <c r="WI63" s="70">
        <f t="shared" si="393"/>
        <v>0</v>
      </c>
      <c r="WJ63" s="70">
        <f t="shared" si="393"/>
        <v>0</v>
      </c>
      <c r="WK63" s="70">
        <f t="shared" si="393"/>
        <v>0</v>
      </c>
      <c r="WL63" s="70">
        <f t="shared" si="393"/>
        <v>0</v>
      </c>
      <c r="WM63" s="70">
        <f t="shared" si="393"/>
        <v>0</v>
      </c>
      <c r="WN63" s="70">
        <f t="shared" si="393"/>
        <v>0</v>
      </c>
      <c r="WO63" s="70">
        <f t="shared" si="393"/>
        <v>0</v>
      </c>
      <c r="WP63" s="70">
        <f t="shared" si="393"/>
        <v>0</v>
      </c>
      <c r="WQ63" s="70">
        <f t="shared" si="393"/>
        <v>0</v>
      </c>
      <c r="WR63" s="70">
        <f t="shared" si="393"/>
        <v>0</v>
      </c>
      <c r="WS63" s="70">
        <f t="shared" si="393"/>
        <v>0</v>
      </c>
    </row>
    <row r="64" spans="1:830" hidden="1" x14ac:dyDescent="0.25">
      <c r="M64" t="s">
        <v>610</v>
      </c>
      <c r="N64" s="139">
        <f t="shared" ref="N64:AS64" si="394">N38/40</f>
        <v>0</v>
      </c>
      <c r="O64" s="139">
        <f t="shared" si="394"/>
        <v>0</v>
      </c>
      <c r="P64" s="139">
        <f t="shared" si="394"/>
        <v>0</v>
      </c>
      <c r="Q64" s="139">
        <f t="shared" si="394"/>
        <v>0</v>
      </c>
      <c r="R64" s="139">
        <f t="shared" si="394"/>
        <v>0</v>
      </c>
      <c r="S64" s="139">
        <f t="shared" si="394"/>
        <v>0</v>
      </c>
      <c r="T64" s="139">
        <f t="shared" si="394"/>
        <v>0</v>
      </c>
      <c r="U64" s="139">
        <f t="shared" si="394"/>
        <v>0</v>
      </c>
      <c r="V64" s="139">
        <f t="shared" si="394"/>
        <v>0</v>
      </c>
      <c r="W64" s="139">
        <f t="shared" si="394"/>
        <v>0</v>
      </c>
      <c r="X64" s="139">
        <f t="shared" si="394"/>
        <v>0</v>
      </c>
      <c r="Y64" s="139">
        <f t="shared" si="394"/>
        <v>0</v>
      </c>
      <c r="Z64" s="139">
        <f t="shared" si="394"/>
        <v>0</v>
      </c>
      <c r="AA64" s="139">
        <f t="shared" si="394"/>
        <v>0</v>
      </c>
      <c r="AB64" s="139">
        <f t="shared" si="394"/>
        <v>0</v>
      </c>
      <c r="AC64" s="139">
        <f t="shared" si="394"/>
        <v>0</v>
      </c>
      <c r="AD64" s="139">
        <f t="shared" si="394"/>
        <v>0</v>
      </c>
      <c r="AE64" s="139">
        <f t="shared" si="394"/>
        <v>0</v>
      </c>
      <c r="AF64" s="139">
        <f t="shared" si="394"/>
        <v>0</v>
      </c>
      <c r="AG64" s="139">
        <f t="shared" si="394"/>
        <v>0</v>
      </c>
      <c r="AH64" s="139">
        <f t="shared" si="394"/>
        <v>0</v>
      </c>
      <c r="AI64" s="139">
        <f t="shared" si="394"/>
        <v>0</v>
      </c>
      <c r="AJ64" s="139">
        <f t="shared" si="394"/>
        <v>0</v>
      </c>
      <c r="AK64" s="139">
        <f t="shared" si="394"/>
        <v>0</v>
      </c>
      <c r="AL64" s="139">
        <f t="shared" si="394"/>
        <v>0</v>
      </c>
      <c r="AM64" s="139">
        <f t="shared" si="394"/>
        <v>0</v>
      </c>
      <c r="AN64" s="139">
        <f t="shared" si="394"/>
        <v>0</v>
      </c>
      <c r="AO64" s="139">
        <f t="shared" si="394"/>
        <v>0</v>
      </c>
      <c r="AP64" s="139">
        <f t="shared" si="394"/>
        <v>0</v>
      </c>
      <c r="AQ64" s="139">
        <f t="shared" si="394"/>
        <v>0</v>
      </c>
      <c r="AR64" s="139">
        <f t="shared" si="394"/>
        <v>0</v>
      </c>
      <c r="AS64" s="139">
        <f t="shared" si="394"/>
        <v>0</v>
      </c>
      <c r="AT64" s="139">
        <f t="shared" ref="AT64:BY64" si="395">AT38/40</f>
        <v>0</v>
      </c>
      <c r="AU64" s="139">
        <f t="shared" si="395"/>
        <v>0</v>
      </c>
      <c r="AV64" s="139">
        <f t="shared" si="395"/>
        <v>0</v>
      </c>
      <c r="AW64" s="139">
        <f t="shared" si="395"/>
        <v>0</v>
      </c>
      <c r="AX64" s="139">
        <f t="shared" si="395"/>
        <v>0</v>
      </c>
      <c r="AY64" s="139">
        <f t="shared" si="395"/>
        <v>0</v>
      </c>
      <c r="AZ64" s="139">
        <f t="shared" si="395"/>
        <v>0</v>
      </c>
      <c r="BA64" s="139">
        <f t="shared" si="395"/>
        <v>0</v>
      </c>
      <c r="BB64" s="139">
        <f t="shared" si="395"/>
        <v>0</v>
      </c>
      <c r="BC64" s="139">
        <f t="shared" si="395"/>
        <v>0</v>
      </c>
      <c r="BD64" s="139">
        <f t="shared" si="395"/>
        <v>0</v>
      </c>
      <c r="BE64" s="139">
        <f t="shared" si="395"/>
        <v>0</v>
      </c>
      <c r="BF64" s="139">
        <f t="shared" si="395"/>
        <v>0</v>
      </c>
      <c r="BG64" s="139">
        <f t="shared" si="395"/>
        <v>0</v>
      </c>
      <c r="BH64" s="139">
        <f t="shared" si="395"/>
        <v>0</v>
      </c>
      <c r="BI64" s="139">
        <f t="shared" si="395"/>
        <v>0</v>
      </c>
      <c r="BJ64" s="139">
        <f t="shared" si="395"/>
        <v>0</v>
      </c>
      <c r="BK64" s="139">
        <f t="shared" si="395"/>
        <v>0</v>
      </c>
      <c r="BL64" s="139">
        <f t="shared" si="395"/>
        <v>0</v>
      </c>
      <c r="BM64" s="139">
        <f t="shared" si="395"/>
        <v>0</v>
      </c>
      <c r="BN64" s="139">
        <f t="shared" si="395"/>
        <v>0</v>
      </c>
      <c r="BO64" s="139">
        <f t="shared" si="395"/>
        <v>0</v>
      </c>
      <c r="BP64" s="139">
        <f t="shared" si="395"/>
        <v>0</v>
      </c>
      <c r="BQ64" s="139">
        <f t="shared" si="395"/>
        <v>0</v>
      </c>
      <c r="BR64" s="139">
        <f t="shared" si="395"/>
        <v>0</v>
      </c>
      <c r="BS64" s="139">
        <f t="shared" si="395"/>
        <v>0</v>
      </c>
      <c r="BT64" s="139">
        <f t="shared" si="395"/>
        <v>0</v>
      </c>
      <c r="BU64" s="139">
        <f t="shared" si="395"/>
        <v>0</v>
      </c>
      <c r="BV64" s="139">
        <f t="shared" si="395"/>
        <v>0</v>
      </c>
      <c r="BW64" s="139">
        <f t="shared" si="395"/>
        <v>0</v>
      </c>
      <c r="BX64" s="139">
        <f t="shared" si="395"/>
        <v>0</v>
      </c>
      <c r="BY64" s="139">
        <f t="shared" si="395"/>
        <v>0</v>
      </c>
      <c r="BZ64" s="139">
        <f t="shared" ref="BZ64:CI64" si="396">BZ38/40</f>
        <v>0</v>
      </c>
      <c r="CA64" s="139">
        <f t="shared" si="396"/>
        <v>0</v>
      </c>
      <c r="CB64" s="139">
        <f t="shared" si="396"/>
        <v>0</v>
      </c>
      <c r="CC64" s="139">
        <f t="shared" si="396"/>
        <v>0</v>
      </c>
      <c r="CD64" s="139">
        <f t="shared" si="396"/>
        <v>0</v>
      </c>
      <c r="CE64" s="139">
        <f t="shared" si="396"/>
        <v>0</v>
      </c>
      <c r="CF64" s="139">
        <f t="shared" si="396"/>
        <v>0</v>
      </c>
      <c r="CG64" s="139">
        <f t="shared" si="396"/>
        <v>0</v>
      </c>
      <c r="CH64" s="139">
        <f t="shared" si="396"/>
        <v>0</v>
      </c>
      <c r="CI64" s="139">
        <f t="shared" si="396"/>
        <v>0</v>
      </c>
      <c r="CJ64" s="139">
        <f t="shared" ref="CJ64:DO64" si="397">CJ38/100</f>
        <v>0</v>
      </c>
      <c r="CK64" s="139">
        <f t="shared" si="397"/>
        <v>0</v>
      </c>
      <c r="CL64" s="139">
        <f t="shared" si="397"/>
        <v>0</v>
      </c>
      <c r="CM64" s="139">
        <f t="shared" si="397"/>
        <v>0</v>
      </c>
      <c r="CN64" s="139">
        <f t="shared" si="397"/>
        <v>0</v>
      </c>
      <c r="CO64" s="139">
        <f t="shared" si="397"/>
        <v>0</v>
      </c>
      <c r="CP64" s="139">
        <f t="shared" si="397"/>
        <v>0</v>
      </c>
      <c r="CQ64" s="139">
        <f t="shared" si="397"/>
        <v>0</v>
      </c>
      <c r="CR64" s="139">
        <f t="shared" si="397"/>
        <v>0</v>
      </c>
      <c r="CS64" s="139">
        <f t="shared" si="397"/>
        <v>0</v>
      </c>
      <c r="CT64" s="139">
        <f t="shared" si="397"/>
        <v>0</v>
      </c>
      <c r="CU64" s="139">
        <f t="shared" si="397"/>
        <v>0</v>
      </c>
      <c r="CV64" s="139">
        <f t="shared" si="397"/>
        <v>0</v>
      </c>
      <c r="CW64" s="139">
        <f t="shared" si="397"/>
        <v>0</v>
      </c>
      <c r="CX64" s="139">
        <f t="shared" si="397"/>
        <v>0</v>
      </c>
      <c r="CY64" s="139">
        <f t="shared" si="397"/>
        <v>0</v>
      </c>
      <c r="CZ64" s="139">
        <f t="shared" si="397"/>
        <v>0</v>
      </c>
      <c r="DA64" s="139">
        <f t="shared" si="397"/>
        <v>0</v>
      </c>
      <c r="DB64" s="139">
        <f t="shared" si="397"/>
        <v>0</v>
      </c>
      <c r="DC64" s="139">
        <f t="shared" si="397"/>
        <v>0</v>
      </c>
      <c r="DD64" s="139">
        <f t="shared" si="397"/>
        <v>0</v>
      </c>
      <c r="DE64" s="139">
        <f t="shared" si="397"/>
        <v>0</v>
      </c>
      <c r="DF64" s="139">
        <f t="shared" si="397"/>
        <v>0</v>
      </c>
      <c r="DG64" s="139">
        <f t="shared" si="397"/>
        <v>0</v>
      </c>
      <c r="DH64" s="139">
        <f t="shared" si="397"/>
        <v>0</v>
      </c>
      <c r="DI64" s="139">
        <f t="shared" si="397"/>
        <v>0</v>
      </c>
      <c r="DJ64" s="139">
        <f t="shared" si="397"/>
        <v>0</v>
      </c>
      <c r="DK64" s="139">
        <f t="shared" si="397"/>
        <v>0</v>
      </c>
      <c r="DL64" s="139">
        <f t="shared" si="397"/>
        <v>0</v>
      </c>
      <c r="DM64" s="139">
        <f t="shared" si="397"/>
        <v>0</v>
      </c>
      <c r="DN64" s="139">
        <f t="shared" si="397"/>
        <v>0</v>
      </c>
      <c r="DO64" s="139">
        <f t="shared" si="397"/>
        <v>0</v>
      </c>
      <c r="DP64" s="139">
        <f t="shared" ref="DP64:EU64" si="398">DP38/100</f>
        <v>0</v>
      </c>
      <c r="DQ64" s="139">
        <f t="shared" si="398"/>
        <v>0</v>
      </c>
      <c r="DR64" s="139">
        <f t="shared" si="398"/>
        <v>0</v>
      </c>
      <c r="DS64" s="139">
        <f t="shared" si="398"/>
        <v>0</v>
      </c>
      <c r="DT64" s="139">
        <f t="shared" si="398"/>
        <v>0</v>
      </c>
      <c r="DU64" s="139">
        <f t="shared" si="398"/>
        <v>0</v>
      </c>
      <c r="DV64" s="139">
        <f t="shared" si="398"/>
        <v>0</v>
      </c>
      <c r="DW64" s="139">
        <f t="shared" si="398"/>
        <v>0</v>
      </c>
      <c r="DX64" s="139">
        <f t="shared" si="398"/>
        <v>0</v>
      </c>
      <c r="DY64" s="139">
        <f t="shared" si="398"/>
        <v>0</v>
      </c>
      <c r="DZ64" s="139">
        <f t="shared" si="398"/>
        <v>0</v>
      </c>
      <c r="EA64" s="139">
        <f t="shared" si="398"/>
        <v>0</v>
      </c>
      <c r="EB64" s="139">
        <f t="shared" si="398"/>
        <v>0</v>
      </c>
      <c r="EC64" s="139">
        <f t="shared" si="398"/>
        <v>0</v>
      </c>
      <c r="ED64" s="139">
        <f t="shared" si="398"/>
        <v>0</v>
      </c>
      <c r="EE64" s="139">
        <f t="shared" si="398"/>
        <v>0</v>
      </c>
      <c r="EF64" s="139">
        <f t="shared" si="398"/>
        <v>0</v>
      </c>
      <c r="EG64" s="139">
        <f t="shared" si="398"/>
        <v>0</v>
      </c>
      <c r="EH64" s="139">
        <f t="shared" si="398"/>
        <v>0</v>
      </c>
      <c r="EI64" s="139">
        <f t="shared" si="398"/>
        <v>0</v>
      </c>
      <c r="EJ64" s="139">
        <f t="shared" si="398"/>
        <v>0</v>
      </c>
      <c r="EK64" s="139">
        <f t="shared" si="398"/>
        <v>0</v>
      </c>
      <c r="EL64" s="139">
        <f t="shared" si="398"/>
        <v>0</v>
      </c>
      <c r="EM64" s="139">
        <f t="shared" si="398"/>
        <v>0</v>
      </c>
      <c r="EN64" s="139">
        <f t="shared" si="398"/>
        <v>0</v>
      </c>
      <c r="EO64" s="139">
        <f t="shared" si="398"/>
        <v>0</v>
      </c>
      <c r="EP64" s="139">
        <f t="shared" si="398"/>
        <v>0</v>
      </c>
      <c r="EQ64" s="139">
        <f t="shared" si="398"/>
        <v>0</v>
      </c>
      <c r="ER64" s="139">
        <f t="shared" si="398"/>
        <v>0</v>
      </c>
      <c r="ES64" s="139">
        <f t="shared" si="398"/>
        <v>0</v>
      </c>
      <c r="ET64" s="139">
        <f t="shared" si="398"/>
        <v>0</v>
      </c>
      <c r="EU64" s="139">
        <f t="shared" si="398"/>
        <v>0</v>
      </c>
      <c r="EV64" s="139">
        <f t="shared" ref="EV64:GA64" si="399">EV38/100</f>
        <v>0</v>
      </c>
      <c r="EW64" s="139">
        <f t="shared" si="399"/>
        <v>0</v>
      </c>
      <c r="EX64" s="139">
        <f t="shared" si="399"/>
        <v>0</v>
      </c>
      <c r="EY64" s="139">
        <f t="shared" si="399"/>
        <v>0</v>
      </c>
      <c r="EZ64" s="139">
        <f t="shared" si="399"/>
        <v>0</v>
      </c>
      <c r="FA64" s="139">
        <f t="shared" si="399"/>
        <v>0</v>
      </c>
      <c r="FB64" s="139">
        <f t="shared" si="399"/>
        <v>0</v>
      </c>
      <c r="FC64" s="139">
        <f t="shared" si="399"/>
        <v>0</v>
      </c>
      <c r="FD64" s="139">
        <f t="shared" si="399"/>
        <v>0</v>
      </c>
      <c r="FE64" s="139">
        <f t="shared" si="399"/>
        <v>0</v>
      </c>
      <c r="FF64" s="139">
        <f t="shared" si="399"/>
        <v>0</v>
      </c>
      <c r="FG64" s="139">
        <f t="shared" si="399"/>
        <v>0</v>
      </c>
      <c r="FH64" s="139">
        <f t="shared" si="399"/>
        <v>0</v>
      </c>
      <c r="FI64" s="139">
        <f t="shared" si="399"/>
        <v>0</v>
      </c>
      <c r="FJ64" s="139">
        <f t="shared" si="399"/>
        <v>0</v>
      </c>
      <c r="FK64" s="139">
        <f t="shared" si="399"/>
        <v>0</v>
      </c>
      <c r="FL64" s="139">
        <f t="shared" si="399"/>
        <v>0</v>
      </c>
      <c r="FM64" s="139">
        <f t="shared" si="399"/>
        <v>0</v>
      </c>
      <c r="FN64" s="139">
        <f t="shared" si="399"/>
        <v>0</v>
      </c>
      <c r="FO64" s="139">
        <f t="shared" si="399"/>
        <v>0</v>
      </c>
      <c r="FP64" s="139">
        <f t="shared" si="399"/>
        <v>0</v>
      </c>
      <c r="FQ64" s="139">
        <f t="shared" si="399"/>
        <v>0</v>
      </c>
      <c r="FR64" s="139">
        <f t="shared" si="399"/>
        <v>0</v>
      </c>
      <c r="FS64" s="139">
        <f t="shared" si="399"/>
        <v>0</v>
      </c>
      <c r="FT64" s="139">
        <f t="shared" si="399"/>
        <v>0</v>
      </c>
      <c r="FU64" s="139">
        <f t="shared" si="399"/>
        <v>0</v>
      </c>
      <c r="FV64" s="139">
        <f t="shared" si="399"/>
        <v>0</v>
      </c>
      <c r="FW64" s="139">
        <f t="shared" si="399"/>
        <v>0</v>
      </c>
      <c r="FX64" s="139">
        <f t="shared" si="399"/>
        <v>0</v>
      </c>
      <c r="FY64" s="139">
        <f t="shared" si="399"/>
        <v>0</v>
      </c>
      <c r="FZ64" s="139">
        <f t="shared" si="399"/>
        <v>0</v>
      </c>
      <c r="GA64" s="139">
        <f t="shared" si="399"/>
        <v>0</v>
      </c>
      <c r="GB64" s="139">
        <f t="shared" ref="GB64:HA64" si="400">GB38/100</f>
        <v>0</v>
      </c>
      <c r="GC64" s="139">
        <f t="shared" si="400"/>
        <v>0</v>
      </c>
      <c r="GD64" s="139">
        <f t="shared" si="400"/>
        <v>0</v>
      </c>
      <c r="GE64" s="139">
        <f t="shared" si="400"/>
        <v>0</v>
      </c>
      <c r="GF64" s="139">
        <f t="shared" si="400"/>
        <v>0</v>
      </c>
      <c r="GG64" s="139">
        <f t="shared" si="400"/>
        <v>0</v>
      </c>
      <c r="GH64" s="139">
        <f t="shared" si="400"/>
        <v>0</v>
      </c>
      <c r="GI64" s="139">
        <f t="shared" si="400"/>
        <v>0</v>
      </c>
      <c r="GJ64" s="139">
        <f t="shared" si="400"/>
        <v>0</v>
      </c>
      <c r="GK64" s="139">
        <f t="shared" si="400"/>
        <v>0</v>
      </c>
      <c r="GL64" s="139">
        <f t="shared" si="400"/>
        <v>0</v>
      </c>
      <c r="GM64" s="139">
        <f t="shared" si="400"/>
        <v>0</v>
      </c>
      <c r="GN64" s="139">
        <f t="shared" si="400"/>
        <v>0</v>
      </c>
      <c r="GO64" s="139">
        <f t="shared" si="400"/>
        <v>0</v>
      </c>
      <c r="GP64" s="139">
        <f t="shared" si="400"/>
        <v>0</v>
      </c>
      <c r="GQ64" s="139">
        <f t="shared" si="400"/>
        <v>0</v>
      </c>
      <c r="GR64" s="139">
        <f t="shared" si="400"/>
        <v>0</v>
      </c>
      <c r="GS64" s="139">
        <f t="shared" si="400"/>
        <v>0</v>
      </c>
      <c r="GT64" s="139">
        <f t="shared" si="400"/>
        <v>0</v>
      </c>
      <c r="GU64" s="139">
        <f t="shared" si="400"/>
        <v>0</v>
      </c>
      <c r="GV64" s="139">
        <f t="shared" si="400"/>
        <v>0</v>
      </c>
      <c r="GW64" s="139">
        <f t="shared" si="400"/>
        <v>0</v>
      </c>
      <c r="GX64" s="139">
        <f t="shared" si="400"/>
        <v>0</v>
      </c>
      <c r="GY64" s="139">
        <f t="shared" si="400"/>
        <v>0</v>
      </c>
      <c r="GZ64" s="139">
        <f t="shared" si="400"/>
        <v>0</v>
      </c>
      <c r="HA64" s="139">
        <f t="shared" si="400"/>
        <v>0</v>
      </c>
      <c r="HB64" s="139">
        <f t="shared" ref="HB64:II64" si="401">HB38/40</f>
        <v>0</v>
      </c>
      <c r="HC64" s="139">
        <f t="shared" si="401"/>
        <v>0</v>
      </c>
      <c r="HD64" s="139">
        <f t="shared" si="401"/>
        <v>0</v>
      </c>
      <c r="HE64" s="139">
        <f t="shared" si="401"/>
        <v>0</v>
      </c>
      <c r="HF64" s="139">
        <f t="shared" si="401"/>
        <v>0</v>
      </c>
      <c r="HG64" s="139">
        <f t="shared" si="401"/>
        <v>0</v>
      </c>
      <c r="HH64" s="139">
        <f t="shared" si="401"/>
        <v>0</v>
      </c>
      <c r="HI64" s="139">
        <f t="shared" si="401"/>
        <v>0</v>
      </c>
      <c r="HJ64" s="139">
        <f t="shared" si="401"/>
        <v>0</v>
      </c>
      <c r="HK64" s="139">
        <f t="shared" si="401"/>
        <v>0</v>
      </c>
      <c r="HL64" s="139">
        <f t="shared" si="401"/>
        <v>0</v>
      </c>
      <c r="HM64" s="139">
        <f t="shared" si="401"/>
        <v>0</v>
      </c>
      <c r="HN64" s="139">
        <f t="shared" si="401"/>
        <v>0</v>
      </c>
      <c r="HO64" s="139">
        <f t="shared" si="401"/>
        <v>0</v>
      </c>
      <c r="HP64" s="139">
        <f t="shared" si="401"/>
        <v>0</v>
      </c>
      <c r="HQ64" s="139">
        <f t="shared" si="401"/>
        <v>0</v>
      </c>
      <c r="HR64" s="139">
        <f t="shared" si="401"/>
        <v>0</v>
      </c>
      <c r="HS64" s="139">
        <f t="shared" si="401"/>
        <v>0</v>
      </c>
      <c r="HT64" s="139">
        <f t="shared" si="401"/>
        <v>0</v>
      </c>
      <c r="HU64" s="139">
        <f t="shared" si="401"/>
        <v>0</v>
      </c>
      <c r="HV64" s="139">
        <f t="shared" si="401"/>
        <v>0</v>
      </c>
      <c r="HW64" s="139">
        <f t="shared" si="401"/>
        <v>0</v>
      </c>
      <c r="HX64" s="139">
        <f t="shared" si="401"/>
        <v>0</v>
      </c>
      <c r="HY64" s="139">
        <f t="shared" si="401"/>
        <v>0</v>
      </c>
      <c r="HZ64" s="139">
        <f t="shared" si="401"/>
        <v>0</v>
      </c>
      <c r="IA64" s="139">
        <f t="shared" si="401"/>
        <v>0</v>
      </c>
      <c r="IB64" s="139">
        <f t="shared" si="401"/>
        <v>0</v>
      </c>
      <c r="IC64" s="139">
        <f t="shared" si="401"/>
        <v>0</v>
      </c>
      <c r="ID64" s="139">
        <f t="shared" si="401"/>
        <v>0</v>
      </c>
      <c r="IE64" s="139">
        <f t="shared" si="401"/>
        <v>0</v>
      </c>
      <c r="IF64" s="139">
        <f t="shared" si="401"/>
        <v>0</v>
      </c>
      <c r="IG64" s="139">
        <f t="shared" si="401"/>
        <v>0</v>
      </c>
      <c r="IH64" s="139">
        <f t="shared" si="401"/>
        <v>0</v>
      </c>
      <c r="II64" s="139">
        <f t="shared" si="401"/>
        <v>0</v>
      </c>
      <c r="IJ64" s="139">
        <f t="shared" ref="IJ64:JM64" si="402">IJ38/100</f>
        <v>0</v>
      </c>
      <c r="IK64" s="139">
        <f t="shared" si="402"/>
        <v>0</v>
      </c>
      <c r="IL64" s="139">
        <f t="shared" si="402"/>
        <v>0</v>
      </c>
      <c r="IM64" s="139">
        <f t="shared" si="402"/>
        <v>0</v>
      </c>
      <c r="IN64" s="139">
        <f t="shared" si="402"/>
        <v>0</v>
      </c>
      <c r="IO64" s="139">
        <f t="shared" si="402"/>
        <v>0</v>
      </c>
      <c r="IP64" s="139">
        <f t="shared" si="402"/>
        <v>0</v>
      </c>
      <c r="IQ64" s="139">
        <f t="shared" si="402"/>
        <v>0</v>
      </c>
      <c r="IR64" s="139">
        <f t="shared" si="402"/>
        <v>0</v>
      </c>
      <c r="IS64" s="139">
        <f t="shared" si="402"/>
        <v>0</v>
      </c>
      <c r="IT64" s="139">
        <f t="shared" si="402"/>
        <v>0</v>
      </c>
      <c r="IU64" s="139">
        <f t="shared" si="402"/>
        <v>0</v>
      </c>
      <c r="IV64" s="139">
        <f t="shared" si="402"/>
        <v>0</v>
      </c>
      <c r="IW64" s="139">
        <f t="shared" si="402"/>
        <v>0</v>
      </c>
      <c r="IX64" s="139">
        <f t="shared" si="402"/>
        <v>0</v>
      </c>
      <c r="IY64" s="139">
        <f t="shared" si="402"/>
        <v>0</v>
      </c>
      <c r="IZ64" s="139">
        <f t="shared" si="402"/>
        <v>0</v>
      </c>
      <c r="JA64" s="139">
        <f t="shared" si="402"/>
        <v>0</v>
      </c>
      <c r="JB64" s="139">
        <f t="shared" si="402"/>
        <v>0</v>
      </c>
      <c r="JC64" s="139">
        <f t="shared" si="402"/>
        <v>0</v>
      </c>
      <c r="JD64" s="139">
        <f t="shared" si="402"/>
        <v>0</v>
      </c>
      <c r="JE64" s="139">
        <f t="shared" si="402"/>
        <v>0</v>
      </c>
      <c r="JF64" s="139">
        <f t="shared" si="402"/>
        <v>0</v>
      </c>
      <c r="JG64" s="139">
        <f t="shared" si="402"/>
        <v>0</v>
      </c>
      <c r="JH64" s="139">
        <f t="shared" si="402"/>
        <v>0</v>
      </c>
      <c r="JI64" s="139">
        <f t="shared" si="402"/>
        <v>0</v>
      </c>
      <c r="JJ64" s="139">
        <f t="shared" si="402"/>
        <v>0</v>
      </c>
      <c r="JK64" s="139">
        <f t="shared" si="402"/>
        <v>0</v>
      </c>
      <c r="JL64" s="139">
        <f t="shared" si="402"/>
        <v>0</v>
      </c>
      <c r="JM64" s="139">
        <f t="shared" si="402"/>
        <v>0</v>
      </c>
      <c r="JN64" s="139">
        <f t="shared" ref="JN64:JS64" si="403">JN38/40</f>
        <v>0</v>
      </c>
      <c r="JO64" s="139">
        <f t="shared" si="403"/>
        <v>0</v>
      </c>
      <c r="JP64" s="139">
        <f t="shared" si="403"/>
        <v>0</v>
      </c>
      <c r="JQ64" s="139">
        <f t="shared" si="403"/>
        <v>0</v>
      </c>
      <c r="JR64" s="139">
        <f t="shared" si="403"/>
        <v>0</v>
      </c>
      <c r="JS64" s="139">
        <f t="shared" si="403"/>
        <v>0</v>
      </c>
      <c r="JT64" s="139">
        <f t="shared" ref="JT64:JY64" si="404">JT38/100</f>
        <v>0</v>
      </c>
      <c r="JU64" s="139">
        <f t="shared" si="404"/>
        <v>0</v>
      </c>
      <c r="JV64" s="139">
        <f t="shared" si="404"/>
        <v>0</v>
      </c>
      <c r="JW64" s="139">
        <f t="shared" si="404"/>
        <v>0</v>
      </c>
      <c r="JX64" s="139">
        <f t="shared" si="404"/>
        <v>0</v>
      </c>
      <c r="JY64" s="139">
        <f t="shared" si="404"/>
        <v>0</v>
      </c>
      <c r="JZ64" s="139">
        <f t="shared" ref="JZ64:KY64" si="405">JZ38/40</f>
        <v>0</v>
      </c>
      <c r="KA64" s="139">
        <f t="shared" si="405"/>
        <v>0</v>
      </c>
      <c r="KB64" s="139">
        <f t="shared" si="405"/>
        <v>0</v>
      </c>
      <c r="KC64" s="139">
        <f t="shared" si="405"/>
        <v>0</v>
      </c>
      <c r="KD64" s="139">
        <f t="shared" si="405"/>
        <v>0</v>
      </c>
      <c r="KE64" s="139">
        <f t="shared" si="405"/>
        <v>0</v>
      </c>
      <c r="KF64" s="139">
        <f t="shared" si="405"/>
        <v>0</v>
      </c>
      <c r="KG64" s="139">
        <f t="shared" si="405"/>
        <v>0</v>
      </c>
      <c r="KH64" s="139">
        <f t="shared" si="405"/>
        <v>0</v>
      </c>
      <c r="KI64" s="139">
        <f t="shared" si="405"/>
        <v>0</v>
      </c>
      <c r="KJ64" s="139">
        <f t="shared" si="405"/>
        <v>0</v>
      </c>
      <c r="KK64" s="139">
        <f t="shared" si="405"/>
        <v>0</v>
      </c>
      <c r="KL64" s="139">
        <f t="shared" si="405"/>
        <v>0</v>
      </c>
      <c r="KM64" s="139">
        <f t="shared" si="405"/>
        <v>0</v>
      </c>
      <c r="KN64" s="139">
        <f t="shared" si="405"/>
        <v>0</v>
      </c>
      <c r="KO64" s="139">
        <f t="shared" si="405"/>
        <v>0</v>
      </c>
      <c r="KP64" s="139">
        <f t="shared" si="405"/>
        <v>0</v>
      </c>
      <c r="KQ64" s="139">
        <f t="shared" si="405"/>
        <v>0</v>
      </c>
      <c r="KR64" s="139">
        <f t="shared" si="405"/>
        <v>0</v>
      </c>
      <c r="KS64" s="139">
        <f t="shared" si="405"/>
        <v>0</v>
      </c>
      <c r="KT64" s="139">
        <f t="shared" si="405"/>
        <v>0</v>
      </c>
      <c r="KU64" s="139">
        <f t="shared" si="405"/>
        <v>0</v>
      </c>
      <c r="KV64" s="139">
        <f t="shared" si="405"/>
        <v>0</v>
      </c>
      <c r="KW64" s="139">
        <f t="shared" si="405"/>
        <v>0</v>
      </c>
      <c r="KX64" s="139">
        <f t="shared" si="405"/>
        <v>0</v>
      </c>
      <c r="KY64" s="139">
        <f t="shared" si="405"/>
        <v>0</v>
      </c>
      <c r="KZ64" s="139">
        <f t="shared" ref="KZ64:ME64" si="406">KZ38/100</f>
        <v>0</v>
      </c>
      <c r="LA64" s="139">
        <f t="shared" si="406"/>
        <v>0</v>
      </c>
      <c r="LB64" s="139">
        <f t="shared" si="406"/>
        <v>0</v>
      </c>
      <c r="LC64" s="139">
        <f t="shared" si="406"/>
        <v>0</v>
      </c>
      <c r="LD64" s="139">
        <f t="shared" si="406"/>
        <v>0</v>
      </c>
      <c r="LE64" s="139">
        <f t="shared" si="406"/>
        <v>0</v>
      </c>
      <c r="LF64" s="139">
        <f t="shared" si="406"/>
        <v>0</v>
      </c>
      <c r="LG64" s="139">
        <f t="shared" si="406"/>
        <v>0</v>
      </c>
      <c r="LH64" s="139">
        <f t="shared" si="406"/>
        <v>0</v>
      </c>
      <c r="LI64" s="139">
        <f t="shared" si="406"/>
        <v>0</v>
      </c>
      <c r="LJ64" s="139">
        <f t="shared" si="406"/>
        <v>0</v>
      </c>
      <c r="LK64" s="139">
        <f t="shared" si="406"/>
        <v>0</v>
      </c>
      <c r="LL64" s="139">
        <f t="shared" si="406"/>
        <v>0</v>
      </c>
      <c r="LM64" s="139">
        <f t="shared" si="406"/>
        <v>0</v>
      </c>
      <c r="LN64" s="139">
        <f t="shared" si="406"/>
        <v>0</v>
      </c>
      <c r="LO64" s="139">
        <f t="shared" si="406"/>
        <v>0</v>
      </c>
      <c r="LP64" s="139">
        <f t="shared" si="406"/>
        <v>0</v>
      </c>
      <c r="LQ64" s="139">
        <f t="shared" si="406"/>
        <v>0</v>
      </c>
      <c r="LR64" s="139">
        <f t="shared" si="406"/>
        <v>0</v>
      </c>
      <c r="LS64" s="139">
        <f t="shared" si="406"/>
        <v>0</v>
      </c>
      <c r="LT64" s="139">
        <f t="shared" si="406"/>
        <v>0</v>
      </c>
      <c r="LU64" s="139">
        <f t="shared" si="406"/>
        <v>0</v>
      </c>
      <c r="LV64" s="139">
        <f t="shared" si="406"/>
        <v>0</v>
      </c>
      <c r="LW64" s="139">
        <f t="shared" si="406"/>
        <v>0</v>
      </c>
      <c r="LX64" s="139">
        <f t="shared" si="406"/>
        <v>0</v>
      </c>
      <c r="LY64" s="139">
        <f t="shared" si="406"/>
        <v>0</v>
      </c>
      <c r="LZ64" s="139">
        <f t="shared" si="406"/>
        <v>0</v>
      </c>
      <c r="MA64" s="139">
        <f t="shared" si="406"/>
        <v>0</v>
      </c>
      <c r="MB64" s="139">
        <f t="shared" si="406"/>
        <v>0</v>
      </c>
      <c r="MC64" s="139">
        <f t="shared" si="406"/>
        <v>0</v>
      </c>
      <c r="MD64" s="139">
        <f t="shared" si="406"/>
        <v>0</v>
      </c>
      <c r="ME64" s="139">
        <f t="shared" si="406"/>
        <v>0</v>
      </c>
      <c r="MF64" s="139">
        <f t="shared" ref="MF64:NK64" si="407">MF38/100</f>
        <v>0</v>
      </c>
      <c r="MG64" s="139">
        <f t="shared" si="407"/>
        <v>0</v>
      </c>
      <c r="MH64" s="139">
        <f t="shared" si="407"/>
        <v>0</v>
      </c>
      <c r="MI64" s="139">
        <f t="shared" si="407"/>
        <v>0</v>
      </c>
      <c r="MJ64" s="139">
        <f t="shared" si="407"/>
        <v>0</v>
      </c>
      <c r="MK64" s="139">
        <f t="shared" si="407"/>
        <v>0</v>
      </c>
      <c r="ML64" s="139">
        <f t="shared" si="407"/>
        <v>0</v>
      </c>
      <c r="MM64" s="139">
        <f t="shared" si="407"/>
        <v>0</v>
      </c>
      <c r="MN64" s="139">
        <f t="shared" si="407"/>
        <v>0</v>
      </c>
      <c r="MO64" s="139">
        <f t="shared" si="407"/>
        <v>0</v>
      </c>
      <c r="MP64" s="139">
        <f t="shared" si="407"/>
        <v>0</v>
      </c>
      <c r="MQ64" s="139">
        <f t="shared" si="407"/>
        <v>0</v>
      </c>
      <c r="MR64" s="139">
        <f t="shared" si="407"/>
        <v>0</v>
      </c>
      <c r="MS64" s="139">
        <f t="shared" si="407"/>
        <v>0</v>
      </c>
      <c r="MT64" s="139">
        <f t="shared" si="407"/>
        <v>0</v>
      </c>
      <c r="MU64" s="139">
        <f t="shared" si="407"/>
        <v>0</v>
      </c>
      <c r="MV64" s="139">
        <f t="shared" si="407"/>
        <v>0</v>
      </c>
      <c r="MW64" s="139">
        <f t="shared" si="407"/>
        <v>0</v>
      </c>
      <c r="MX64" s="139">
        <f t="shared" si="407"/>
        <v>0</v>
      </c>
      <c r="MY64" s="139">
        <f t="shared" si="407"/>
        <v>0</v>
      </c>
      <c r="MZ64" s="139">
        <f t="shared" si="407"/>
        <v>0</v>
      </c>
      <c r="NA64" s="139">
        <f t="shared" si="407"/>
        <v>0</v>
      </c>
      <c r="NB64" s="139">
        <f t="shared" si="407"/>
        <v>0</v>
      </c>
      <c r="NC64" s="139">
        <f t="shared" si="407"/>
        <v>0</v>
      </c>
      <c r="ND64" s="139">
        <f t="shared" si="407"/>
        <v>0</v>
      </c>
      <c r="NE64" s="139">
        <f t="shared" si="407"/>
        <v>0</v>
      </c>
      <c r="NF64" s="139">
        <f t="shared" si="407"/>
        <v>0</v>
      </c>
      <c r="NG64" s="139">
        <f t="shared" si="407"/>
        <v>0</v>
      </c>
      <c r="NH64" s="139">
        <f t="shared" si="407"/>
        <v>0</v>
      </c>
      <c r="NI64" s="139">
        <f t="shared" si="407"/>
        <v>0</v>
      </c>
      <c r="NJ64" s="139">
        <f t="shared" si="407"/>
        <v>0</v>
      </c>
      <c r="NK64" s="139">
        <f t="shared" si="407"/>
        <v>0</v>
      </c>
      <c r="NL64" s="139">
        <f t="shared" ref="NL64:OQ64" si="408">NL38/100</f>
        <v>0</v>
      </c>
      <c r="NM64" s="139">
        <f t="shared" si="408"/>
        <v>0</v>
      </c>
      <c r="NN64" s="139">
        <f t="shared" si="408"/>
        <v>0</v>
      </c>
      <c r="NO64" s="139">
        <f t="shared" si="408"/>
        <v>0</v>
      </c>
      <c r="NP64" s="139">
        <f t="shared" si="408"/>
        <v>0</v>
      </c>
      <c r="NQ64" s="139">
        <f t="shared" si="408"/>
        <v>0</v>
      </c>
      <c r="NR64" s="139">
        <f t="shared" si="408"/>
        <v>0</v>
      </c>
      <c r="NS64" s="139">
        <f t="shared" si="408"/>
        <v>0</v>
      </c>
      <c r="NT64" s="139">
        <f t="shared" si="408"/>
        <v>0</v>
      </c>
      <c r="NU64" s="139">
        <f t="shared" si="408"/>
        <v>0</v>
      </c>
      <c r="NV64" s="139">
        <f t="shared" si="408"/>
        <v>0</v>
      </c>
      <c r="NW64" s="139">
        <f t="shared" si="408"/>
        <v>0</v>
      </c>
      <c r="NX64" s="139">
        <f t="shared" si="408"/>
        <v>0</v>
      </c>
      <c r="NY64" s="139">
        <f t="shared" si="408"/>
        <v>0</v>
      </c>
      <c r="NZ64" s="139">
        <f t="shared" si="408"/>
        <v>0</v>
      </c>
      <c r="OA64" s="139">
        <f t="shared" si="408"/>
        <v>0</v>
      </c>
      <c r="OB64" s="139">
        <f t="shared" si="408"/>
        <v>0</v>
      </c>
      <c r="OC64" s="139">
        <f t="shared" si="408"/>
        <v>0</v>
      </c>
      <c r="OD64" s="139">
        <f t="shared" si="408"/>
        <v>0</v>
      </c>
      <c r="OE64" s="139">
        <f t="shared" si="408"/>
        <v>0</v>
      </c>
      <c r="OF64" s="139">
        <f t="shared" si="408"/>
        <v>0</v>
      </c>
      <c r="OG64" s="139">
        <f t="shared" si="408"/>
        <v>0</v>
      </c>
      <c r="OH64" s="139">
        <f t="shared" si="408"/>
        <v>0</v>
      </c>
      <c r="OI64" s="139">
        <f t="shared" si="408"/>
        <v>0</v>
      </c>
      <c r="OJ64" s="139">
        <f t="shared" si="408"/>
        <v>0</v>
      </c>
      <c r="OK64" s="139">
        <f t="shared" si="408"/>
        <v>0</v>
      </c>
      <c r="OL64" s="139">
        <f t="shared" si="408"/>
        <v>0</v>
      </c>
      <c r="OM64" s="139">
        <f t="shared" si="408"/>
        <v>0</v>
      </c>
      <c r="ON64" s="139">
        <f t="shared" si="408"/>
        <v>0</v>
      </c>
      <c r="OO64" s="139">
        <f t="shared" si="408"/>
        <v>0</v>
      </c>
      <c r="OP64" s="139">
        <f t="shared" si="408"/>
        <v>0</v>
      </c>
      <c r="OQ64" s="139">
        <f t="shared" si="408"/>
        <v>0</v>
      </c>
      <c r="OR64" s="139">
        <f t="shared" ref="OR64:PW64" si="409">OR38/100</f>
        <v>0</v>
      </c>
      <c r="OS64" s="139">
        <f t="shared" si="409"/>
        <v>0</v>
      </c>
      <c r="OT64" s="139">
        <f t="shared" si="409"/>
        <v>0</v>
      </c>
      <c r="OU64" s="139">
        <f t="shared" si="409"/>
        <v>0</v>
      </c>
      <c r="OV64" s="139">
        <f t="shared" si="409"/>
        <v>0</v>
      </c>
      <c r="OW64" s="139">
        <f t="shared" si="409"/>
        <v>0</v>
      </c>
      <c r="OX64" s="139">
        <f t="shared" si="409"/>
        <v>0</v>
      </c>
      <c r="OY64" s="139">
        <f t="shared" si="409"/>
        <v>0</v>
      </c>
      <c r="OZ64" s="139">
        <f t="shared" si="409"/>
        <v>0</v>
      </c>
      <c r="PA64" s="139">
        <f t="shared" si="409"/>
        <v>0</v>
      </c>
      <c r="PB64" s="139">
        <f t="shared" si="409"/>
        <v>0</v>
      </c>
      <c r="PC64" s="139">
        <f t="shared" si="409"/>
        <v>0</v>
      </c>
      <c r="PD64" s="139">
        <f t="shared" si="409"/>
        <v>0</v>
      </c>
      <c r="PE64" s="139">
        <f t="shared" si="409"/>
        <v>0</v>
      </c>
      <c r="PF64" s="139">
        <f t="shared" si="409"/>
        <v>0</v>
      </c>
      <c r="PG64" s="139">
        <f t="shared" si="409"/>
        <v>0</v>
      </c>
      <c r="PH64" s="139">
        <f t="shared" si="409"/>
        <v>0</v>
      </c>
      <c r="PI64" s="139">
        <f t="shared" si="409"/>
        <v>0</v>
      </c>
      <c r="PJ64" s="139">
        <f t="shared" si="409"/>
        <v>0</v>
      </c>
      <c r="PK64" s="139">
        <f t="shared" si="409"/>
        <v>0</v>
      </c>
      <c r="PL64" s="139">
        <f t="shared" si="409"/>
        <v>0</v>
      </c>
      <c r="PM64" s="139">
        <f t="shared" si="409"/>
        <v>0</v>
      </c>
      <c r="PN64" s="139">
        <f t="shared" si="409"/>
        <v>0</v>
      </c>
      <c r="PO64" s="139">
        <f t="shared" si="409"/>
        <v>0</v>
      </c>
      <c r="PP64" s="139">
        <f t="shared" si="409"/>
        <v>0</v>
      </c>
      <c r="PQ64" s="139">
        <f t="shared" si="409"/>
        <v>0</v>
      </c>
      <c r="PR64" s="139">
        <f t="shared" si="409"/>
        <v>0</v>
      </c>
      <c r="PS64" s="139">
        <f t="shared" si="409"/>
        <v>0</v>
      </c>
      <c r="PT64" s="139">
        <f t="shared" si="409"/>
        <v>0</v>
      </c>
      <c r="PU64" s="139">
        <f t="shared" si="409"/>
        <v>0</v>
      </c>
      <c r="PV64" s="139">
        <f t="shared" si="409"/>
        <v>0</v>
      </c>
      <c r="PW64" s="139">
        <f t="shared" si="409"/>
        <v>0</v>
      </c>
      <c r="PX64" s="139">
        <f t="shared" ref="PX64:QN64" si="410">PX38/100</f>
        <v>0</v>
      </c>
      <c r="PY64" s="139">
        <f t="shared" si="410"/>
        <v>0</v>
      </c>
      <c r="PZ64" s="139">
        <f t="shared" si="410"/>
        <v>0</v>
      </c>
      <c r="QA64" s="139">
        <f t="shared" si="410"/>
        <v>0</v>
      </c>
      <c r="QB64" s="139">
        <f t="shared" si="410"/>
        <v>0</v>
      </c>
      <c r="QC64" s="139">
        <f t="shared" si="410"/>
        <v>0</v>
      </c>
      <c r="QD64" s="139">
        <f t="shared" si="410"/>
        <v>0</v>
      </c>
      <c r="QE64" s="139">
        <f t="shared" si="410"/>
        <v>0</v>
      </c>
      <c r="QF64" s="139">
        <f t="shared" si="410"/>
        <v>0</v>
      </c>
      <c r="QG64" s="139">
        <f t="shared" si="410"/>
        <v>0</v>
      </c>
      <c r="QH64" s="139">
        <f t="shared" si="410"/>
        <v>0</v>
      </c>
      <c r="QI64" s="139">
        <f t="shared" si="410"/>
        <v>0</v>
      </c>
      <c r="QJ64" s="139">
        <f t="shared" si="410"/>
        <v>0</v>
      </c>
      <c r="QK64" s="139">
        <f t="shared" si="410"/>
        <v>0</v>
      </c>
      <c r="QL64" s="139">
        <f t="shared" si="410"/>
        <v>0</v>
      </c>
      <c r="QM64" s="139">
        <f t="shared" si="410"/>
        <v>0</v>
      </c>
      <c r="QN64" s="139">
        <f t="shared" si="410"/>
        <v>0</v>
      </c>
      <c r="QO64" s="139">
        <f>QO38/40</f>
        <v>0</v>
      </c>
      <c r="QP64" s="139">
        <f>QP38/100</f>
        <v>0</v>
      </c>
      <c r="QQ64" s="139">
        <f>QQ38/100</f>
        <v>0</v>
      </c>
      <c r="QR64" s="139">
        <f>QR38/40</f>
        <v>0</v>
      </c>
      <c r="QS64" s="139">
        <f>QS38/100</f>
        <v>0</v>
      </c>
      <c r="QT64" s="139">
        <f>QT38/100</f>
        <v>0</v>
      </c>
      <c r="RA64" s="139">
        <f t="shared" ref="RA64:RF64" si="411">RA38/100</f>
        <v>0</v>
      </c>
      <c r="RB64" s="139">
        <f t="shared" si="411"/>
        <v>0</v>
      </c>
      <c r="RC64" s="139">
        <f t="shared" si="411"/>
        <v>0</v>
      </c>
      <c r="RD64" s="139">
        <f t="shared" si="411"/>
        <v>0</v>
      </c>
      <c r="RE64" s="139">
        <f t="shared" si="411"/>
        <v>0</v>
      </c>
      <c r="RF64" s="139">
        <f t="shared" si="411"/>
        <v>0</v>
      </c>
      <c r="RG64" s="70"/>
      <c r="RM64" s="145"/>
      <c r="SB64" s="70">
        <f>SB38/40</f>
        <v>0</v>
      </c>
      <c r="SC64" s="70">
        <f>SC38/40</f>
        <v>0</v>
      </c>
      <c r="SD64" s="70">
        <f>SD38/40</f>
        <v>0</v>
      </c>
      <c r="SE64" s="70">
        <f t="shared" ref="SE64:SU64" si="412">SE38/100</f>
        <v>0</v>
      </c>
      <c r="SF64" s="70">
        <f t="shared" si="412"/>
        <v>0</v>
      </c>
      <c r="SG64" s="70">
        <f t="shared" si="412"/>
        <v>0</v>
      </c>
      <c r="SH64" s="70">
        <f t="shared" si="412"/>
        <v>0</v>
      </c>
      <c r="SI64" s="70">
        <f t="shared" si="412"/>
        <v>0</v>
      </c>
      <c r="SJ64" s="70">
        <f t="shared" si="412"/>
        <v>0</v>
      </c>
      <c r="SK64" s="70">
        <f t="shared" si="412"/>
        <v>0</v>
      </c>
      <c r="SL64" s="70">
        <f t="shared" si="412"/>
        <v>0</v>
      </c>
      <c r="SM64" s="70">
        <f t="shared" si="412"/>
        <v>0</v>
      </c>
      <c r="SN64" s="70">
        <f t="shared" si="412"/>
        <v>0</v>
      </c>
      <c r="SO64" s="70">
        <f t="shared" si="412"/>
        <v>0</v>
      </c>
      <c r="SP64" s="70">
        <f t="shared" si="412"/>
        <v>0</v>
      </c>
      <c r="SQ64" s="70">
        <f t="shared" si="412"/>
        <v>0</v>
      </c>
      <c r="SR64" s="70">
        <f t="shared" si="412"/>
        <v>0</v>
      </c>
      <c r="SS64" s="70">
        <f t="shared" si="412"/>
        <v>0</v>
      </c>
      <c r="ST64" s="70">
        <f t="shared" si="412"/>
        <v>0</v>
      </c>
      <c r="SU64" s="70">
        <f t="shared" si="412"/>
        <v>0</v>
      </c>
      <c r="SV64" s="139">
        <f>SV38/40</f>
        <v>0</v>
      </c>
      <c r="SW64" s="139">
        <f>SW38/40</f>
        <v>0</v>
      </c>
      <c r="SX64" s="70">
        <f t="shared" ref="SX64:TR64" si="413">SX38/100</f>
        <v>0</v>
      </c>
      <c r="SY64" s="70">
        <f t="shared" si="413"/>
        <v>0</v>
      </c>
      <c r="SZ64" s="70">
        <f t="shared" si="413"/>
        <v>0</v>
      </c>
      <c r="TA64" s="70">
        <f t="shared" si="413"/>
        <v>0</v>
      </c>
      <c r="TB64" s="70">
        <f t="shared" si="413"/>
        <v>0</v>
      </c>
      <c r="TC64" s="70">
        <f t="shared" si="413"/>
        <v>0</v>
      </c>
      <c r="TD64" s="70">
        <f t="shared" si="413"/>
        <v>0</v>
      </c>
      <c r="TE64" s="70">
        <f t="shared" si="413"/>
        <v>0</v>
      </c>
      <c r="TF64" s="70">
        <f t="shared" si="413"/>
        <v>0</v>
      </c>
      <c r="TG64" s="70">
        <f t="shared" si="413"/>
        <v>0</v>
      </c>
      <c r="TH64" s="70">
        <f t="shared" si="413"/>
        <v>0</v>
      </c>
      <c r="TI64" s="70">
        <f t="shared" si="413"/>
        <v>0</v>
      </c>
      <c r="TJ64" s="70">
        <f t="shared" si="413"/>
        <v>0</v>
      </c>
      <c r="TK64" s="70">
        <f t="shared" si="413"/>
        <v>0</v>
      </c>
      <c r="TL64" s="70">
        <f t="shared" si="413"/>
        <v>0</v>
      </c>
      <c r="TM64" s="70">
        <f t="shared" si="413"/>
        <v>0</v>
      </c>
      <c r="TN64" s="70">
        <f t="shared" si="413"/>
        <v>0</v>
      </c>
      <c r="TO64" s="70">
        <f t="shared" si="413"/>
        <v>0</v>
      </c>
      <c r="TP64" s="70">
        <f t="shared" si="413"/>
        <v>0</v>
      </c>
      <c r="TQ64" s="70">
        <f t="shared" si="413"/>
        <v>0</v>
      </c>
      <c r="TR64" s="70">
        <f t="shared" si="413"/>
        <v>0</v>
      </c>
      <c r="TS64" s="139">
        <f>TS38/40</f>
        <v>0</v>
      </c>
      <c r="TT64" s="70">
        <f t="shared" ref="TT64:UY64" si="414">TT38/100</f>
        <v>0</v>
      </c>
      <c r="TU64" s="70">
        <f t="shared" si="414"/>
        <v>0</v>
      </c>
      <c r="TV64" s="70">
        <f t="shared" si="414"/>
        <v>0</v>
      </c>
      <c r="TW64" s="70">
        <f t="shared" si="414"/>
        <v>0</v>
      </c>
      <c r="TX64" s="70">
        <f t="shared" si="414"/>
        <v>0</v>
      </c>
      <c r="TY64" s="70">
        <f t="shared" si="414"/>
        <v>0</v>
      </c>
      <c r="TZ64" s="70">
        <f t="shared" si="414"/>
        <v>0</v>
      </c>
      <c r="UA64" s="70">
        <f t="shared" si="414"/>
        <v>0</v>
      </c>
      <c r="UB64" s="70">
        <f t="shared" si="414"/>
        <v>0</v>
      </c>
      <c r="UC64" s="70">
        <f t="shared" si="414"/>
        <v>0</v>
      </c>
      <c r="UD64" s="70">
        <f t="shared" si="414"/>
        <v>0</v>
      </c>
      <c r="UE64" s="70">
        <f t="shared" si="414"/>
        <v>0</v>
      </c>
      <c r="UF64" s="70">
        <f t="shared" si="414"/>
        <v>0</v>
      </c>
      <c r="UG64" s="70">
        <f t="shared" si="414"/>
        <v>0</v>
      </c>
      <c r="UH64" s="70">
        <f t="shared" si="414"/>
        <v>0</v>
      </c>
      <c r="UI64" s="70">
        <f t="shared" si="414"/>
        <v>0</v>
      </c>
      <c r="UJ64" s="70">
        <f t="shared" si="414"/>
        <v>0</v>
      </c>
      <c r="UK64" s="70">
        <f t="shared" si="414"/>
        <v>0</v>
      </c>
      <c r="UL64" s="70">
        <f t="shared" si="414"/>
        <v>0</v>
      </c>
      <c r="UM64" s="70">
        <f t="shared" si="414"/>
        <v>0</v>
      </c>
      <c r="UN64" s="70">
        <f t="shared" si="414"/>
        <v>0</v>
      </c>
      <c r="UO64" s="70">
        <f t="shared" si="414"/>
        <v>0</v>
      </c>
      <c r="UP64" s="70">
        <f t="shared" si="414"/>
        <v>0</v>
      </c>
      <c r="UQ64" s="70">
        <f t="shared" si="414"/>
        <v>0</v>
      </c>
      <c r="UR64" s="70">
        <f t="shared" si="414"/>
        <v>0</v>
      </c>
      <c r="US64" s="70">
        <f t="shared" si="414"/>
        <v>0</v>
      </c>
      <c r="UT64" s="70">
        <f t="shared" si="414"/>
        <v>0</v>
      </c>
      <c r="UU64" s="70">
        <f t="shared" si="414"/>
        <v>0</v>
      </c>
      <c r="UV64" s="70">
        <f t="shared" si="414"/>
        <v>0</v>
      </c>
      <c r="UW64" s="70">
        <f t="shared" si="414"/>
        <v>0</v>
      </c>
      <c r="UX64" s="70">
        <f t="shared" si="414"/>
        <v>0</v>
      </c>
      <c r="UY64" s="70">
        <f t="shared" si="414"/>
        <v>0</v>
      </c>
      <c r="UZ64" s="70">
        <f t="shared" ref="UZ64:WE64" si="415">UZ38/100</f>
        <v>0</v>
      </c>
      <c r="VA64" s="70">
        <f t="shared" si="415"/>
        <v>0</v>
      </c>
      <c r="VB64" s="70">
        <f t="shared" si="415"/>
        <v>0</v>
      </c>
      <c r="VC64" s="70">
        <f t="shared" si="415"/>
        <v>0</v>
      </c>
      <c r="VD64" s="70">
        <f t="shared" si="415"/>
        <v>0</v>
      </c>
      <c r="VE64" s="70">
        <f t="shared" si="415"/>
        <v>0</v>
      </c>
      <c r="VF64" s="70">
        <f t="shared" si="415"/>
        <v>0</v>
      </c>
      <c r="VG64" s="70">
        <f t="shared" si="415"/>
        <v>0</v>
      </c>
      <c r="VH64" s="70">
        <f t="shared" si="415"/>
        <v>0</v>
      </c>
      <c r="VI64" s="70">
        <f t="shared" si="415"/>
        <v>0</v>
      </c>
      <c r="VJ64" s="70">
        <f t="shared" si="415"/>
        <v>0</v>
      </c>
      <c r="VK64" s="70">
        <f t="shared" si="415"/>
        <v>0</v>
      </c>
      <c r="VL64" s="70">
        <f t="shared" si="415"/>
        <v>0</v>
      </c>
      <c r="VM64" s="70">
        <f t="shared" si="415"/>
        <v>0</v>
      </c>
      <c r="VN64" s="70">
        <f t="shared" si="415"/>
        <v>0</v>
      </c>
      <c r="VO64" s="70">
        <f t="shared" si="415"/>
        <v>0</v>
      </c>
      <c r="VP64" s="70">
        <f t="shared" si="415"/>
        <v>0</v>
      </c>
      <c r="VQ64" s="70">
        <f t="shared" si="415"/>
        <v>0</v>
      </c>
      <c r="VR64" s="70">
        <f t="shared" si="415"/>
        <v>0</v>
      </c>
      <c r="VS64" s="70">
        <f t="shared" si="415"/>
        <v>0</v>
      </c>
      <c r="VT64" s="70">
        <f t="shared" si="415"/>
        <v>0</v>
      </c>
      <c r="VU64" s="70">
        <f t="shared" si="415"/>
        <v>0</v>
      </c>
      <c r="VV64" s="70">
        <f t="shared" si="415"/>
        <v>0</v>
      </c>
      <c r="VW64" s="70">
        <f t="shared" si="415"/>
        <v>0</v>
      </c>
      <c r="VX64" s="70">
        <f t="shared" si="415"/>
        <v>0</v>
      </c>
      <c r="VY64" s="70">
        <f t="shared" si="415"/>
        <v>0</v>
      </c>
      <c r="VZ64" s="70">
        <f t="shared" si="415"/>
        <v>0</v>
      </c>
      <c r="WA64" s="70">
        <f t="shared" si="415"/>
        <v>0</v>
      </c>
      <c r="WB64" s="70">
        <f t="shared" si="415"/>
        <v>0</v>
      </c>
      <c r="WC64" s="70">
        <f t="shared" si="415"/>
        <v>0</v>
      </c>
      <c r="WD64" s="70">
        <f t="shared" si="415"/>
        <v>0</v>
      </c>
      <c r="WE64" s="70">
        <f t="shared" si="415"/>
        <v>0</v>
      </c>
      <c r="WF64" s="70">
        <f t="shared" ref="WF64:WS64" si="416">WF38/100</f>
        <v>0</v>
      </c>
      <c r="WG64" s="70">
        <f t="shared" si="416"/>
        <v>0</v>
      </c>
      <c r="WH64" s="70">
        <f t="shared" si="416"/>
        <v>0</v>
      </c>
      <c r="WI64" s="70">
        <f t="shared" si="416"/>
        <v>0</v>
      </c>
      <c r="WJ64" s="70">
        <f t="shared" si="416"/>
        <v>0</v>
      </c>
      <c r="WK64" s="70">
        <f t="shared" si="416"/>
        <v>0</v>
      </c>
      <c r="WL64" s="70">
        <f t="shared" si="416"/>
        <v>0</v>
      </c>
      <c r="WM64" s="70">
        <f t="shared" si="416"/>
        <v>0</v>
      </c>
      <c r="WN64" s="70">
        <f t="shared" si="416"/>
        <v>0</v>
      </c>
      <c r="WO64" s="70">
        <f t="shared" si="416"/>
        <v>0</v>
      </c>
      <c r="WP64" s="70">
        <f t="shared" si="416"/>
        <v>0</v>
      </c>
      <c r="WQ64" s="70">
        <f t="shared" si="416"/>
        <v>0</v>
      </c>
      <c r="WR64" s="70">
        <f t="shared" si="416"/>
        <v>0</v>
      </c>
      <c r="WS64" s="70">
        <f t="shared" si="416"/>
        <v>0</v>
      </c>
    </row>
    <row r="65" spans="13:617" hidden="1" x14ac:dyDescent="0.25">
      <c r="M65" t="s">
        <v>611</v>
      </c>
      <c r="N65" s="139">
        <f t="shared" ref="N65:AS65" si="417">N41/40</f>
        <v>0</v>
      </c>
      <c r="O65" s="139">
        <f t="shared" si="417"/>
        <v>0</v>
      </c>
      <c r="P65" s="139">
        <f t="shared" si="417"/>
        <v>0</v>
      </c>
      <c r="Q65" s="139">
        <f t="shared" si="417"/>
        <v>0</v>
      </c>
      <c r="R65" s="139">
        <f t="shared" si="417"/>
        <v>0</v>
      </c>
      <c r="S65" s="139">
        <f t="shared" si="417"/>
        <v>0</v>
      </c>
      <c r="T65" s="139">
        <f t="shared" si="417"/>
        <v>0</v>
      </c>
      <c r="U65" s="139">
        <f t="shared" si="417"/>
        <v>0</v>
      </c>
      <c r="V65" s="139">
        <f t="shared" si="417"/>
        <v>0</v>
      </c>
      <c r="W65" s="139">
        <f t="shared" si="417"/>
        <v>0</v>
      </c>
      <c r="X65" s="139">
        <f t="shared" si="417"/>
        <v>0</v>
      </c>
      <c r="Y65" s="139">
        <f t="shared" si="417"/>
        <v>0</v>
      </c>
      <c r="Z65" s="139">
        <f t="shared" si="417"/>
        <v>0</v>
      </c>
      <c r="AA65" s="139">
        <f t="shared" si="417"/>
        <v>0</v>
      </c>
      <c r="AB65" s="139">
        <f t="shared" si="417"/>
        <v>0</v>
      </c>
      <c r="AC65" s="139">
        <f t="shared" si="417"/>
        <v>0</v>
      </c>
      <c r="AD65" s="139">
        <f t="shared" si="417"/>
        <v>0</v>
      </c>
      <c r="AE65" s="139">
        <f t="shared" si="417"/>
        <v>0</v>
      </c>
      <c r="AF65" s="139">
        <f t="shared" si="417"/>
        <v>0</v>
      </c>
      <c r="AG65" s="139">
        <f t="shared" si="417"/>
        <v>0</v>
      </c>
      <c r="AH65" s="139">
        <f t="shared" si="417"/>
        <v>0</v>
      </c>
      <c r="AI65" s="139">
        <f t="shared" si="417"/>
        <v>0</v>
      </c>
      <c r="AJ65" s="139">
        <f t="shared" si="417"/>
        <v>0</v>
      </c>
      <c r="AK65" s="139">
        <f t="shared" si="417"/>
        <v>0</v>
      </c>
      <c r="AL65" s="139">
        <f t="shared" si="417"/>
        <v>0</v>
      </c>
      <c r="AM65" s="139">
        <f t="shared" si="417"/>
        <v>0</v>
      </c>
      <c r="AN65" s="139">
        <f t="shared" si="417"/>
        <v>0</v>
      </c>
      <c r="AO65" s="139">
        <f t="shared" si="417"/>
        <v>0</v>
      </c>
      <c r="AP65" s="139">
        <f t="shared" si="417"/>
        <v>0</v>
      </c>
      <c r="AQ65" s="139">
        <f t="shared" si="417"/>
        <v>0</v>
      </c>
      <c r="AR65" s="139">
        <f t="shared" si="417"/>
        <v>0</v>
      </c>
      <c r="AS65" s="139">
        <f t="shared" si="417"/>
        <v>0</v>
      </c>
      <c r="AT65" s="139">
        <f t="shared" ref="AT65:BY65" si="418">AT41/40</f>
        <v>0</v>
      </c>
      <c r="AU65" s="139">
        <f t="shared" si="418"/>
        <v>0</v>
      </c>
      <c r="AV65" s="139">
        <f t="shared" si="418"/>
        <v>0</v>
      </c>
      <c r="AW65" s="139">
        <f t="shared" si="418"/>
        <v>0</v>
      </c>
      <c r="AX65" s="139">
        <f t="shared" si="418"/>
        <v>0</v>
      </c>
      <c r="AY65" s="139">
        <f t="shared" si="418"/>
        <v>0</v>
      </c>
      <c r="AZ65" s="139">
        <f t="shared" si="418"/>
        <v>0</v>
      </c>
      <c r="BA65" s="139">
        <f t="shared" si="418"/>
        <v>0</v>
      </c>
      <c r="BB65" s="139">
        <f t="shared" si="418"/>
        <v>0</v>
      </c>
      <c r="BC65" s="139">
        <f t="shared" si="418"/>
        <v>0</v>
      </c>
      <c r="BD65" s="139">
        <f t="shared" si="418"/>
        <v>0</v>
      </c>
      <c r="BE65" s="139">
        <f t="shared" si="418"/>
        <v>0</v>
      </c>
      <c r="BF65" s="139">
        <f t="shared" si="418"/>
        <v>0</v>
      </c>
      <c r="BG65" s="139">
        <f t="shared" si="418"/>
        <v>0</v>
      </c>
      <c r="BH65" s="139">
        <f t="shared" si="418"/>
        <v>0</v>
      </c>
      <c r="BI65" s="139">
        <f t="shared" si="418"/>
        <v>0</v>
      </c>
      <c r="BJ65" s="139">
        <f t="shared" si="418"/>
        <v>0</v>
      </c>
      <c r="BK65" s="139">
        <f t="shared" si="418"/>
        <v>0</v>
      </c>
      <c r="BL65" s="139">
        <f t="shared" si="418"/>
        <v>0</v>
      </c>
      <c r="BM65" s="139">
        <f t="shared" si="418"/>
        <v>0</v>
      </c>
      <c r="BN65" s="139">
        <f t="shared" si="418"/>
        <v>0</v>
      </c>
      <c r="BO65" s="139">
        <f t="shared" si="418"/>
        <v>0</v>
      </c>
      <c r="BP65" s="139">
        <f t="shared" si="418"/>
        <v>0</v>
      </c>
      <c r="BQ65" s="139">
        <f t="shared" si="418"/>
        <v>0</v>
      </c>
      <c r="BR65" s="139">
        <f t="shared" si="418"/>
        <v>0</v>
      </c>
      <c r="BS65" s="139">
        <f t="shared" si="418"/>
        <v>0</v>
      </c>
      <c r="BT65" s="139">
        <f t="shared" si="418"/>
        <v>0</v>
      </c>
      <c r="BU65" s="139">
        <f t="shared" si="418"/>
        <v>0</v>
      </c>
      <c r="BV65" s="139">
        <f t="shared" si="418"/>
        <v>0</v>
      </c>
      <c r="BW65" s="139">
        <f t="shared" si="418"/>
        <v>0</v>
      </c>
      <c r="BX65" s="139">
        <f t="shared" si="418"/>
        <v>0</v>
      </c>
      <c r="BY65" s="139">
        <f t="shared" si="418"/>
        <v>0</v>
      </c>
      <c r="BZ65" s="139">
        <f t="shared" ref="BZ65:CI65" si="419">BZ41/40</f>
        <v>0</v>
      </c>
      <c r="CA65" s="139">
        <f t="shared" si="419"/>
        <v>0</v>
      </c>
      <c r="CB65" s="139">
        <f t="shared" si="419"/>
        <v>0</v>
      </c>
      <c r="CC65" s="139">
        <f t="shared" si="419"/>
        <v>0</v>
      </c>
      <c r="CD65" s="139">
        <f t="shared" si="419"/>
        <v>0</v>
      </c>
      <c r="CE65" s="139">
        <f t="shared" si="419"/>
        <v>0</v>
      </c>
      <c r="CF65" s="139">
        <f t="shared" si="419"/>
        <v>0</v>
      </c>
      <c r="CG65" s="139">
        <f t="shared" si="419"/>
        <v>0</v>
      </c>
      <c r="CH65" s="139">
        <f t="shared" si="419"/>
        <v>0</v>
      </c>
      <c r="CI65" s="139">
        <f t="shared" si="419"/>
        <v>0</v>
      </c>
      <c r="CJ65" s="139">
        <f t="shared" ref="CJ65:DO65" si="420">CJ41/100</f>
        <v>0</v>
      </c>
      <c r="CK65" s="139">
        <f t="shared" si="420"/>
        <v>0</v>
      </c>
      <c r="CL65" s="139">
        <f t="shared" si="420"/>
        <v>0</v>
      </c>
      <c r="CM65" s="139">
        <f t="shared" si="420"/>
        <v>0</v>
      </c>
      <c r="CN65" s="139">
        <f t="shared" si="420"/>
        <v>0</v>
      </c>
      <c r="CO65" s="139">
        <f t="shared" si="420"/>
        <v>0</v>
      </c>
      <c r="CP65" s="139">
        <f t="shared" si="420"/>
        <v>0</v>
      </c>
      <c r="CQ65" s="139">
        <f t="shared" si="420"/>
        <v>0</v>
      </c>
      <c r="CR65" s="139">
        <f t="shared" si="420"/>
        <v>0</v>
      </c>
      <c r="CS65" s="139">
        <f t="shared" si="420"/>
        <v>0</v>
      </c>
      <c r="CT65" s="139">
        <f t="shared" si="420"/>
        <v>0</v>
      </c>
      <c r="CU65" s="139">
        <f t="shared" si="420"/>
        <v>0</v>
      </c>
      <c r="CV65" s="139">
        <f t="shared" si="420"/>
        <v>0</v>
      </c>
      <c r="CW65" s="139">
        <f t="shared" si="420"/>
        <v>0</v>
      </c>
      <c r="CX65" s="139">
        <f t="shared" si="420"/>
        <v>0</v>
      </c>
      <c r="CY65" s="139">
        <f t="shared" si="420"/>
        <v>0</v>
      </c>
      <c r="CZ65" s="139">
        <f t="shared" si="420"/>
        <v>0</v>
      </c>
      <c r="DA65" s="139">
        <f t="shared" si="420"/>
        <v>0</v>
      </c>
      <c r="DB65" s="139">
        <f t="shared" si="420"/>
        <v>0</v>
      </c>
      <c r="DC65" s="139">
        <f t="shared" si="420"/>
        <v>0</v>
      </c>
      <c r="DD65" s="139">
        <f t="shared" si="420"/>
        <v>0</v>
      </c>
      <c r="DE65" s="139">
        <f t="shared" si="420"/>
        <v>0</v>
      </c>
      <c r="DF65" s="139">
        <f t="shared" si="420"/>
        <v>0</v>
      </c>
      <c r="DG65" s="139">
        <f t="shared" si="420"/>
        <v>0</v>
      </c>
      <c r="DH65" s="139">
        <f t="shared" si="420"/>
        <v>0</v>
      </c>
      <c r="DI65" s="139">
        <f t="shared" si="420"/>
        <v>0</v>
      </c>
      <c r="DJ65" s="139">
        <f t="shared" si="420"/>
        <v>0</v>
      </c>
      <c r="DK65" s="139">
        <f t="shared" si="420"/>
        <v>0</v>
      </c>
      <c r="DL65" s="139">
        <f t="shared" si="420"/>
        <v>0</v>
      </c>
      <c r="DM65" s="139">
        <f t="shared" si="420"/>
        <v>0</v>
      </c>
      <c r="DN65" s="139">
        <f t="shared" si="420"/>
        <v>0</v>
      </c>
      <c r="DO65" s="139">
        <f t="shared" si="420"/>
        <v>0</v>
      </c>
      <c r="DP65" s="139">
        <f t="shared" ref="DP65:EU65" si="421">DP41/100</f>
        <v>0</v>
      </c>
      <c r="DQ65" s="139">
        <f t="shared" si="421"/>
        <v>0</v>
      </c>
      <c r="DR65" s="139">
        <f t="shared" si="421"/>
        <v>0</v>
      </c>
      <c r="DS65" s="139">
        <f t="shared" si="421"/>
        <v>0</v>
      </c>
      <c r="DT65" s="139">
        <f t="shared" si="421"/>
        <v>0</v>
      </c>
      <c r="DU65" s="139">
        <f t="shared" si="421"/>
        <v>0</v>
      </c>
      <c r="DV65" s="139">
        <f t="shared" si="421"/>
        <v>0</v>
      </c>
      <c r="DW65" s="139">
        <f t="shared" si="421"/>
        <v>0</v>
      </c>
      <c r="DX65" s="139">
        <f t="shared" si="421"/>
        <v>0</v>
      </c>
      <c r="DY65" s="139">
        <f t="shared" si="421"/>
        <v>0</v>
      </c>
      <c r="DZ65" s="139">
        <f t="shared" si="421"/>
        <v>0</v>
      </c>
      <c r="EA65" s="139">
        <f t="shared" si="421"/>
        <v>0</v>
      </c>
      <c r="EB65" s="139">
        <f t="shared" si="421"/>
        <v>0</v>
      </c>
      <c r="EC65" s="139">
        <f t="shared" si="421"/>
        <v>0</v>
      </c>
      <c r="ED65" s="139">
        <f t="shared" si="421"/>
        <v>0</v>
      </c>
      <c r="EE65" s="139">
        <f t="shared" si="421"/>
        <v>0</v>
      </c>
      <c r="EF65" s="139">
        <f t="shared" si="421"/>
        <v>0</v>
      </c>
      <c r="EG65" s="139">
        <f t="shared" si="421"/>
        <v>0</v>
      </c>
      <c r="EH65" s="139">
        <f t="shared" si="421"/>
        <v>0</v>
      </c>
      <c r="EI65" s="139">
        <f t="shared" si="421"/>
        <v>0</v>
      </c>
      <c r="EJ65" s="139">
        <f t="shared" si="421"/>
        <v>0</v>
      </c>
      <c r="EK65" s="139">
        <f t="shared" si="421"/>
        <v>0</v>
      </c>
      <c r="EL65" s="139">
        <f t="shared" si="421"/>
        <v>0</v>
      </c>
      <c r="EM65" s="139">
        <f t="shared" si="421"/>
        <v>0</v>
      </c>
      <c r="EN65" s="139">
        <f t="shared" si="421"/>
        <v>0</v>
      </c>
      <c r="EO65" s="139">
        <f t="shared" si="421"/>
        <v>0</v>
      </c>
      <c r="EP65" s="139">
        <f t="shared" si="421"/>
        <v>0</v>
      </c>
      <c r="EQ65" s="139">
        <f t="shared" si="421"/>
        <v>0</v>
      </c>
      <c r="ER65" s="139">
        <f t="shared" si="421"/>
        <v>0</v>
      </c>
      <c r="ES65" s="139">
        <f t="shared" si="421"/>
        <v>0</v>
      </c>
      <c r="ET65" s="139">
        <f t="shared" si="421"/>
        <v>0</v>
      </c>
      <c r="EU65" s="139">
        <f t="shared" si="421"/>
        <v>0</v>
      </c>
      <c r="EV65" s="139">
        <f t="shared" ref="EV65:GA65" si="422">EV41/100</f>
        <v>0</v>
      </c>
      <c r="EW65" s="139">
        <f t="shared" si="422"/>
        <v>0</v>
      </c>
      <c r="EX65" s="139">
        <f t="shared" si="422"/>
        <v>0</v>
      </c>
      <c r="EY65" s="139">
        <f t="shared" si="422"/>
        <v>0</v>
      </c>
      <c r="EZ65" s="139">
        <f t="shared" si="422"/>
        <v>0</v>
      </c>
      <c r="FA65" s="139">
        <f t="shared" si="422"/>
        <v>0</v>
      </c>
      <c r="FB65" s="139">
        <f t="shared" si="422"/>
        <v>0</v>
      </c>
      <c r="FC65" s="139">
        <f t="shared" si="422"/>
        <v>0</v>
      </c>
      <c r="FD65" s="139">
        <f t="shared" si="422"/>
        <v>0</v>
      </c>
      <c r="FE65" s="139">
        <f t="shared" si="422"/>
        <v>0</v>
      </c>
      <c r="FF65" s="139">
        <f t="shared" si="422"/>
        <v>0</v>
      </c>
      <c r="FG65" s="139">
        <f t="shared" si="422"/>
        <v>0</v>
      </c>
      <c r="FH65" s="139">
        <f t="shared" si="422"/>
        <v>0</v>
      </c>
      <c r="FI65" s="139">
        <f t="shared" si="422"/>
        <v>0</v>
      </c>
      <c r="FJ65" s="139">
        <f t="shared" si="422"/>
        <v>0</v>
      </c>
      <c r="FK65" s="139">
        <f t="shared" si="422"/>
        <v>0</v>
      </c>
      <c r="FL65" s="139">
        <f t="shared" si="422"/>
        <v>0</v>
      </c>
      <c r="FM65" s="139">
        <f t="shared" si="422"/>
        <v>0</v>
      </c>
      <c r="FN65" s="139">
        <f t="shared" si="422"/>
        <v>0</v>
      </c>
      <c r="FO65" s="139">
        <f t="shared" si="422"/>
        <v>0</v>
      </c>
      <c r="FP65" s="139">
        <f t="shared" si="422"/>
        <v>0</v>
      </c>
      <c r="FQ65" s="139">
        <f t="shared" si="422"/>
        <v>0</v>
      </c>
      <c r="FR65" s="139">
        <f t="shared" si="422"/>
        <v>0</v>
      </c>
      <c r="FS65" s="139">
        <f t="shared" si="422"/>
        <v>0</v>
      </c>
      <c r="FT65" s="139">
        <f t="shared" si="422"/>
        <v>0</v>
      </c>
      <c r="FU65" s="139">
        <f t="shared" si="422"/>
        <v>0</v>
      </c>
      <c r="FV65" s="139">
        <f t="shared" si="422"/>
        <v>0</v>
      </c>
      <c r="FW65" s="139">
        <f t="shared" si="422"/>
        <v>0</v>
      </c>
      <c r="FX65" s="139">
        <f t="shared" si="422"/>
        <v>0</v>
      </c>
      <c r="FY65" s="139">
        <f t="shared" si="422"/>
        <v>0</v>
      </c>
      <c r="FZ65" s="139">
        <f t="shared" si="422"/>
        <v>0</v>
      </c>
      <c r="GA65" s="139">
        <f t="shared" si="422"/>
        <v>0</v>
      </c>
      <c r="GB65" s="139">
        <f t="shared" ref="GB65:HA65" si="423">GB41/100</f>
        <v>0</v>
      </c>
      <c r="GC65" s="139">
        <f t="shared" si="423"/>
        <v>0</v>
      </c>
      <c r="GD65" s="139">
        <f t="shared" si="423"/>
        <v>0</v>
      </c>
      <c r="GE65" s="139">
        <f t="shared" si="423"/>
        <v>0</v>
      </c>
      <c r="GF65" s="139">
        <f t="shared" si="423"/>
        <v>0</v>
      </c>
      <c r="GG65" s="139">
        <f t="shared" si="423"/>
        <v>0</v>
      </c>
      <c r="GH65" s="139">
        <f t="shared" si="423"/>
        <v>0</v>
      </c>
      <c r="GI65" s="139">
        <f t="shared" si="423"/>
        <v>0</v>
      </c>
      <c r="GJ65" s="139">
        <f t="shared" si="423"/>
        <v>0</v>
      </c>
      <c r="GK65" s="139">
        <f t="shared" si="423"/>
        <v>0</v>
      </c>
      <c r="GL65" s="139">
        <f t="shared" si="423"/>
        <v>0</v>
      </c>
      <c r="GM65" s="139">
        <f t="shared" si="423"/>
        <v>0</v>
      </c>
      <c r="GN65" s="139">
        <f t="shared" si="423"/>
        <v>0</v>
      </c>
      <c r="GO65" s="139">
        <f t="shared" si="423"/>
        <v>0</v>
      </c>
      <c r="GP65" s="139">
        <f t="shared" si="423"/>
        <v>0</v>
      </c>
      <c r="GQ65" s="139">
        <f t="shared" si="423"/>
        <v>0</v>
      </c>
      <c r="GR65" s="139">
        <f t="shared" si="423"/>
        <v>0</v>
      </c>
      <c r="GS65" s="139">
        <f t="shared" si="423"/>
        <v>0</v>
      </c>
      <c r="GT65" s="139">
        <f t="shared" si="423"/>
        <v>0</v>
      </c>
      <c r="GU65" s="139">
        <f t="shared" si="423"/>
        <v>0</v>
      </c>
      <c r="GV65" s="139">
        <f t="shared" si="423"/>
        <v>0</v>
      </c>
      <c r="GW65" s="139">
        <f t="shared" si="423"/>
        <v>0</v>
      </c>
      <c r="GX65" s="139">
        <f t="shared" si="423"/>
        <v>0</v>
      </c>
      <c r="GY65" s="139">
        <f t="shared" si="423"/>
        <v>0</v>
      </c>
      <c r="GZ65" s="139">
        <f t="shared" si="423"/>
        <v>0</v>
      </c>
      <c r="HA65" s="139">
        <f t="shared" si="423"/>
        <v>0</v>
      </c>
      <c r="HB65" s="139">
        <f t="shared" ref="HB65:II65" si="424">HB41/40</f>
        <v>0</v>
      </c>
      <c r="HC65" s="139">
        <f t="shared" si="424"/>
        <v>0</v>
      </c>
      <c r="HD65" s="139">
        <f t="shared" si="424"/>
        <v>0</v>
      </c>
      <c r="HE65" s="139">
        <f t="shared" si="424"/>
        <v>0</v>
      </c>
      <c r="HF65" s="139">
        <f t="shared" si="424"/>
        <v>0</v>
      </c>
      <c r="HG65" s="139">
        <f t="shared" si="424"/>
        <v>0</v>
      </c>
      <c r="HH65" s="139">
        <f t="shared" si="424"/>
        <v>0</v>
      </c>
      <c r="HI65" s="139">
        <f t="shared" si="424"/>
        <v>0</v>
      </c>
      <c r="HJ65" s="139">
        <f t="shared" si="424"/>
        <v>0</v>
      </c>
      <c r="HK65" s="139">
        <f t="shared" si="424"/>
        <v>0</v>
      </c>
      <c r="HL65" s="139">
        <f t="shared" si="424"/>
        <v>0</v>
      </c>
      <c r="HM65" s="139">
        <f t="shared" si="424"/>
        <v>0</v>
      </c>
      <c r="HN65" s="139">
        <f t="shared" si="424"/>
        <v>0</v>
      </c>
      <c r="HO65" s="139">
        <f t="shared" si="424"/>
        <v>0</v>
      </c>
      <c r="HP65" s="139">
        <f t="shared" si="424"/>
        <v>0</v>
      </c>
      <c r="HQ65" s="139">
        <f t="shared" si="424"/>
        <v>0</v>
      </c>
      <c r="HR65" s="139">
        <f t="shared" si="424"/>
        <v>0</v>
      </c>
      <c r="HS65" s="139">
        <f t="shared" si="424"/>
        <v>0</v>
      </c>
      <c r="HT65" s="139">
        <f t="shared" si="424"/>
        <v>0</v>
      </c>
      <c r="HU65" s="139">
        <f t="shared" si="424"/>
        <v>0</v>
      </c>
      <c r="HV65" s="139">
        <f t="shared" si="424"/>
        <v>0</v>
      </c>
      <c r="HW65" s="139">
        <f t="shared" si="424"/>
        <v>0</v>
      </c>
      <c r="HX65" s="139">
        <f t="shared" si="424"/>
        <v>0</v>
      </c>
      <c r="HY65" s="139">
        <f t="shared" si="424"/>
        <v>0</v>
      </c>
      <c r="HZ65" s="139">
        <f t="shared" si="424"/>
        <v>0</v>
      </c>
      <c r="IA65" s="139">
        <f t="shared" si="424"/>
        <v>0</v>
      </c>
      <c r="IB65" s="139">
        <f t="shared" si="424"/>
        <v>0</v>
      </c>
      <c r="IC65" s="139">
        <f t="shared" si="424"/>
        <v>0</v>
      </c>
      <c r="ID65" s="139">
        <f t="shared" si="424"/>
        <v>0</v>
      </c>
      <c r="IE65" s="139">
        <f t="shared" si="424"/>
        <v>0</v>
      </c>
      <c r="IF65" s="139">
        <f t="shared" si="424"/>
        <v>0</v>
      </c>
      <c r="IG65" s="139">
        <f t="shared" si="424"/>
        <v>0</v>
      </c>
      <c r="IH65" s="139">
        <f t="shared" si="424"/>
        <v>0</v>
      </c>
      <c r="II65" s="139">
        <f t="shared" si="424"/>
        <v>0</v>
      </c>
      <c r="IJ65" s="139">
        <f t="shared" ref="IJ65:JM65" si="425">IJ41/100</f>
        <v>0</v>
      </c>
      <c r="IK65" s="139">
        <f t="shared" si="425"/>
        <v>0</v>
      </c>
      <c r="IL65" s="139">
        <f t="shared" si="425"/>
        <v>0</v>
      </c>
      <c r="IM65" s="139">
        <f t="shared" si="425"/>
        <v>0</v>
      </c>
      <c r="IN65" s="139">
        <f t="shared" si="425"/>
        <v>0</v>
      </c>
      <c r="IO65" s="139">
        <f t="shared" si="425"/>
        <v>0</v>
      </c>
      <c r="IP65" s="139">
        <f t="shared" si="425"/>
        <v>0</v>
      </c>
      <c r="IQ65" s="139">
        <f t="shared" si="425"/>
        <v>0</v>
      </c>
      <c r="IR65" s="139">
        <f t="shared" si="425"/>
        <v>0</v>
      </c>
      <c r="IS65" s="139">
        <f t="shared" si="425"/>
        <v>0</v>
      </c>
      <c r="IT65" s="139">
        <f t="shared" si="425"/>
        <v>0</v>
      </c>
      <c r="IU65" s="139">
        <f t="shared" si="425"/>
        <v>0</v>
      </c>
      <c r="IV65" s="139">
        <f t="shared" si="425"/>
        <v>0</v>
      </c>
      <c r="IW65" s="139">
        <f t="shared" si="425"/>
        <v>0</v>
      </c>
      <c r="IX65" s="139">
        <f t="shared" si="425"/>
        <v>0</v>
      </c>
      <c r="IY65" s="139">
        <f t="shared" si="425"/>
        <v>0</v>
      </c>
      <c r="IZ65" s="139">
        <f t="shared" si="425"/>
        <v>0</v>
      </c>
      <c r="JA65" s="139">
        <f t="shared" si="425"/>
        <v>0</v>
      </c>
      <c r="JB65" s="139">
        <f t="shared" si="425"/>
        <v>0</v>
      </c>
      <c r="JC65" s="139">
        <f t="shared" si="425"/>
        <v>0</v>
      </c>
      <c r="JD65" s="139">
        <f t="shared" si="425"/>
        <v>0</v>
      </c>
      <c r="JE65" s="139">
        <f t="shared" si="425"/>
        <v>0</v>
      </c>
      <c r="JF65" s="139">
        <f t="shared" si="425"/>
        <v>0</v>
      </c>
      <c r="JG65" s="139">
        <f t="shared" si="425"/>
        <v>0</v>
      </c>
      <c r="JH65" s="139">
        <f t="shared" si="425"/>
        <v>0</v>
      </c>
      <c r="JI65" s="139">
        <f t="shared" si="425"/>
        <v>0</v>
      </c>
      <c r="JJ65" s="139">
        <f t="shared" si="425"/>
        <v>0</v>
      </c>
      <c r="JK65" s="139">
        <f t="shared" si="425"/>
        <v>0</v>
      </c>
      <c r="JL65" s="139">
        <f t="shared" si="425"/>
        <v>0</v>
      </c>
      <c r="JM65" s="139">
        <f t="shared" si="425"/>
        <v>0</v>
      </c>
      <c r="JN65" s="139">
        <f t="shared" ref="JN65:JS65" si="426">JN41/40</f>
        <v>0</v>
      </c>
      <c r="JO65" s="139">
        <f t="shared" si="426"/>
        <v>0</v>
      </c>
      <c r="JP65" s="139">
        <f t="shared" si="426"/>
        <v>0</v>
      </c>
      <c r="JQ65" s="139">
        <f t="shared" si="426"/>
        <v>0</v>
      </c>
      <c r="JR65" s="139">
        <f t="shared" si="426"/>
        <v>0</v>
      </c>
      <c r="JS65" s="139">
        <f t="shared" si="426"/>
        <v>0</v>
      </c>
      <c r="JT65" s="139">
        <f t="shared" ref="JT65:JY65" si="427">JT41/100</f>
        <v>0</v>
      </c>
      <c r="JU65" s="139">
        <f t="shared" si="427"/>
        <v>0</v>
      </c>
      <c r="JV65" s="139">
        <f t="shared" si="427"/>
        <v>0</v>
      </c>
      <c r="JW65" s="139">
        <f t="shared" si="427"/>
        <v>0</v>
      </c>
      <c r="JX65" s="139">
        <f t="shared" si="427"/>
        <v>0</v>
      </c>
      <c r="JY65" s="139">
        <f t="shared" si="427"/>
        <v>0</v>
      </c>
      <c r="JZ65" s="139">
        <f t="shared" ref="JZ65:KY65" si="428">JZ41/40</f>
        <v>0</v>
      </c>
      <c r="KA65" s="139">
        <f t="shared" si="428"/>
        <v>0</v>
      </c>
      <c r="KB65" s="139">
        <f t="shared" si="428"/>
        <v>0</v>
      </c>
      <c r="KC65" s="139">
        <f t="shared" si="428"/>
        <v>0</v>
      </c>
      <c r="KD65" s="139">
        <f t="shared" si="428"/>
        <v>0</v>
      </c>
      <c r="KE65" s="139">
        <f t="shared" si="428"/>
        <v>0</v>
      </c>
      <c r="KF65" s="139">
        <f t="shared" si="428"/>
        <v>0</v>
      </c>
      <c r="KG65" s="139">
        <f t="shared" si="428"/>
        <v>0</v>
      </c>
      <c r="KH65" s="139">
        <f t="shared" si="428"/>
        <v>0</v>
      </c>
      <c r="KI65" s="139">
        <f t="shared" si="428"/>
        <v>0</v>
      </c>
      <c r="KJ65" s="139">
        <f t="shared" si="428"/>
        <v>0</v>
      </c>
      <c r="KK65" s="139">
        <f t="shared" si="428"/>
        <v>0</v>
      </c>
      <c r="KL65" s="139">
        <f t="shared" si="428"/>
        <v>0</v>
      </c>
      <c r="KM65" s="139">
        <f t="shared" si="428"/>
        <v>0</v>
      </c>
      <c r="KN65" s="139">
        <f t="shared" si="428"/>
        <v>0</v>
      </c>
      <c r="KO65" s="139">
        <f t="shared" si="428"/>
        <v>0</v>
      </c>
      <c r="KP65" s="139">
        <f t="shared" si="428"/>
        <v>0</v>
      </c>
      <c r="KQ65" s="139">
        <f t="shared" si="428"/>
        <v>0</v>
      </c>
      <c r="KR65" s="139">
        <f t="shared" si="428"/>
        <v>0</v>
      </c>
      <c r="KS65" s="139">
        <f t="shared" si="428"/>
        <v>0</v>
      </c>
      <c r="KT65" s="139">
        <f t="shared" si="428"/>
        <v>0</v>
      </c>
      <c r="KU65" s="139">
        <f t="shared" si="428"/>
        <v>0</v>
      </c>
      <c r="KV65" s="139">
        <f t="shared" si="428"/>
        <v>0</v>
      </c>
      <c r="KW65" s="139">
        <f t="shared" si="428"/>
        <v>0</v>
      </c>
      <c r="KX65" s="139">
        <f t="shared" si="428"/>
        <v>0</v>
      </c>
      <c r="KY65" s="139">
        <f t="shared" si="428"/>
        <v>0</v>
      </c>
      <c r="KZ65" s="139">
        <f t="shared" ref="KZ65:ME65" si="429">KZ41/100</f>
        <v>0</v>
      </c>
      <c r="LA65" s="139">
        <f t="shared" si="429"/>
        <v>0</v>
      </c>
      <c r="LB65" s="139">
        <f t="shared" si="429"/>
        <v>0</v>
      </c>
      <c r="LC65" s="139">
        <f t="shared" si="429"/>
        <v>0</v>
      </c>
      <c r="LD65" s="139">
        <f t="shared" si="429"/>
        <v>0</v>
      </c>
      <c r="LE65" s="139">
        <f t="shared" si="429"/>
        <v>0</v>
      </c>
      <c r="LF65" s="139">
        <f t="shared" si="429"/>
        <v>0</v>
      </c>
      <c r="LG65" s="139">
        <f t="shared" si="429"/>
        <v>0</v>
      </c>
      <c r="LH65" s="139">
        <f t="shared" si="429"/>
        <v>0</v>
      </c>
      <c r="LI65" s="139">
        <f t="shared" si="429"/>
        <v>0</v>
      </c>
      <c r="LJ65" s="139">
        <f t="shared" si="429"/>
        <v>0</v>
      </c>
      <c r="LK65" s="139">
        <f t="shared" si="429"/>
        <v>0</v>
      </c>
      <c r="LL65" s="139">
        <f t="shared" si="429"/>
        <v>0</v>
      </c>
      <c r="LM65" s="139">
        <f t="shared" si="429"/>
        <v>0</v>
      </c>
      <c r="LN65" s="139">
        <f t="shared" si="429"/>
        <v>0</v>
      </c>
      <c r="LO65" s="139">
        <f t="shared" si="429"/>
        <v>0</v>
      </c>
      <c r="LP65" s="139">
        <f t="shared" si="429"/>
        <v>0</v>
      </c>
      <c r="LQ65" s="139">
        <f t="shared" si="429"/>
        <v>0</v>
      </c>
      <c r="LR65" s="139">
        <f t="shared" si="429"/>
        <v>0</v>
      </c>
      <c r="LS65" s="139">
        <f t="shared" si="429"/>
        <v>0</v>
      </c>
      <c r="LT65" s="139">
        <f t="shared" si="429"/>
        <v>0</v>
      </c>
      <c r="LU65" s="139">
        <f t="shared" si="429"/>
        <v>0</v>
      </c>
      <c r="LV65" s="139">
        <f t="shared" si="429"/>
        <v>0</v>
      </c>
      <c r="LW65" s="139">
        <f t="shared" si="429"/>
        <v>0</v>
      </c>
      <c r="LX65" s="139">
        <f t="shared" si="429"/>
        <v>0</v>
      </c>
      <c r="LY65" s="139">
        <f t="shared" si="429"/>
        <v>0</v>
      </c>
      <c r="LZ65" s="139">
        <f t="shared" si="429"/>
        <v>0</v>
      </c>
      <c r="MA65" s="139">
        <f t="shared" si="429"/>
        <v>0</v>
      </c>
      <c r="MB65" s="139">
        <f t="shared" si="429"/>
        <v>0</v>
      </c>
      <c r="MC65" s="139">
        <f t="shared" si="429"/>
        <v>0</v>
      </c>
      <c r="MD65" s="139">
        <f t="shared" si="429"/>
        <v>0</v>
      </c>
      <c r="ME65" s="139">
        <f t="shared" si="429"/>
        <v>0</v>
      </c>
      <c r="MF65" s="139">
        <f t="shared" ref="MF65:NK65" si="430">MF41/100</f>
        <v>0</v>
      </c>
      <c r="MG65" s="139">
        <f t="shared" si="430"/>
        <v>0</v>
      </c>
      <c r="MH65" s="139">
        <f t="shared" si="430"/>
        <v>0</v>
      </c>
      <c r="MI65" s="139">
        <f t="shared" si="430"/>
        <v>0</v>
      </c>
      <c r="MJ65" s="139">
        <f t="shared" si="430"/>
        <v>0</v>
      </c>
      <c r="MK65" s="139">
        <f t="shared" si="430"/>
        <v>0</v>
      </c>
      <c r="ML65" s="139">
        <f t="shared" si="430"/>
        <v>0</v>
      </c>
      <c r="MM65" s="139">
        <f t="shared" si="430"/>
        <v>0</v>
      </c>
      <c r="MN65" s="139">
        <f t="shared" si="430"/>
        <v>0</v>
      </c>
      <c r="MO65" s="139">
        <f t="shared" si="430"/>
        <v>0</v>
      </c>
      <c r="MP65" s="139">
        <f t="shared" si="430"/>
        <v>0</v>
      </c>
      <c r="MQ65" s="139">
        <f t="shared" si="430"/>
        <v>0</v>
      </c>
      <c r="MR65" s="139">
        <f t="shared" si="430"/>
        <v>0</v>
      </c>
      <c r="MS65" s="139">
        <f t="shared" si="430"/>
        <v>0</v>
      </c>
      <c r="MT65" s="139">
        <f t="shared" si="430"/>
        <v>0</v>
      </c>
      <c r="MU65" s="139">
        <f t="shared" si="430"/>
        <v>0</v>
      </c>
      <c r="MV65" s="139">
        <f t="shared" si="430"/>
        <v>0</v>
      </c>
      <c r="MW65" s="139">
        <f t="shared" si="430"/>
        <v>0</v>
      </c>
      <c r="MX65" s="139">
        <f t="shared" si="430"/>
        <v>0</v>
      </c>
      <c r="MY65" s="139">
        <f t="shared" si="430"/>
        <v>0</v>
      </c>
      <c r="MZ65" s="139">
        <f t="shared" si="430"/>
        <v>0</v>
      </c>
      <c r="NA65" s="139">
        <f t="shared" si="430"/>
        <v>0</v>
      </c>
      <c r="NB65" s="139">
        <f t="shared" si="430"/>
        <v>0</v>
      </c>
      <c r="NC65" s="139">
        <f t="shared" si="430"/>
        <v>0</v>
      </c>
      <c r="ND65" s="139">
        <f t="shared" si="430"/>
        <v>0</v>
      </c>
      <c r="NE65" s="139">
        <f t="shared" si="430"/>
        <v>0</v>
      </c>
      <c r="NF65" s="139">
        <f t="shared" si="430"/>
        <v>0</v>
      </c>
      <c r="NG65" s="139">
        <f t="shared" si="430"/>
        <v>0</v>
      </c>
      <c r="NH65" s="139">
        <f t="shared" si="430"/>
        <v>0</v>
      </c>
      <c r="NI65" s="139">
        <f t="shared" si="430"/>
        <v>0</v>
      </c>
      <c r="NJ65" s="139">
        <f t="shared" si="430"/>
        <v>0</v>
      </c>
      <c r="NK65" s="139">
        <f t="shared" si="430"/>
        <v>0</v>
      </c>
      <c r="NL65" s="139">
        <f t="shared" ref="NL65:OQ65" si="431">NL41/100</f>
        <v>0</v>
      </c>
      <c r="NM65" s="139">
        <f t="shared" si="431"/>
        <v>0</v>
      </c>
      <c r="NN65" s="139">
        <f t="shared" si="431"/>
        <v>0</v>
      </c>
      <c r="NO65" s="139">
        <f t="shared" si="431"/>
        <v>0</v>
      </c>
      <c r="NP65" s="139">
        <f t="shared" si="431"/>
        <v>0</v>
      </c>
      <c r="NQ65" s="139">
        <f t="shared" si="431"/>
        <v>0</v>
      </c>
      <c r="NR65" s="139">
        <f t="shared" si="431"/>
        <v>0</v>
      </c>
      <c r="NS65" s="139">
        <f t="shared" si="431"/>
        <v>0</v>
      </c>
      <c r="NT65" s="139">
        <f t="shared" si="431"/>
        <v>0</v>
      </c>
      <c r="NU65" s="139">
        <f t="shared" si="431"/>
        <v>0</v>
      </c>
      <c r="NV65" s="139">
        <f t="shared" si="431"/>
        <v>0</v>
      </c>
      <c r="NW65" s="139">
        <f t="shared" si="431"/>
        <v>0</v>
      </c>
      <c r="NX65" s="139">
        <f t="shared" si="431"/>
        <v>0</v>
      </c>
      <c r="NY65" s="139">
        <f t="shared" si="431"/>
        <v>0</v>
      </c>
      <c r="NZ65" s="139">
        <f t="shared" si="431"/>
        <v>0</v>
      </c>
      <c r="OA65" s="139">
        <f t="shared" si="431"/>
        <v>0</v>
      </c>
      <c r="OB65" s="139">
        <f t="shared" si="431"/>
        <v>0</v>
      </c>
      <c r="OC65" s="139">
        <f t="shared" si="431"/>
        <v>0</v>
      </c>
      <c r="OD65" s="139">
        <f t="shared" si="431"/>
        <v>0</v>
      </c>
      <c r="OE65" s="139">
        <f t="shared" si="431"/>
        <v>0</v>
      </c>
      <c r="OF65" s="139">
        <f t="shared" si="431"/>
        <v>0</v>
      </c>
      <c r="OG65" s="139">
        <f t="shared" si="431"/>
        <v>0</v>
      </c>
      <c r="OH65" s="139">
        <f t="shared" si="431"/>
        <v>0</v>
      </c>
      <c r="OI65" s="139">
        <f t="shared" si="431"/>
        <v>0</v>
      </c>
      <c r="OJ65" s="139">
        <f t="shared" si="431"/>
        <v>0</v>
      </c>
      <c r="OK65" s="139">
        <f t="shared" si="431"/>
        <v>0</v>
      </c>
      <c r="OL65" s="139">
        <f t="shared" si="431"/>
        <v>0</v>
      </c>
      <c r="OM65" s="139">
        <f t="shared" si="431"/>
        <v>0</v>
      </c>
      <c r="ON65" s="139">
        <f t="shared" si="431"/>
        <v>0</v>
      </c>
      <c r="OO65" s="139">
        <f t="shared" si="431"/>
        <v>0</v>
      </c>
      <c r="OP65" s="139">
        <f t="shared" si="431"/>
        <v>0</v>
      </c>
      <c r="OQ65" s="139">
        <f t="shared" si="431"/>
        <v>0</v>
      </c>
      <c r="OR65" s="139">
        <f t="shared" ref="OR65:PW65" si="432">OR41/100</f>
        <v>0</v>
      </c>
      <c r="OS65" s="139">
        <f t="shared" si="432"/>
        <v>0</v>
      </c>
      <c r="OT65" s="139">
        <f t="shared" si="432"/>
        <v>0</v>
      </c>
      <c r="OU65" s="139">
        <f t="shared" si="432"/>
        <v>0</v>
      </c>
      <c r="OV65" s="139">
        <f t="shared" si="432"/>
        <v>0</v>
      </c>
      <c r="OW65" s="139">
        <f t="shared" si="432"/>
        <v>0</v>
      </c>
      <c r="OX65" s="139">
        <f t="shared" si="432"/>
        <v>0</v>
      </c>
      <c r="OY65" s="139">
        <f t="shared" si="432"/>
        <v>0</v>
      </c>
      <c r="OZ65" s="139">
        <f t="shared" si="432"/>
        <v>0</v>
      </c>
      <c r="PA65" s="139">
        <f t="shared" si="432"/>
        <v>0</v>
      </c>
      <c r="PB65" s="139">
        <f t="shared" si="432"/>
        <v>0</v>
      </c>
      <c r="PC65" s="139">
        <f t="shared" si="432"/>
        <v>0</v>
      </c>
      <c r="PD65" s="139">
        <f t="shared" si="432"/>
        <v>0</v>
      </c>
      <c r="PE65" s="139">
        <f t="shared" si="432"/>
        <v>0</v>
      </c>
      <c r="PF65" s="139">
        <f t="shared" si="432"/>
        <v>0</v>
      </c>
      <c r="PG65" s="139">
        <f t="shared" si="432"/>
        <v>0</v>
      </c>
      <c r="PH65" s="139">
        <f t="shared" si="432"/>
        <v>0</v>
      </c>
      <c r="PI65" s="139">
        <f t="shared" si="432"/>
        <v>0</v>
      </c>
      <c r="PJ65" s="139">
        <f t="shared" si="432"/>
        <v>0</v>
      </c>
      <c r="PK65" s="139">
        <f t="shared" si="432"/>
        <v>0</v>
      </c>
      <c r="PL65" s="139">
        <f t="shared" si="432"/>
        <v>0</v>
      </c>
      <c r="PM65" s="139">
        <f t="shared" si="432"/>
        <v>0</v>
      </c>
      <c r="PN65" s="139">
        <f t="shared" si="432"/>
        <v>0</v>
      </c>
      <c r="PO65" s="139">
        <f t="shared" si="432"/>
        <v>0</v>
      </c>
      <c r="PP65" s="139">
        <f t="shared" si="432"/>
        <v>0</v>
      </c>
      <c r="PQ65" s="139">
        <f t="shared" si="432"/>
        <v>0</v>
      </c>
      <c r="PR65" s="139">
        <f t="shared" si="432"/>
        <v>0</v>
      </c>
      <c r="PS65" s="139">
        <f t="shared" si="432"/>
        <v>0</v>
      </c>
      <c r="PT65" s="139">
        <f t="shared" si="432"/>
        <v>0</v>
      </c>
      <c r="PU65" s="139">
        <f t="shared" si="432"/>
        <v>0</v>
      </c>
      <c r="PV65" s="139">
        <f t="shared" si="432"/>
        <v>0</v>
      </c>
      <c r="PW65" s="139">
        <f t="shared" si="432"/>
        <v>0</v>
      </c>
      <c r="PX65" s="139">
        <f t="shared" ref="PX65:QN65" si="433">PX41/100</f>
        <v>0</v>
      </c>
      <c r="PY65" s="139">
        <f t="shared" si="433"/>
        <v>0</v>
      </c>
      <c r="PZ65" s="139">
        <f t="shared" si="433"/>
        <v>0</v>
      </c>
      <c r="QA65" s="139">
        <f t="shared" si="433"/>
        <v>0</v>
      </c>
      <c r="QB65" s="139">
        <f t="shared" si="433"/>
        <v>0</v>
      </c>
      <c r="QC65" s="139">
        <f t="shared" si="433"/>
        <v>0</v>
      </c>
      <c r="QD65" s="139">
        <f t="shared" si="433"/>
        <v>0</v>
      </c>
      <c r="QE65" s="139">
        <f t="shared" si="433"/>
        <v>0</v>
      </c>
      <c r="QF65" s="139">
        <f t="shared" si="433"/>
        <v>0</v>
      </c>
      <c r="QG65" s="139">
        <f t="shared" si="433"/>
        <v>0</v>
      </c>
      <c r="QH65" s="139">
        <f t="shared" si="433"/>
        <v>0</v>
      </c>
      <c r="QI65" s="139">
        <f t="shared" si="433"/>
        <v>0</v>
      </c>
      <c r="QJ65" s="139">
        <f t="shared" si="433"/>
        <v>0</v>
      </c>
      <c r="QK65" s="139">
        <f t="shared" si="433"/>
        <v>0</v>
      </c>
      <c r="QL65" s="139">
        <f t="shared" si="433"/>
        <v>0</v>
      </c>
      <c r="QM65" s="139">
        <f t="shared" si="433"/>
        <v>0</v>
      </c>
      <c r="QN65" s="139">
        <f t="shared" si="433"/>
        <v>0</v>
      </c>
      <c r="QO65" s="139">
        <f>QO41/40</f>
        <v>0</v>
      </c>
      <c r="QP65" s="139">
        <f>QP41/100</f>
        <v>0</v>
      </c>
      <c r="QQ65" s="139">
        <f>QQ41/100</f>
        <v>0</v>
      </c>
      <c r="QR65" s="139">
        <f>QR41/40</f>
        <v>0</v>
      </c>
      <c r="QS65" s="139">
        <f>QS41/100</f>
        <v>0</v>
      </c>
      <c r="QT65" s="139">
        <f>QT41/100</f>
        <v>0</v>
      </c>
      <c r="RA65" s="139">
        <f t="shared" ref="RA65:RF65" si="434">RA41/100</f>
        <v>0</v>
      </c>
      <c r="RB65" s="139">
        <f t="shared" si="434"/>
        <v>0</v>
      </c>
      <c r="RC65" s="139">
        <f t="shared" si="434"/>
        <v>0</v>
      </c>
      <c r="RD65" s="139">
        <f t="shared" si="434"/>
        <v>0</v>
      </c>
      <c r="RE65" s="139">
        <f t="shared" si="434"/>
        <v>0</v>
      </c>
      <c r="RF65" s="139">
        <f t="shared" si="434"/>
        <v>0</v>
      </c>
      <c r="RG65" s="70"/>
      <c r="RM65" s="145"/>
      <c r="SB65" s="70">
        <f>SB41/40</f>
        <v>0</v>
      </c>
      <c r="SC65" s="70">
        <f>SC41/40</f>
        <v>0</v>
      </c>
      <c r="SD65" s="70">
        <f>SD41/40</f>
        <v>0</v>
      </c>
      <c r="SE65" s="70">
        <f t="shared" ref="SE65:SU65" si="435">SE41/100</f>
        <v>0</v>
      </c>
      <c r="SF65" s="70">
        <f t="shared" si="435"/>
        <v>0</v>
      </c>
      <c r="SG65" s="70">
        <f t="shared" si="435"/>
        <v>0</v>
      </c>
      <c r="SH65" s="70">
        <f t="shared" si="435"/>
        <v>0</v>
      </c>
      <c r="SI65" s="70">
        <f t="shared" si="435"/>
        <v>0</v>
      </c>
      <c r="SJ65" s="70">
        <f t="shared" si="435"/>
        <v>0</v>
      </c>
      <c r="SK65" s="70">
        <f t="shared" si="435"/>
        <v>0</v>
      </c>
      <c r="SL65" s="70">
        <f t="shared" si="435"/>
        <v>0</v>
      </c>
      <c r="SM65" s="70">
        <f t="shared" si="435"/>
        <v>0</v>
      </c>
      <c r="SN65" s="70">
        <f t="shared" si="435"/>
        <v>0</v>
      </c>
      <c r="SO65" s="70">
        <f t="shared" si="435"/>
        <v>0</v>
      </c>
      <c r="SP65" s="70">
        <f t="shared" si="435"/>
        <v>0</v>
      </c>
      <c r="SQ65" s="70">
        <f t="shared" si="435"/>
        <v>0</v>
      </c>
      <c r="SR65" s="70">
        <f t="shared" si="435"/>
        <v>0</v>
      </c>
      <c r="SS65" s="70">
        <f t="shared" si="435"/>
        <v>0</v>
      </c>
      <c r="ST65" s="70">
        <f t="shared" si="435"/>
        <v>0</v>
      </c>
      <c r="SU65" s="70">
        <f t="shared" si="435"/>
        <v>0</v>
      </c>
      <c r="SV65" s="139">
        <f>SV41/40</f>
        <v>0</v>
      </c>
      <c r="SW65" s="139">
        <f>SW41/40</f>
        <v>0</v>
      </c>
      <c r="SX65" s="70">
        <f t="shared" ref="SX65:TR65" si="436">SX41/100</f>
        <v>0</v>
      </c>
      <c r="SY65" s="70">
        <f t="shared" si="436"/>
        <v>0</v>
      </c>
      <c r="SZ65" s="70">
        <f t="shared" si="436"/>
        <v>0</v>
      </c>
      <c r="TA65" s="70">
        <f t="shared" si="436"/>
        <v>0</v>
      </c>
      <c r="TB65" s="70">
        <f t="shared" si="436"/>
        <v>0</v>
      </c>
      <c r="TC65" s="70">
        <f t="shared" si="436"/>
        <v>0</v>
      </c>
      <c r="TD65" s="70">
        <f t="shared" si="436"/>
        <v>0</v>
      </c>
      <c r="TE65" s="70">
        <f t="shared" si="436"/>
        <v>0</v>
      </c>
      <c r="TF65" s="70">
        <f t="shared" si="436"/>
        <v>0</v>
      </c>
      <c r="TG65" s="70">
        <f t="shared" si="436"/>
        <v>0</v>
      </c>
      <c r="TH65" s="70">
        <f t="shared" si="436"/>
        <v>0</v>
      </c>
      <c r="TI65" s="70">
        <f t="shared" si="436"/>
        <v>0</v>
      </c>
      <c r="TJ65" s="70">
        <f t="shared" si="436"/>
        <v>0</v>
      </c>
      <c r="TK65" s="70">
        <f t="shared" si="436"/>
        <v>0</v>
      </c>
      <c r="TL65" s="70">
        <f t="shared" si="436"/>
        <v>0</v>
      </c>
      <c r="TM65" s="70">
        <f t="shared" si="436"/>
        <v>0</v>
      </c>
      <c r="TN65" s="70">
        <f t="shared" si="436"/>
        <v>0</v>
      </c>
      <c r="TO65" s="70">
        <f t="shared" si="436"/>
        <v>0</v>
      </c>
      <c r="TP65" s="70">
        <f t="shared" si="436"/>
        <v>0</v>
      </c>
      <c r="TQ65" s="70">
        <f t="shared" si="436"/>
        <v>0</v>
      </c>
      <c r="TR65" s="70">
        <f t="shared" si="436"/>
        <v>0</v>
      </c>
      <c r="TS65" s="139">
        <f>TS41/40</f>
        <v>0</v>
      </c>
      <c r="TT65" s="70">
        <f t="shared" ref="TT65:UY65" si="437">TT41/100</f>
        <v>0</v>
      </c>
      <c r="TU65" s="70">
        <f t="shared" si="437"/>
        <v>0</v>
      </c>
      <c r="TV65" s="70">
        <f t="shared" si="437"/>
        <v>0</v>
      </c>
      <c r="TW65" s="70">
        <f t="shared" si="437"/>
        <v>0</v>
      </c>
      <c r="TX65" s="70">
        <f t="shared" si="437"/>
        <v>0</v>
      </c>
      <c r="TY65" s="70">
        <f t="shared" si="437"/>
        <v>0</v>
      </c>
      <c r="TZ65" s="70">
        <f t="shared" si="437"/>
        <v>0</v>
      </c>
      <c r="UA65" s="70">
        <f t="shared" si="437"/>
        <v>0</v>
      </c>
      <c r="UB65" s="70">
        <f t="shared" si="437"/>
        <v>0</v>
      </c>
      <c r="UC65" s="70">
        <f t="shared" si="437"/>
        <v>0</v>
      </c>
      <c r="UD65" s="70">
        <f t="shared" si="437"/>
        <v>0</v>
      </c>
      <c r="UE65" s="70">
        <f t="shared" si="437"/>
        <v>0</v>
      </c>
      <c r="UF65" s="70">
        <f t="shared" si="437"/>
        <v>0</v>
      </c>
      <c r="UG65" s="70">
        <f t="shared" si="437"/>
        <v>0</v>
      </c>
      <c r="UH65" s="70">
        <f t="shared" si="437"/>
        <v>0</v>
      </c>
      <c r="UI65" s="70">
        <f t="shared" si="437"/>
        <v>0</v>
      </c>
      <c r="UJ65" s="70">
        <f t="shared" si="437"/>
        <v>0</v>
      </c>
      <c r="UK65" s="70">
        <f t="shared" si="437"/>
        <v>0</v>
      </c>
      <c r="UL65" s="70">
        <f t="shared" si="437"/>
        <v>0</v>
      </c>
      <c r="UM65" s="70">
        <f t="shared" si="437"/>
        <v>0</v>
      </c>
      <c r="UN65" s="70">
        <f t="shared" si="437"/>
        <v>0</v>
      </c>
      <c r="UO65" s="70">
        <f t="shared" si="437"/>
        <v>0</v>
      </c>
      <c r="UP65" s="70">
        <f t="shared" si="437"/>
        <v>0</v>
      </c>
      <c r="UQ65" s="70">
        <f t="shared" si="437"/>
        <v>0</v>
      </c>
      <c r="UR65" s="70">
        <f t="shared" si="437"/>
        <v>0</v>
      </c>
      <c r="US65" s="70">
        <f t="shared" si="437"/>
        <v>0</v>
      </c>
      <c r="UT65" s="70">
        <f t="shared" si="437"/>
        <v>0</v>
      </c>
      <c r="UU65" s="70">
        <f t="shared" si="437"/>
        <v>0</v>
      </c>
      <c r="UV65" s="70">
        <f t="shared" si="437"/>
        <v>0</v>
      </c>
      <c r="UW65" s="70">
        <f t="shared" si="437"/>
        <v>0</v>
      </c>
      <c r="UX65" s="70">
        <f t="shared" si="437"/>
        <v>0</v>
      </c>
      <c r="UY65" s="70">
        <f t="shared" si="437"/>
        <v>0</v>
      </c>
      <c r="UZ65" s="70">
        <f t="shared" ref="UZ65:WE65" si="438">UZ41/100</f>
        <v>0</v>
      </c>
      <c r="VA65" s="70">
        <f t="shared" si="438"/>
        <v>0</v>
      </c>
      <c r="VB65" s="70">
        <f t="shared" si="438"/>
        <v>0</v>
      </c>
      <c r="VC65" s="70">
        <f t="shared" si="438"/>
        <v>0</v>
      </c>
      <c r="VD65" s="70">
        <f t="shared" si="438"/>
        <v>0</v>
      </c>
      <c r="VE65" s="70">
        <f t="shared" si="438"/>
        <v>0</v>
      </c>
      <c r="VF65" s="70">
        <f t="shared" si="438"/>
        <v>0</v>
      </c>
      <c r="VG65" s="70">
        <f t="shared" si="438"/>
        <v>0</v>
      </c>
      <c r="VH65" s="70">
        <f t="shared" si="438"/>
        <v>0</v>
      </c>
      <c r="VI65" s="70">
        <f t="shared" si="438"/>
        <v>0</v>
      </c>
      <c r="VJ65" s="70">
        <f t="shared" si="438"/>
        <v>0</v>
      </c>
      <c r="VK65" s="70">
        <f t="shared" si="438"/>
        <v>0</v>
      </c>
      <c r="VL65" s="70">
        <f t="shared" si="438"/>
        <v>0</v>
      </c>
      <c r="VM65" s="70">
        <f t="shared" si="438"/>
        <v>0</v>
      </c>
      <c r="VN65" s="70">
        <f t="shared" si="438"/>
        <v>0</v>
      </c>
      <c r="VO65" s="70">
        <f t="shared" si="438"/>
        <v>0</v>
      </c>
      <c r="VP65" s="70">
        <f t="shared" si="438"/>
        <v>0</v>
      </c>
      <c r="VQ65" s="70">
        <f t="shared" si="438"/>
        <v>0</v>
      </c>
      <c r="VR65" s="70">
        <f t="shared" si="438"/>
        <v>0</v>
      </c>
      <c r="VS65" s="70">
        <f t="shared" si="438"/>
        <v>0</v>
      </c>
      <c r="VT65" s="70">
        <f t="shared" si="438"/>
        <v>0</v>
      </c>
      <c r="VU65" s="70">
        <f t="shared" si="438"/>
        <v>0</v>
      </c>
      <c r="VV65" s="70">
        <f t="shared" si="438"/>
        <v>0</v>
      </c>
      <c r="VW65" s="70">
        <f t="shared" si="438"/>
        <v>0</v>
      </c>
      <c r="VX65" s="70">
        <f t="shared" si="438"/>
        <v>0</v>
      </c>
      <c r="VY65" s="70">
        <f t="shared" si="438"/>
        <v>0</v>
      </c>
      <c r="VZ65" s="70">
        <f t="shared" si="438"/>
        <v>0</v>
      </c>
      <c r="WA65" s="70">
        <f t="shared" si="438"/>
        <v>0</v>
      </c>
      <c r="WB65" s="70">
        <f t="shared" si="438"/>
        <v>0</v>
      </c>
      <c r="WC65" s="70">
        <f t="shared" si="438"/>
        <v>0</v>
      </c>
      <c r="WD65" s="70">
        <f t="shared" si="438"/>
        <v>0</v>
      </c>
      <c r="WE65" s="70">
        <f t="shared" si="438"/>
        <v>0</v>
      </c>
      <c r="WF65" s="70">
        <f t="shared" ref="WF65:WS65" si="439">WF41/100</f>
        <v>0</v>
      </c>
      <c r="WG65" s="70">
        <f t="shared" si="439"/>
        <v>0</v>
      </c>
      <c r="WH65" s="70">
        <f t="shared" si="439"/>
        <v>0</v>
      </c>
      <c r="WI65" s="70">
        <f t="shared" si="439"/>
        <v>0</v>
      </c>
      <c r="WJ65" s="70">
        <f t="shared" si="439"/>
        <v>0</v>
      </c>
      <c r="WK65" s="70">
        <f t="shared" si="439"/>
        <v>0</v>
      </c>
      <c r="WL65" s="70">
        <f t="shared" si="439"/>
        <v>0</v>
      </c>
      <c r="WM65" s="70">
        <f t="shared" si="439"/>
        <v>0</v>
      </c>
      <c r="WN65" s="70">
        <f t="shared" si="439"/>
        <v>0</v>
      </c>
      <c r="WO65" s="70">
        <f t="shared" si="439"/>
        <v>0</v>
      </c>
      <c r="WP65" s="70">
        <f t="shared" si="439"/>
        <v>0</v>
      </c>
      <c r="WQ65" s="70">
        <f t="shared" si="439"/>
        <v>0</v>
      </c>
      <c r="WR65" s="70">
        <f t="shared" si="439"/>
        <v>0</v>
      </c>
      <c r="WS65" s="70">
        <f t="shared" si="439"/>
        <v>0</v>
      </c>
    </row>
    <row r="66" spans="13:617" hidden="1" x14ac:dyDescent="0.25">
      <c r="M66" t="s">
        <v>636</v>
      </c>
      <c r="QO66" s="27">
        <f>QO35/40</f>
        <v>0</v>
      </c>
      <c r="QP66" s="27">
        <f>QP35/40</f>
        <v>0</v>
      </c>
      <c r="QQ66" s="27">
        <f>QQ35/40</f>
        <v>0</v>
      </c>
      <c r="QR66" s="27">
        <f>QR35/100</f>
        <v>0</v>
      </c>
      <c r="QS66" s="27">
        <f t="shared" ref="QS66:QT66" si="440">QS35/100</f>
        <v>0</v>
      </c>
      <c r="QT66" s="27">
        <f t="shared" si="440"/>
        <v>0</v>
      </c>
    </row>
    <row r="67" spans="13:617" hidden="1" x14ac:dyDescent="0.25">
      <c r="M67" t="s">
        <v>638</v>
      </c>
      <c r="SB67" s="27">
        <f>SB46/40</f>
        <v>0</v>
      </c>
      <c r="SC67" s="27">
        <f t="shared" ref="SC67:SD67" si="441">SC46/40</f>
        <v>0</v>
      </c>
      <c r="SD67" s="27">
        <f t="shared" si="441"/>
        <v>0</v>
      </c>
      <c r="SE67" s="27">
        <f>SE46/100</f>
        <v>0</v>
      </c>
      <c r="SF67" s="27">
        <f t="shared" ref="SF67:SU67" si="442">SF46/100</f>
        <v>0</v>
      </c>
      <c r="SG67" s="27">
        <f t="shared" si="442"/>
        <v>0</v>
      </c>
      <c r="SH67" s="27">
        <f t="shared" si="442"/>
        <v>0</v>
      </c>
      <c r="SI67" s="27">
        <f t="shared" si="442"/>
        <v>0</v>
      </c>
      <c r="SJ67" s="27">
        <f t="shared" si="442"/>
        <v>0</v>
      </c>
      <c r="SK67" s="27">
        <f t="shared" si="442"/>
        <v>0</v>
      </c>
      <c r="SL67" s="27">
        <f t="shared" si="442"/>
        <v>0</v>
      </c>
      <c r="SM67" s="27">
        <f t="shared" si="442"/>
        <v>0</v>
      </c>
      <c r="SN67" s="27">
        <f t="shared" si="442"/>
        <v>0</v>
      </c>
      <c r="SO67" s="27">
        <f t="shared" si="442"/>
        <v>0</v>
      </c>
      <c r="SP67" s="27">
        <f t="shared" si="442"/>
        <v>0</v>
      </c>
      <c r="SQ67" s="27">
        <f t="shared" si="442"/>
        <v>0</v>
      </c>
      <c r="SR67" s="27">
        <f t="shared" si="442"/>
        <v>0</v>
      </c>
      <c r="SS67" s="27">
        <f t="shared" si="442"/>
        <v>0</v>
      </c>
      <c r="ST67" s="27">
        <f t="shared" si="442"/>
        <v>0</v>
      </c>
      <c r="SU67" s="27">
        <f t="shared" si="442"/>
        <v>0</v>
      </c>
    </row>
    <row r="68" spans="13:617" hidden="1" x14ac:dyDescent="0.25"/>
    <row r="69" spans="13:617" hidden="1" x14ac:dyDescent="0.25"/>
    <row r="70" spans="13:617" hidden="1" x14ac:dyDescent="0.25"/>
    <row r="71" spans="13:617" hidden="1" x14ac:dyDescent="0.25"/>
    <row r="72" spans="13:617" hidden="1" x14ac:dyDescent="0.25"/>
    <row r="73" spans="13:617" hidden="1" x14ac:dyDescent="0.25"/>
    <row r="74" spans="13:617" hidden="1" x14ac:dyDescent="0.25"/>
    <row r="75" spans="13:617" hidden="1" x14ac:dyDescent="0.25"/>
    <row r="76" spans="13:617" hidden="1" x14ac:dyDescent="0.25"/>
    <row r="77" spans="13:617" hidden="1" x14ac:dyDescent="0.25"/>
    <row r="78" spans="13:617" hidden="1" x14ac:dyDescent="0.25"/>
    <row r="79" spans="13:617" hidden="1" x14ac:dyDescent="0.25"/>
    <row r="80" spans="13:617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</sheetData>
  <autoFilter ref="B3:J67" xr:uid="{16126A82-1CF9-44F5-87EC-53601A2DDA65}"/>
  <mergeCells count="37">
    <mergeCell ref="RA2:RC2"/>
    <mergeCell ref="RD2:RF2"/>
    <mergeCell ref="RH2:SA2"/>
    <mergeCell ref="SB2:SD2"/>
    <mergeCell ref="SE2:SF2"/>
    <mergeCell ref="A3:A4"/>
    <mergeCell ref="C3:C4"/>
    <mergeCell ref="D3:D4"/>
    <mergeCell ref="E3:E4"/>
    <mergeCell ref="F3:F4"/>
    <mergeCell ref="N2:S2"/>
    <mergeCell ref="T2:CI2"/>
    <mergeCell ref="CJ2:EE2"/>
    <mergeCell ref="EF2:GV2"/>
    <mergeCell ref="GW2:HA2"/>
    <mergeCell ref="HB2:HG2"/>
    <mergeCell ref="HH2:II2"/>
    <mergeCell ref="IJ2:IX2"/>
    <mergeCell ref="IY2:JM2"/>
    <mergeCell ref="JN2:JY2"/>
    <mergeCell ref="JZ2:KY2"/>
    <mergeCell ref="KZ2:LQ2"/>
    <mergeCell ref="LR2:MM2"/>
    <mergeCell ref="MN2:MP2"/>
    <mergeCell ref="MQ2:NG2"/>
    <mergeCell ref="NH2:NT2"/>
    <mergeCell ref="NU2:QN2"/>
    <mergeCell ref="QO2:QQ2"/>
    <mergeCell ref="QR2:QT2"/>
    <mergeCell ref="QU2:QZ2"/>
    <mergeCell ref="TY2:UC2"/>
    <mergeCell ref="UD2:WT2"/>
    <mergeCell ref="SG2:SU2"/>
    <mergeCell ref="SV2:SW2"/>
    <mergeCell ref="SX2:TD2"/>
    <mergeCell ref="TE2:TR2"/>
    <mergeCell ref="TT2:TX2"/>
  </mergeCells>
  <pageMargins left="0.7" right="0.7" top="0.75" bottom="0.75" header="0.3" footer="0.3"/>
  <pageSetup paperSize="204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REKAP</vt:lpstr>
      <vt:lpstr>AKM &amp; P5</vt:lpstr>
      <vt:lpstr>sd</vt:lpstr>
      <vt:lpstr>SMP</vt:lpstr>
      <vt:lpstr>SMA</vt:lpstr>
      <vt:lpstr>SMK</vt:lpstr>
      <vt:lpstr>PROD</vt:lpstr>
      <vt:lpstr>MADRASAH</vt:lpstr>
      <vt:lpstr>TKA</vt:lpstr>
      <vt:lpstr>ASAJ UM</vt:lpstr>
      <vt:lpstr>jurnal &amp; tk</vt:lpstr>
      <vt:lpstr>Base</vt:lpstr>
      <vt:lpstr>'AKM &amp; P5'!Print_Area</vt:lpstr>
      <vt:lpstr>'jurnal &amp; tk'!Print_Area</vt:lpstr>
      <vt:lpstr>MADRASAH!Print_Area</vt:lpstr>
      <vt:lpstr>PROD!Print_Area</vt:lpstr>
      <vt:lpstr>REKAP!Print_Area</vt:lpstr>
      <vt:lpstr>sd!Print_Area</vt:lpstr>
      <vt:lpstr>SMA!Print_Area</vt:lpstr>
      <vt:lpstr>SMK!Print_Area</vt:lpstr>
      <vt:lpstr>TKA!Print_Area</vt:lpstr>
      <vt:lpstr>PROD!Print_Titles</vt:lpstr>
      <vt:lpstr>SMA!Print_Titles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</dc:creator>
  <cp:lastModifiedBy>USER</cp:lastModifiedBy>
  <cp:lastPrinted>2026-09-17T02:35:33Z</cp:lastPrinted>
  <dcterms:created xsi:type="dcterms:W3CDTF">2017-03-20T06:07:29Z</dcterms:created>
  <dcterms:modified xsi:type="dcterms:W3CDTF">2026-09-18T02:46:58Z</dcterms:modified>
</cp:coreProperties>
</file>